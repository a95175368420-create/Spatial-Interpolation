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6.xml" ContentType="application/vnd.openxmlformats-officedocument.spreadsheetml.worksheet+xml"/>
  <Override PartName="/xl/tables/table12.xml" ContentType="application/vnd.openxmlformats-officedocument.spreadsheetml.table+xml"/>
  <Override PartName="/xl/worksheets/sheet7.xml" ContentType="application/vnd.openxmlformats-officedocument.spreadsheetml.worksheet+xml"/>
  <Override PartName="/xl/tables/table13.xml" ContentType="application/vnd.openxmlformats-officedocument.spreadsheetml.table+xml"/>
  <Override PartName="/xl/worksheets/sheet8.xml" ContentType="application/vnd.openxmlformats-officedocument.spreadsheetml.worksheet+xml"/>
  <Override PartName="/xl/tables/table1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00_使用說明" sheetId="1" state="visible" r:id="rId1"/>
    <sheet name="01_樣品登錄" sheetId="2" state="visible" r:id="rId2"/>
    <sheet name="02_分析資料庫" sheetId="3" state="visible" r:id="rId3"/>
    <sheet name="03_點位主檔" sheetId="4" state="visible" r:id="rId4"/>
    <sheet name="04_測項與清單" sheetId="5" state="visible" r:id="rId5"/>
    <sheet name="05_標準版本" sheetId="6" state="visible" r:id="rId6"/>
    <sheet name="06_欄位說明" sheetId="7" state="visible" r:id="rId7"/>
    <sheet name="07_QAQC" sheetId="8" state="visible" r:id="rId8"/>
  </sheets>
  <definedNames>
    <definedName name="AnalyteList">DB_04[分析項目]</definedName>
    <definedName name="EnableList">EnableOptions[啟用]</definedName>
    <definedName name="MediaList">MediaCodes[介質]</definedName>
    <definedName name="SampleIDList">Samples[樣品編號]</definedName>
    <definedName name="SamplingMethodList">SamplingMethods[採樣方法]</definedName>
    <definedName name="StandardStatusList">StandardStatuses[核對狀態]</definedName>
    <definedName name="StandardVersionList">VersionCodes[版本代碼]</definedName>
    <definedName name="StationList">DB_03[監測點]</definedName>
    <definedName name="UnitList">UnitCodes[單位]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yyyy\-mm\-dd"/>
    <numFmt numFmtId="165" formatCode="0.000"/>
    <numFmt numFmtId="166" formatCode="0.0###########"/>
    <numFmt numFmtId="167" formatCode="0.0"/>
    <numFmt numFmtId="168" formatCode="0.############"/>
    <numFmt numFmtId="169" formatCode="yyyy-mm-dd"/>
  </numFmts>
  <fonts count="19">
    <font>
      <name val="Carlito"/>
      <sz val="11"/>
    </font>
    <font>
      <name val="Microsoft JhengHei"/>
      <charset val="136"/>
      <family val="2"/>
      <color rgb="FF172B3A"/>
      <sz val="11"/>
    </font>
    <font>
      <name val="Microsoft JhengHei"/>
      <charset val="136"/>
      <family val="2"/>
      <b val="1"/>
      <color rgb="FFFFFFFF"/>
      <sz val="11"/>
    </font>
    <font>
      <name val="Microsoft JhengHei"/>
      <charset val="136"/>
      <family val="2"/>
      <b val="1"/>
      <color rgb="FF24465A"/>
      <sz val="17"/>
    </font>
    <font>
      <name val="Microsoft JhengHei"/>
      <charset val="136"/>
      <family val="2"/>
      <b val="1"/>
      <color rgb="FF134D8C"/>
      <sz val="11"/>
    </font>
    <font>
      <name val="Carlito"/>
      <sz val="11"/>
    </font>
    <font>
      <name val="細明體"/>
      <charset val="136"/>
      <family val="3"/>
      <sz val="9"/>
    </font>
    <font>
      <name val="Microsoft JhengHei"/>
      <charset val="136"/>
      <family val="2"/>
      <color rgb="FF134D8C"/>
      <sz val="11"/>
    </font>
    <font>
      <name val="Microsoft JhengHei"/>
      <charset val="136"/>
      <family val="2"/>
      <b val="1"/>
      <color rgb="FFFFFFFF"/>
      <sz val="16"/>
    </font>
    <font>
      <name val="Microsoft JhengHei"/>
      <charset val="136"/>
      <family val="2"/>
      <color rgb="FFFFFFFF"/>
      <sz val="11"/>
    </font>
    <font>
      <name val="Carlito"/>
      <color rgb="FF134D8C"/>
      <sz val="11"/>
    </font>
    <font>
      <name val="Carlito"/>
      <b val="1"/>
      <color rgb="FFFFFFFF"/>
      <sz val="11"/>
    </font>
    <font>
      <name val="Carlito"/>
      <color theme="10"/>
      <sz val="11"/>
      <u val="single"/>
    </font>
    <font>
      <name val="Microsoft JhengHei"/>
      <charset val="136"/>
      <family val="2"/>
      <color theme="10"/>
      <sz val="11"/>
      <u val="single"/>
    </font>
    <font>
      <name val="Carlito"/>
      <family val="2"/>
      <color theme="10"/>
      <sz val="11"/>
      <u val="single"/>
    </font>
    <font>
      <name val="Carlito"/>
      <color rgb="FF505050"/>
      <sz val="11"/>
    </font>
    <font>
      <name val="Carlito"/>
      <color rgb="FF0070C0"/>
      <sz val="11"/>
    </font>
    <font>
      <name val="Microsoft JhengHei"/>
      <charset val="136"/>
      <family val="2"/>
      <b val="1"/>
      <color rgb="FF24465A"/>
      <sz val="20"/>
    </font>
    <font>
      <name val="Microsoft JhengHei"/>
      <charset val="136"/>
      <family val="2"/>
      <color rgb="FF505050"/>
      <sz val="11"/>
    </font>
  </fonts>
  <fills count="10">
    <fill>
      <patternFill/>
    </fill>
    <fill>
      <patternFill patternType="gray125"/>
    </fill>
    <fill>
      <patternFill patternType="solid">
        <fgColor rgb="FFF2F4F7"/>
        <bgColor indexed="64"/>
      </patternFill>
    </fill>
    <fill>
      <patternFill patternType="solid">
        <fgColor rgb="FFEAF3FF"/>
        <bgColor indexed="64"/>
      </patternFill>
    </fill>
    <fill>
      <patternFill patternType="solid">
        <fgColor rgb="FF24465A"/>
        <bgColor indexed="64"/>
      </patternFill>
    </fill>
    <fill>
      <patternFill patternType="solid">
        <fgColor rgb="FF2563A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1606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665D66"/>
        <bgColor indexed="64"/>
      </patternFill>
    </fill>
  </fills>
  <borders count="11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5" fillId="0" borderId="0"/>
    <xf numFmtId="0" fontId="5" fillId="0" borderId="0"/>
    <xf numFmtId="0" fontId="12" fillId="0" borderId="0"/>
  </cellStyleXfs>
  <cellXfs count="100">
    <xf numFmtId="0" fontId="0" fillId="0" borderId="0" pivotButton="0" quotePrefix="0" xfId="0"/>
    <xf numFmtId="0" fontId="1" fillId="2" borderId="0" applyAlignment="1" pivotButton="0" quotePrefix="0" xfId="1">
      <alignment vertical="center"/>
    </xf>
    <xf numFmtId="0" fontId="1" fillId="3" borderId="0" applyAlignment="1" pivotButton="0" quotePrefix="0" xfId="1">
      <alignment vertical="center"/>
    </xf>
    <xf numFmtId="164" fontId="1" fillId="3" borderId="0" applyAlignment="1" pivotButton="0" quotePrefix="0" xfId="1">
      <alignment vertical="center"/>
    </xf>
    <xf numFmtId="0" fontId="2" fillId="4" borderId="0" applyAlignment="1" pivotButton="0" quotePrefix="0" xfId="1">
      <alignment horizontal="center" vertical="center" wrapText="1"/>
    </xf>
    <xf numFmtId="0" fontId="2" fillId="5" borderId="0" applyAlignment="1" pivotButton="0" quotePrefix="0" xfId="1">
      <alignment horizontal="center" vertical="center" wrapText="1"/>
    </xf>
    <xf numFmtId="165" fontId="1" fillId="2" borderId="0" applyAlignment="1" pivotButton="0" quotePrefix="0" xfId="1">
      <alignment vertical="center"/>
    </xf>
    <xf numFmtId="165" fontId="1" fillId="3" borderId="0" applyAlignment="1" pivotButton="0" quotePrefix="0" xfId="1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1">
      <alignment vertical="center"/>
    </xf>
    <xf numFmtId="0" fontId="1" fillId="6" borderId="0" applyAlignment="1" pivotButton="0" quotePrefix="0" xfId="1">
      <alignment vertical="center"/>
    </xf>
    <xf numFmtId="0" fontId="2" fillId="5" borderId="0" applyAlignment="1" pivotButton="0" quotePrefix="0" xfId="1">
      <alignment vertical="center"/>
    </xf>
    <xf numFmtId="0" fontId="1" fillId="0" borderId="0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2" fillId="5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3" borderId="0" applyAlignment="1" pivotButton="0" quotePrefix="0" xfId="0">
      <alignment vertical="center"/>
    </xf>
    <xf numFmtId="0" fontId="2" fillId="5" borderId="0" applyAlignment="1" pivotButton="0" quotePrefix="0" xfId="0">
      <alignment horizontal="center" vertical="center" wrapText="1"/>
    </xf>
    <xf numFmtId="0" fontId="7" fillId="3" borderId="0" pivotButton="0" quotePrefix="0" xfId="0"/>
    <xf numFmtId="164" fontId="1" fillId="3" borderId="0" applyAlignment="1" pivotButton="0" quotePrefix="0" xfId="0">
      <alignment vertical="center"/>
    </xf>
    <xf numFmtId="165" fontId="1" fillId="3" borderId="0" applyAlignment="1" pivotButton="0" quotePrefix="0" xfId="0">
      <alignment vertical="center"/>
    </xf>
    <xf numFmtId="49" fontId="7" fillId="3" borderId="0" applyAlignment="1" pivotButton="0" quotePrefix="0" xfId="0">
      <alignment vertical="center"/>
    </xf>
    <xf numFmtId="49" fontId="2" fillId="5" borderId="0" applyAlignment="1" pivotButton="0" quotePrefix="0" xfId="0">
      <alignment vertical="center"/>
    </xf>
    <xf numFmtId="49" fontId="10" fillId="3" borderId="0" pivotButton="0" quotePrefix="0" xfId="0"/>
    <xf numFmtId="0" fontId="1" fillId="3" borderId="0" applyAlignment="1" pivotButton="0" quotePrefix="0" xfId="0">
      <alignment vertical="center" wrapText="1"/>
    </xf>
    <xf numFmtId="0" fontId="2" fillId="7" borderId="0" applyAlignment="1" pivotButton="0" quotePrefix="0" xfId="0">
      <alignment horizontal="center" vertical="center" wrapText="1"/>
    </xf>
    <xf numFmtId="49" fontId="2" fillId="7" borderId="1" applyAlignment="1" pivotButton="0" quotePrefix="0" xfId="0">
      <alignment vertical="center"/>
    </xf>
    <xf numFmtId="0" fontId="0" fillId="3" borderId="0" pivotButton="0" quotePrefix="0" xfId="0"/>
    <xf numFmtId="49" fontId="0" fillId="3" borderId="0" pivotButton="0" quotePrefix="0" xfId="0"/>
    <xf numFmtId="0" fontId="0" fillId="2" borderId="0" pivotButton="0" quotePrefix="0" xfId="0"/>
    <xf numFmtId="164" fontId="0" fillId="2" borderId="0" pivotButton="0" quotePrefix="0" xfId="0"/>
    <xf numFmtId="0" fontId="2" fillId="4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vertical="center"/>
    </xf>
    <xf numFmtId="0" fontId="0" fillId="2" borderId="0" applyAlignment="1" pivotButton="0" quotePrefix="0" xfId="1">
      <alignment vertical="center"/>
    </xf>
    <xf numFmtId="49" fontId="7" fillId="3" borderId="0" applyAlignment="1" pivotButton="0" quotePrefix="0" xfId="0">
      <alignment vertical="center" wrapText="1"/>
    </xf>
    <xf numFmtId="166" fontId="0" fillId="2" borderId="0" pivotButton="0" quotePrefix="0" xfId="0"/>
    <xf numFmtId="166" fontId="1" fillId="3" borderId="0" applyAlignment="1" pivotButton="0" quotePrefix="0" xfId="1">
      <alignment vertical="center"/>
    </xf>
    <xf numFmtId="0" fontId="1" fillId="3" borderId="0" applyAlignment="1" pivotButton="0" quotePrefix="0" xfId="1">
      <alignment vertical="center" wrapText="1"/>
    </xf>
    <xf numFmtId="0" fontId="12" fillId="3" borderId="0" applyAlignment="1" pivotButton="0" quotePrefix="0" xfId="2">
      <alignment vertical="center" wrapText="1"/>
    </xf>
    <xf numFmtId="0" fontId="0" fillId="3" borderId="0" applyAlignment="1" pivotButton="0" quotePrefix="0" xfId="0">
      <alignment wrapText="1"/>
    </xf>
    <xf numFmtId="167" fontId="1" fillId="3" borderId="0" applyAlignment="1" pivotButton="0" quotePrefix="0" xfId="1">
      <alignment vertical="center"/>
    </xf>
    <xf numFmtId="0" fontId="1" fillId="6" borderId="2" applyAlignment="1" pivotButton="0" quotePrefix="0" xfId="1">
      <alignment vertical="center"/>
    </xf>
    <xf numFmtId="0" fontId="1" fillId="6" borderId="3" applyAlignment="1" pivotButton="0" quotePrefix="0" xfId="1">
      <alignment vertical="center"/>
    </xf>
    <xf numFmtId="0" fontId="1" fillId="6" borderId="4" applyAlignment="1" pivotButton="0" quotePrefix="0" xfId="1">
      <alignment vertical="center"/>
    </xf>
    <xf numFmtId="0" fontId="1" fillId="6" borderId="6" applyAlignment="1" pivotButton="0" quotePrefix="0" xfId="1">
      <alignment vertical="center"/>
    </xf>
    <xf numFmtId="0" fontId="1" fillId="6" borderId="5" applyAlignment="1" pivotButton="0" quotePrefix="0" xfId="1">
      <alignment vertical="center"/>
    </xf>
    <xf numFmtId="0" fontId="2" fillId="4" borderId="5" applyAlignment="1" pivotButton="0" quotePrefix="0" xfId="1">
      <alignment vertical="center"/>
    </xf>
    <xf numFmtId="0" fontId="4" fillId="3" borderId="0" applyAlignment="1" pivotButton="0" quotePrefix="0" xfId="1">
      <alignment vertical="center"/>
    </xf>
    <xf numFmtId="0" fontId="0" fillId="6" borderId="0" applyAlignment="1" pivotButton="0" quotePrefix="0" xfId="1">
      <alignment vertical="center"/>
    </xf>
    <xf numFmtId="0" fontId="1" fillId="6" borderId="7" applyAlignment="1" pivotButton="0" quotePrefix="0" xfId="1">
      <alignment vertical="center"/>
    </xf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164" fontId="2" fillId="5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wrapText="1"/>
    </xf>
    <xf numFmtId="0" fontId="11" fillId="7" borderId="0" applyAlignment="1" pivotButton="0" quotePrefix="0" xfId="0">
      <alignment wrapText="1"/>
    </xf>
    <xf numFmtId="164" fontId="11" fillId="7" borderId="0" applyAlignment="1" pivotButton="0" quotePrefix="0" xfId="0">
      <alignment wrapText="1"/>
    </xf>
    <xf numFmtId="168" fontId="15" fillId="2" borderId="0" pivotButton="0" quotePrefix="0" xfId="0"/>
    <xf numFmtId="0" fontId="16" fillId="8" borderId="0" pivotButton="0" quotePrefix="0" xfId="0"/>
    <xf numFmtId="0" fontId="11" fillId="9" borderId="0" applyAlignment="1" pivotButton="0" quotePrefix="0" xfId="0">
      <alignment wrapText="1"/>
    </xf>
    <xf numFmtId="1" fontId="16" fillId="8" borderId="0" pivotButton="0" quotePrefix="0" xfId="0"/>
    <xf numFmtId="0" fontId="18" fillId="8" borderId="0" applyAlignment="1" pivotButton="0" quotePrefix="0" xfId="0">
      <alignment horizontal="center" vertical="center" wrapText="1"/>
    </xf>
    <xf numFmtId="164" fontId="18" fillId="8" borderId="0" applyAlignment="1" pivotButton="0" quotePrefix="0" xfId="0">
      <alignment horizontal="center" vertical="center" wrapText="1"/>
    </xf>
    <xf numFmtId="1" fontId="18" fillId="8" borderId="0" applyAlignment="1" pivotButton="0" quotePrefix="0" xfId="0">
      <alignment horizontal="center" vertical="center" wrapText="1"/>
    </xf>
    <xf numFmtId="168" fontId="15" fillId="2" borderId="0" applyAlignment="1" pivotButton="0" quotePrefix="0" xfId="0">
      <alignment wrapText="1"/>
    </xf>
    <xf numFmtId="0" fontId="1" fillId="6" borderId="8" applyAlignment="1" pivotButton="0" quotePrefix="0" xfId="1">
      <alignment vertical="center" wrapText="1"/>
    </xf>
    <xf numFmtId="0" fontId="1" fillId="6" borderId="9" applyAlignment="1" pivotButton="0" quotePrefix="0" xfId="1">
      <alignment vertical="center" wrapText="1"/>
    </xf>
    <xf numFmtId="0" fontId="1" fillId="6" borderId="0" applyAlignment="1" pivotButton="0" quotePrefix="0" xfId="1">
      <alignment vertical="center" wrapText="1"/>
    </xf>
    <xf numFmtId="0" fontId="1" fillId="6" borderId="6" applyAlignment="1" pivotButton="0" quotePrefix="0" xfId="1">
      <alignment vertical="center" wrapText="1"/>
    </xf>
    <xf numFmtId="0" fontId="2" fillId="4" borderId="0" applyAlignment="1" pivotButton="0" quotePrefix="0" xfId="1">
      <alignment vertical="center" wrapText="1"/>
    </xf>
    <xf numFmtId="0" fontId="2" fillId="4" borderId="6" applyAlignment="1" pivotButton="0" quotePrefix="0" xfId="1">
      <alignment vertical="center" wrapText="1"/>
    </xf>
    <xf numFmtId="0" fontId="17" fillId="6" borderId="5" applyAlignment="1" pivotButton="0" quotePrefix="0" xfId="1">
      <alignment vertical="center"/>
    </xf>
    <xf numFmtId="0" fontId="3" fillId="6" borderId="0" applyAlignment="1" pivotButton="0" quotePrefix="0" xfId="1">
      <alignment vertical="center"/>
    </xf>
    <xf numFmtId="0" fontId="3" fillId="6" borderId="6" applyAlignment="1" pivotButton="0" quotePrefix="0" xfId="1">
      <alignment vertical="center"/>
    </xf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9" fillId="4" borderId="0" applyAlignment="1" pivotButton="0" quotePrefix="0" xfId="0">
      <alignment vertical="center" wrapText="1"/>
    </xf>
    <xf numFmtId="0" fontId="8" fillId="4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7" fillId="6" borderId="10" applyAlignment="1" pivotButton="0" quotePrefix="0" xfId="1">
      <alignment vertical="center"/>
    </xf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164" fontId="0" fillId="0" borderId="0" pivotButton="0" quotePrefix="0" xfId="0"/>
    <xf numFmtId="164" fontId="2" fillId="5" borderId="0" applyAlignment="1" pivotButton="0" quotePrefix="0" xfId="0">
      <alignment horizontal="center" vertical="center" wrapText="1"/>
    </xf>
    <xf numFmtId="169" fontId="1" fillId="3" borderId="0" applyAlignment="1" pivotButton="0" quotePrefix="0" xfId="0">
      <alignment vertical="center"/>
    </xf>
    <xf numFmtId="165" fontId="1" fillId="3" borderId="0" applyAlignment="1" pivotButton="0" quotePrefix="0" xfId="0">
      <alignment vertical="center"/>
    </xf>
    <xf numFmtId="164" fontId="11" fillId="7" borderId="0" applyAlignment="1" pivotButton="0" quotePrefix="0" xfId="0">
      <alignment wrapText="1"/>
    </xf>
    <xf numFmtId="164" fontId="0" fillId="2" borderId="0" pivotButton="0" quotePrefix="0" xfId="0"/>
    <xf numFmtId="166" fontId="0" fillId="2" borderId="0" pivotButton="0" quotePrefix="0" xfId="0"/>
    <xf numFmtId="168" fontId="15" fillId="2" borderId="0" pivotButton="0" quotePrefix="0" xfId="0"/>
    <xf numFmtId="168" fontId="15" fillId="2" borderId="0" applyAlignment="1" pivotButton="0" quotePrefix="0" xfId="0">
      <alignment wrapText="1"/>
    </xf>
    <xf numFmtId="165" fontId="1" fillId="3" borderId="0" applyAlignment="1" pivotButton="0" quotePrefix="0" xfId="1">
      <alignment vertical="center"/>
    </xf>
    <xf numFmtId="167" fontId="1" fillId="3" borderId="0" applyAlignment="1" pivotButton="0" quotePrefix="0" xfId="1">
      <alignment vertical="center"/>
    </xf>
    <xf numFmtId="165" fontId="1" fillId="2" borderId="0" applyAlignment="1" pivotButton="0" quotePrefix="0" xfId="1">
      <alignment vertical="center"/>
    </xf>
    <xf numFmtId="166" fontId="1" fillId="3" borderId="0" applyAlignment="1" pivotButton="0" quotePrefix="0" xfId="1">
      <alignment vertical="center"/>
    </xf>
    <xf numFmtId="164" fontId="1" fillId="3" borderId="0" applyAlignment="1" pivotButton="0" quotePrefix="0" xfId="1">
      <alignment vertical="center"/>
    </xf>
    <xf numFmtId="164" fontId="18" fillId="8" borderId="0" applyAlignment="1" pivotButton="0" quotePrefix="0" xfId="0">
      <alignment horizontal="center" vertical="center" wrapText="1"/>
    </xf>
  </cellXfs>
  <cellStyles count="3">
    <cellStyle name="一般" xfId="0" builtinId="0"/>
    <cellStyle name="Normal" xfId="1"/>
    <cellStyle name="超連結" xfId="2" builtinId="8"/>
  </cellStyles>
  <dxfs count="175">
    <dxf>
      <font>
        <color rgb="FF8A4400"/>
      </font>
      <fill>
        <patternFill>
          <bgColor rgb="FFFFF0D6"/>
        </patternFill>
      </fill>
    </dxf>
    <dxf>
      <font>
        <color rgb="FF8A4400"/>
      </font>
      <fill>
        <patternFill>
          <bgColor rgb="FFFFF0D6"/>
        </patternFill>
      </fill>
    </dxf>
    <dxf>
      <font>
        <color rgb="FF8A4400"/>
      </font>
      <fill>
        <patternFill>
          <bgColor rgb="FFFFF0D6"/>
        </patternFill>
      </fill>
    </dxf>
    <dxf>
      <font>
        <color rgb="FF8A4400"/>
      </font>
      <fill>
        <patternFill>
          <bgColor rgb="FFFFF0D6"/>
        </patternFill>
      </fill>
    </dxf>
    <dxf>
      <font>
        <color rgb="FF993300"/>
      </font>
      <fill>
        <patternFill>
          <bgColor rgb="FFD9D9D9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993300"/>
      </font>
      <fill>
        <patternFill>
          <bgColor rgb="FFD9D9D9"/>
        </patternFill>
      </fill>
    </dxf>
    <dxf>
      <font>
        <color rgb="FF993300"/>
      </font>
      <fill>
        <patternFill>
          <bgColor rgb="FFD9D9D9"/>
        </patternFill>
      </fill>
    </dxf>
    <dxf>
      <font>
        <color rgb="FF993300"/>
      </font>
      <fill>
        <patternFill>
          <bgColor rgb="FFD9D9D9"/>
        </patternFill>
      </fill>
    </dxf>
    <dxf>
      <font>
        <color rgb="FF993300"/>
      </font>
      <fill>
        <patternFill>
          <bgColor rgb="FFD9D9D9"/>
        </patternFill>
      </fill>
    </dxf>
    <dxf>
      <font>
        <color rgb="FF993300"/>
      </font>
      <fill>
        <patternFill>
          <bgColor rgb="FFD9D9D9"/>
        </patternFill>
      </fill>
    </dxf>
    <dxf>
      <font>
        <color rgb="FF8A4400"/>
      </font>
      <fill>
        <patternFill>
          <bgColor rgb="FFFFF0D6"/>
        </patternFill>
      </fill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numFmt numFmtId="181" formatCode="0.########"/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numFmt numFmtId="181" formatCode="0.########"/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numFmt numFmtId="181" formatCode="0.########"/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numFmt numFmtId="181" formatCode="0.########"/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numFmt numFmtId="181" formatCode="0.########"/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numFmt numFmtId="176" formatCode="yyyy\-mm\-dd"/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numFmt numFmtId="181" formatCode="0.########"/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numFmt numFmtId="1" formatCode="0"/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fill>
        <patternFill patternType="solid">
          <fgColor indexed="64"/>
          <bgColor rgb="FFF2F2F2"/>
        </patternFill>
      </fill>
      <alignment horizontal="center" vertical="center" wrapText="1"/>
    </dxf>
    <dxf>
      <font>
        <name val="Microsoft JhengHei"/>
        <charset val="136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indexed="64"/>
          <bgColor rgb="FF24465A"/>
        </patternFill>
      </fill>
      <alignment horizontal="center" vertical="center" wrapText="1"/>
    </dxf>
    <dxf>
      <font>
        <name val="Microsoft JhengHei"/>
        <charset val="136"/>
        <family val="2"/>
        <strike val="0"/>
        <outline val="0"/>
        <shadow val="0"/>
        <condense val="0"/>
        <color rgb="FF172B3A"/>
        <extend val="0"/>
        <sz val="11"/>
        <vertAlign val="baseline"/>
      </font>
      <fill>
        <patternFill patternType="solid">
          <fgColor indexed="64"/>
          <bgColor rgb="FFEAF3FF"/>
        </patternFill>
      </fill>
      <alignment horizontal="general" vertical="center" wrapText="1"/>
    </dxf>
    <dxf>
      <font>
        <name val="Microsoft JhengHei"/>
        <charset val="136"/>
        <family val="2"/>
        <strike val="0"/>
        <outline val="0"/>
        <shadow val="0"/>
        <condense val="0"/>
        <color rgb="FF172B3A"/>
        <extend val="0"/>
        <sz val="11"/>
        <vertAlign val="baseline"/>
      </font>
      <fill>
        <patternFill patternType="solid">
          <fgColor indexed="64"/>
          <bgColor rgb="FFEAF3FF"/>
        </patternFill>
      </fill>
      <alignment horizontal="general" vertical="center"/>
    </dxf>
    <dxf>
      <font>
        <name val="Microsoft JhengHei"/>
        <charset val="136"/>
        <family val="2"/>
        <strike val="0"/>
        <outline val="0"/>
        <shadow val="0"/>
        <condense val="0"/>
        <color rgb="FF172B3A"/>
        <extend val="0"/>
        <sz val="11"/>
        <vertAlign val="baseline"/>
      </font>
      <fill>
        <patternFill patternType="solid">
          <fgColor indexed="64"/>
          <bgColor rgb="FFEAF3FF"/>
        </patternFill>
      </fill>
      <alignment horizontal="general" vertical="center"/>
    </dxf>
    <dxf>
      <font>
        <name val="Microsoft JhengHei"/>
        <charset val="136"/>
        <family val="2"/>
        <strike val="0"/>
        <outline val="0"/>
        <shadow val="0"/>
        <condense val="0"/>
        <color rgb="FF172B3A"/>
        <extend val="0"/>
        <sz val="11"/>
        <vertAlign val="baseline"/>
      </font>
      <fill>
        <patternFill patternType="solid">
          <fgColor indexed="64"/>
          <bgColor rgb="FFEAF3FF"/>
        </patternFill>
      </fill>
      <alignment horizontal="general" vertical="center"/>
    </dxf>
    <dxf>
      <font>
        <name val="Microsoft JhengHei"/>
        <charset val="136"/>
        <family val="2"/>
        <strike val="0"/>
        <outline val="0"/>
        <shadow val="0"/>
        <condense val="0"/>
        <color rgb="FF172B3A"/>
        <extend val="0"/>
        <sz val="11"/>
        <vertAlign val="baseline"/>
      </font>
      <fill>
        <patternFill patternType="solid">
          <fgColor indexed="64"/>
          <bgColor rgb="FFEAF3FF"/>
        </patternFill>
      </fill>
      <alignment horizontal="general" vertical="center"/>
    </dxf>
    <dxf>
      <font>
        <name val="Microsoft JhengHei"/>
        <charset val="136"/>
        <family val="2"/>
        <strike val="0"/>
        <outline val="0"/>
        <shadow val="0"/>
        <condense val="0"/>
        <color rgb="FF172B3A"/>
        <extend val="0"/>
        <sz val="11"/>
        <vertAlign val="baseline"/>
      </font>
      <fill>
        <patternFill patternType="solid">
          <fgColor indexed="64"/>
          <bgColor rgb="FFEAF3FF"/>
        </patternFill>
      </fill>
      <alignment horizontal="general" vertical="center"/>
    </dxf>
    <dxf>
      <font>
        <name val="Microsoft JhengHei"/>
        <charset val="136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indexed="64"/>
          <bgColor rgb="FF2563A6"/>
        </patternFill>
      </fill>
      <alignment horizontal="center" vertical="center" wrapText="1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F2F4F7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F2F4F7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numFmt numFmtId="176" formatCode="yyyy\-mm\-dd"/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EAF3FF"/>
        </patternFill>
      </fill>
      <alignment horizontal="general" vertical="center" wrapText="1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numFmt numFmtId="176" formatCode="yyyy\-mm\-dd"/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numFmt numFmtId="176" formatCode="yyyy\-mm\-dd"/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numFmt numFmtId="178" formatCode="0.0###########"/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numFmt numFmtId="178" formatCode="0.0###########"/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F2F4F7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FFFFFF"/>
        <sz val="11"/>
        <vertAlign val="baseline"/>
      </font>
      <fill>
        <patternFill patternType="solid">
          <fgColor indexed="64"/>
          <bgColor rgb="FF24465A"/>
        </patternFill>
      </fill>
      <alignment horizontal="center" vertical="center" wrapText="1"/>
    </dxf>
    <dxf>
      <font>
        <name val="Microsoft JhengHei"/>
        <charset val="136"/>
        <family val="2"/>
        <strike val="0"/>
        <outline val="0"/>
        <shadow val="0"/>
        <condense val="0"/>
        <color rgb="FF134D8C"/>
        <extend val="0"/>
        <sz val="11"/>
        <vertAlign val="baseline"/>
      </font>
      <numFmt numFmtId="30" formatCode="@"/>
      <fill>
        <patternFill patternType="solid">
          <fgColor indexed="64"/>
          <bgColor rgb="FFEAF3FF"/>
        </patternFill>
      </fill>
      <alignment horizontal="general" vertical="center"/>
    </dxf>
    <dxf>
      <font>
        <name val="Microsoft JhengHei"/>
        <charset val="136"/>
        <family val="2"/>
        <strike val="0"/>
        <outline val="0"/>
        <shadow val="0"/>
        <condense val="0"/>
        <color rgb="FF134D8C"/>
        <extend val="0"/>
        <sz val="11"/>
        <vertAlign val="baseline"/>
      </font>
      <numFmt numFmtId="30" formatCode="@"/>
      <fill>
        <patternFill patternType="solid">
          <fgColor indexed="64"/>
          <bgColor rgb="FFEAF3FF"/>
        </patternFill>
      </fill>
      <alignment horizontal="general" vertical="center"/>
    </dxf>
    <dxf>
      <font>
        <name val="Microsoft JhengHei"/>
        <charset val="136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</font>
      <numFmt numFmtId="30" formatCode="@"/>
      <fill>
        <patternFill patternType="solid">
          <fgColor indexed="64"/>
          <bgColor rgb="FF2563A6"/>
        </patternFill>
      </fill>
      <alignment horizontal="general" vertical="center"/>
    </dxf>
    <dxf>
      <font>
        <name val="Microsoft JhengHei"/>
        <charset val="136"/>
        <family val="2"/>
        <strike val="0"/>
        <outline val="0"/>
        <shadow val="0"/>
        <condense val="0"/>
        <color rgb="FF134D8C"/>
        <extend val="0"/>
        <sz val="11"/>
        <vertAlign val="baseline"/>
      </font>
      <numFmt numFmtId="30" formatCode="@"/>
      <fill>
        <patternFill patternType="solid">
          <fgColor indexed="64"/>
          <bgColor rgb="FFEAF3FF"/>
        </patternFill>
      </fill>
      <alignment horizontal="general" vertical="center"/>
    </dxf>
    <dxf>
      <font>
        <name val="Microsoft JhengHei"/>
        <charset val="136"/>
        <family val="2"/>
        <strike val="0"/>
        <outline val="0"/>
        <shadow val="0"/>
        <condense val="0"/>
        <color rgb="FF134D8C"/>
        <extend val="0"/>
        <sz val="11"/>
        <vertAlign val="baseline"/>
      </font>
      <numFmt numFmtId="30" formatCode="@"/>
      <fill>
        <patternFill patternType="solid">
          <fgColor indexed="64"/>
          <bgColor rgb="FFEAF3FF"/>
        </patternFill>
      </fill>
      <alignment horizontal="general" vertical="center"/>
    </dxf>
    <dxf>
      <font>
        <name val="Microsoft JhengHei"/>
        <charset val="136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</font>
      <numFmt numFmtId="30" formatCode="@"/>
      <fill>
        <patternFill patternType="solid">
          <fgColor indexed="64"/>
          <bgColor rgb="FF2563A6"/>
        </patternFill>
      </fill>
      <alignment horizontal="general" vertical="center"/>
    </dxf>
    <dxf>
      <font>
        <name val="Microsoft JhengHei"/>
        <charset val="136"/>
        <family val="2"/>
        <strike val="0"/>
        <outline val="0"/>
        <shadow val="0"/>
        <condense val="0"/>
        <color rgb="FF134D8C"/>
        <extend val="0"/>
        <sz val="11"/>
        <vertAlign val="baseline"/>
      </font>
      <numFmt numFmtId="30" formatCode="@"/>
      <fill>
        <patternFill patternType="solid">
          <fgColor indexed="64"/>
          <bgColor rgb="FFEAF3FF"/>
        </patternFill>
      </fill>
      <alignment horizontal="general" vertical="center" wrapText="1"/>
    </dxf>
    <dxf>
      <font>
        <name val="Microsoft JhengHei"/>
        <charset val="136"/>
        <family val="2"/>
        <strike val="0"/>
        <outline val="0"/>
        <shadow val="0"/>
        <condense val="0"/>
        <color rgb="FF134D8C"/>
        <extend val="0"/>
        <sz val="11"/>
        <vertAlign val="baseline"/>
      </font>
      <numFmt numFmtId="30" formatCode="@"/>
      <fill>
        <patternFill patternType="solid">
          <fgColor indexed="64"/>
          <bgColor rgb="FFEAF3FF"/>
        </patternFill>
      </fill>
      <alignment horizontal="general" vertical="center" wrapText="1"/>
    </dxf>
    <dxf>
      <font>
        <name val="Microsoft JhengHei"/>
        <charset val="136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</font>
      <numFmt numFmtId="30" formatCode="@"/>
      <fill>
        <patternFill patternType="solid">
          <fgColor indexed="64"/>
          <bgColor rgb="FF2563A6"/>
        </patternFill>
      </fill>
      <alignment horizontal="general" vertical="center"/>
    </dxf>
    <dxf>
      <font>
        <color rgb="FF134D8C"/>
      </font>
      <numFmt numFmtId="30" formatCode="@"/>
      <fill>
        <patternFill patternType="solid">
          <fgColor indexed="64"/>
          <bgColor rgb="FFEAF3FF"/>
        </patternFill>
      </fill>
    </dxf>
    <dxf>
      <font>
        <charset val="136"/>
        <family val="2"/>
        <color rgb="FF134D8C"/>
      </font>
      <numFmt numFmtId="30" formatCode="@"/>
      <fill>
        <patternFill patternType="solid">
          <fgColor indexed="64"/>
          <bgColor rgb="FFEAF3FF"/>
        </patternFill>
      </fill>
    </dxf>
    <dxf>
      <font>
        <name val="Microsoft JhengHei"/>
        <charset val="136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</font>
      <numFmt numFmtId="30" formatCode="@"/>
      <fill>
        <patternFill patternType="solid">
          <fgColor indexed="64"/>
          <bgColor rgb="FF2563A6"/>
        </patternFill>
      </fill>
      <alignment horizontal="general" vertical="center"/>
    </dxf>
    <dxf>
      <font>
        <name val="Microsoft JhengHei"/>
        <charset val="136"/>
        <family val="2"/>
        <strike val="0"/>
        <outline val="0"/>
        <shadow val="0"/>
        <condense val="0"/>
        <color rgb="FF134D8C"/>
        <extend val="0"/>
        <sz val="11"/>
        <vertAlign val="baseline"/>
      </font>
      <fill>
        <patternFill patternType="solid">
          <fgColor indexed="64"/>
          <bgColor rgb="FFEAF3FF"/>
        </patternFill>
      </fill>
      <alignment horizontal="general" vertical="center"/>
    </dxf>
    <dxf>
      <font>
        <name val="Microsoft JhengHei"/>
        <charset val="136"/>
        <family val="2"/>
        <strike val="0"/>
        <outline val="0"/>
        <shadow val="0"/>
        <condense val="0"/>
        <color rgb="FF134D8C"/>
        <extend val="0"/>
        <sz val="11"/>
        <vertAlign val="baseline"/>
      </font>
      <fill>
        <patternFill patternType="solid">
          <fgColor indexed="64"/>
          <bgColor rgb="FFEAF3FF"/>
        </patternFill>
      </fill>
      <alignment horizontal="general" vertical="center"/>
    </dxf>
    <dxf>
      <font>
        <name val="Microsoft JhengHei"/>
        <charset val="136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indexed="64"/>
          <bgColor rgb="FF2563A6"/>
        </patternFill>
      </fill>
      <alignment horizontal="center"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EAF3FF"/>
        </patternFill>
      </fill>
      <alignment horizontal="general" vertical="center" wrapText="1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EAF3FF"/>
        </patternFill>
      </fill>
      <alignment horizontal="general" vertical="center" wrapText="1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EAF3FF"/>
        </patternFill>
      </fill>
      <alignment horizontal="general" vertical="center" wrapText="1"/>
    </dxf>
    <dxf>
      <font>
        <name val="Microsoft JhengHei"/>
        <charset val="136"/>
        <family val="2"/>
        <strike val="0"/>
        <outline val="0"/>
        <shadow val="0"/>
        <color rgb="FFFFFFFF"/>
        <sz val="11"/>
        <vertAlign val="baseline"/>
      </font>
      <fill>
        <patternFill patternType="solid">
          <fgColor indexed="64"/>
          <bgColor rgb="FF2563A6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F2F4F7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F2F4F7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F2F4F7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FFFFFF"/>
        <sz val="11"/>
        <vertAlign val="baseline"/>
      </font>
      <fill>
        <patternFill patternType="solid">
          <fgColor indexed="64"/>
          <bgColor rgb="FF24465A"/>
        </patternFill>
      </fill>
      <alignment horizontal="center" vertical="center" wrapText="1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F2F4F7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F2F4F7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F2F4F7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FFFFFF"/>
        <sz val="11"/>
        <vertAlign val="baseline"/>
      </font>
      <fill>
        <patternFill patternType="solid">
          <fgColor indexed="64"/>
          <bgColor rgb="FF24465A"/>
        </patternFill>
      </fill>
      <alignment horizontal="center" vertical="center" wrapText="1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F2F4F7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numFmt numFmtId="177" formatCode="0.000"/>
      <fill>
        <patternFill patternType="solid">
          <fgColor indexed="64"/>
          <bgColor rgb="FFF2F4F7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numFmt numFmtId="177" formatCode="0.000"/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numFmt numFmtId="177" formatCode="0.000"/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numFmt numFmtId="177" formatCode="0.000"/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numFmt numFmtId="177" formatCode="0.000"/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numFmt numFmtId="179" formatCode="0.0"/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numFmt numFmtId="179" formatCode="0.0"/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numFmt numFmtId="177" formatCode="0.000"/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F2F4F7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FFFFFF"/>
        <sz val="11"/>
        <vertAlign val="baseline"/>
      </font>
      <fill>
        <patternFill patternType="solid">
          <fgColor indexed="64"/>
          <bgColor rgb="FF24465A"/>
        </patternFill>
      </fill>
      <alignment horizontal="center" vertical="center" wrapText="1"/>
    </dxf>
    <dxf>
      <font>
        <color rgb="FF505050"/>
      </font>
      <numFmt numFmtId="180" formatCode="0.############"/>
      <fill>
        <patternFill patternType="solid">
          <fgColor indexed="64"/>
          <bgColor rgb="FFF2F4F7"/>
        </patternFill>
      </fill>
    </dxf>
    <dxf>
      <font>
        <color rgb="FF505050"/>
      </font>
      <numFmt numFmtId="180" formatCode="0.############"/>
      <fill>
        <patternFill patternType="solid">
          <fgColor indexed="64"/>
          <bgColor rgb="FFF2F4F7"/>
        </patternFill>
      </fill>
    </dxf>
    <dxf>
      <font>
        <color rgb="FF505050"/>
      </font>
      <numFmt numFmtId="180" formatCode="0.############"/>
      <fill>
        <patternFill patternType="solid">
          <fgColor indexed="64"/>
          <bgColor rgb="FFF2F4F7"/>
        </patternFill>
      </fill>
      <alignment horizontal="general" vertical="bottom" wrapText="1"/>
    </dxf>
    <dxf>
      <font>
        <color rgb="FF505050"/>
      </font>
      <numFmt numFmtId="180" formatCode="0.############"/>
      <fill>
        <patternFill patternType="solid">
          <fgColor indexed="64"/>
          <bgColor rgb="FFF2F4F7"/>
        </patternFill>
      </fill>
      <alignment horizontal="general" vertical="bottom" wrapText="1"/>
    </dxf>
    <dxf>
      <font>
        <color rgb="FF505050"/>
      </font>
      <numFmt numFmtId="180" formatCode="0.############"/>
      <fill>
        <patternFill patternType="solid">
          <fgColor indexed="64"/>
          <bgColor rgb="FFF2F4F7"/>
        </patternFill>
      </fill>
      <alignment horizontal="general" vertical="bottom" wrapText="1"/>
    </dxf>
    <dxf>
      <font>
        <color rgb="FF505050"/>
      </font>
      <numFmt numFmtId="180" formatCode="0.############"/>
      <fill>
        <patternFill patternType="solid">
          <fgColor indexed="64"/>
          <bgColor rgb="FFF2F4F7"/>
        </patternFill>
      </fill>
      <alignment horizontal="general" vertical="bottom" wrapText="1"/>
    </dxf>
    <dxf>
      <font>
        <color rgb="FF505050"/>
      </font>
      <numFmt numFmtId="180" formatCode="0.############"/>
      <fill>
        <patternFill patternType="solid">
          <fgColor indexed="64"/>
          <bgColor rgb="FFF2F4F7"/>
        </patternFill>
      </fill>
      <alignment horizontal="general" vertical="bottom" wrapText="1"/>
    </dxf>
    <dxf>
      <font>
        <color rgb="FF505050"/>
      </font>
      <numFmt numFmtId="180" formatCode="0.############"/>
      <fill>
        <patternFill patternType="solid">
          <fgColor indexed="64"/>
          <bgColor rgb="FFF2F4F7"/>
        </patternFill>
      </fill>
      <alignment horizontal="general" vertical="bottom" wrapText="1"/>
    </dxf>
    <dxf>
      <font>
        <color rgb="FF505050"/>
      </font>
      <numFmt numFmtId="180" formatCode="0.############"/>
      <fill>
        <patternFill patternType="solid">
          <fgColor indexed="64"/>
          <bgColor rgb="FFF2F4F7"/>
        </patternFill>
      </fill>
      <alignment horizontal="general" vertical="bottom" wrapText="1"/>
    </dxf>
    <dxf>
      <font>
        <color rgb="FF505050"/>
      </font>
      <numFmt numFmtId="180" formatCode="0.############"/>
      <fill>
        <patternFill patternType="solid">
          <fgColor indexed="64"/>
          <bgColor rgb="FFF2F4F7"/>
        </patternFill>
      </fill>
      <alignment horizontal="general" vertical="bottom" wrapText="1"/>
    </dxf>
    <dxf>
      <font>
        <color rgb="FF505050"/>
      </font>
      <numFmt numFmtId="180" formatCode="0.############"/>
      <fill>
        <patternFill patternType="solid">
          <fgColor indexed="64"/>
          <bgColor rgb="FFF2F4F7"/>
        </patternFill>
      </fill>
      <alignment horizontal="general" vertical="bottom" wrapText="1"/>
    </dxf>
    <dxf>
      <font>
        <color rgb="FF505050"/>
      </font>
      <numFmt numFmtId="180" formatCode="0.############"/>
      <fill>
        <patternFill patternType="solid">
          <fgColor indexed="64"/>
          <bgColor rgb="FFF2F4F7"/>
        </patternFill>
      </fill>
    </dxf>
    <dxf>
      <font>
        <color rgb="FF505050"/>
      </font>
      <numFmt numFmtId="180" formatCode="0.############"/>
      <fill>
        <patternFill patternType="solid">
          <fgColor indexed="64"/>
          <bgColor rgb="FFF2F4F7"/>
        </patternFill>
      </fill>
    </dxf>
    <dxf>
      <font>
        <color rgb="FF505050"/>
      </font>
      <numFmt numFmtId="180" formatCode="0.############"/>
      <fill>
        <patternFill patternType="solid">
          <fgColor indexed="64"/>
          <bgColor rgb="FFF2F4F7"/>
        </patternFill>
      </fill>
    </dxf>
    <dxf>
      <font>
        <color rgb="FF505050"/>
      </font>
      <numFmt numFmtId="180" formatCode="0.############"/>
      <fill>
        <patternFill patternType="solid">
          <fgColor indexed="64"/>
          <bgColor rgb="FFF2F4F7"/>
        </patternFill>
      </fill>
    </dxf>
    <dxf>
      <font>
        <color rgb="FF505050"/>
      </font>
      <numFmt numFmtId="180" formatCode="0.############"/>
      <fill>
        <patternFill patternType="solid">
          <fgColor indexed="64"/>
          <bgColor rgb="FFF2F4F7"/>
        </patternFill>
      </fill>
    </dxf>
    <dxf>
      <font>
        <color rgb="FF505050"/>
      </font>
      <numFmt numFmtId="180" formatCode="0.############"/>
      <fill>
        <patternFill patternType="solid">
          <fgColor indexed="64"/>
          <bgColor rgb="FFF2F4F7"/>
        </patternFill>
      </fill>
    </dxf>
    <dxf>
      <font>
        <color rgb="FF505050"/>
      </font>
      <numFmt numFmtId="180" formatCode="0.############"/>
      <fill>
        <patternFill patternType="solid">
          <fgColor indexed="64"/>
          <bgColor rgb="FFF2F4F7"/>
        </patternFill>
      </fill>
    </dxf>
    <dxf>
      <font>
        <color rgb="FF505050"/>
      </font>
      <numFmt numFmtId="180" formatCode="0.############"/>
      <fill>
        <patternFill patternType="solid">
          <fgColor indexed="64"/>
          <bgColor rgb="FFF2F4F7"/>
        </patternFill>
      </fill>
    </dxf>
    <dxf>
      <font>
        <color rgb="FF505050"/>
      </font>
      <numFmt numFmtId="180" formatCode="0.############"/>
      <fill>
        <patternFill patternType="solid">
          <fgColor indexed="64"/>
          <bgColor rgb="FFF2F4F7"/>
        </patternFill>
      </fill>
    </dxf>
    <dxf>
      <font>
        <color rgb="FF505050"/>
      </font>
      <numFmt numFmtId="180" formatCode="0.############"/>
      <fill>
        <patternFill patternType="solid">
          <fgColor indexed="64"/>
          <bgColor rgb="FFF2F4F7"/>
        </patternFill>
      </fill>
    </dxf>
    <dxf>
      <font>
        <color rgb="FF505050"/>
      </font>
      <numFmt numFmtId="180" formatCode="0.############"/>
      <fill>
        <patternFill patternType="solid">
          <fgColor indexed="64"/>
          <bgColor rgb="FFF2F4F7"/>
        </patternFill>
      </fill>
    </dxf>
    <dxf>
      <font>
        <color rgb="FF505050"/>
      </font>
      <numFmt numFmtId="180" formatCode="0.############"/>
      <fill>
        <patternFill patternType="solid">
          <fgColor indexed="64"/>
          <bgColor rgb="FFF2F4F7"/>
        </patternFill>
      </fill>
    </dxf>
    <dxf>
      <font>
        <color rgb="FF505050"/>
      </font>
      <numFmt numFmtId="180" formatCode="0.############"/>
      <fill>
        <patternFill patternType="solid">
          <fgColor indexed="64"/>
          <bgColor rgb="FFF2F4F7"/>
        </patternFill>
      </fill>
    </dxf>
    <dxf>
      <font>
        <color rgb="FF505050"/>
      </font>
      <numFmt numFmtId="180" formatCode="0.############"/>
      <fill>
        <patternFill patternType="solid">
          <fgColor indexed="64"/>
          <bgColor rgb="FFF2F4F7"/>
        </patternFill>
      </fill>
    </dxf>
    <dxf>
      <font>
        <color rgb="FF505050"/>
      </font>
      <numFmt numFmtId="180" formatCode="0.############"/>
      <fill>
        <patternFill patternType="solid">
          <fgColor indexed="64"/>
          <bgColor rgb="FFF2F4F7"/>
        </patternFill>
      </fill>
    </dxf>
    <dxf>
      <font>
        <color rgb="FF505050"/>
      </font>
      <numFmt numFmtId="180" formatCode="0.############"/>
      <fill>
        <patternFill patternType="solid">
          <fgColor indexed="64"/>
          <bgColor rgb="FFF2F4F7"/>
        </patternFill>
      </fill>
    </dxf>
    <dxf>
      <font>
        <color rgb="FF0070C0"/>
      </font>
      <fill>
        <patternFill patternType="solid">
          <fgColor indexed="64"/>
          <bgColor rgb="FFF2F2F2"/>
        </patternFill>
      </fill>
    </dxf>
    <dxf>
      <numFmt numFmtId="178" formatCode="0.0###########"/>
      <fill>
        <patternFill patternType="solid">
          <fgColor indexed="64"/>
          <bgColor rgb="FFF2F4F7"/>
        </patternFill>
      </fill>
    </dxf>
    <dxf>
      <numFmt numFmtId="176" formatCode="yyyy\-mm\-dd"/>
      <fill>
        <patternFill patternType="solid">
          <fgColor indexed="64"/>
          <bgColor rgb="FFF2F4F7"/>
        </patternFill>
      </fill>
    </dxf>
    <dxf>
      <fill>
        <patternFill patternType="solid">
          <fgColor indexed="64"/>
          <bgColor rgb="FFF2F4F7"/>
        </patternFill>
      </fill>
    </dxf>
    <dxf>
      <fill>
        <patternFill patternType="solid">
          <fgColor indexed="64"/>
          <bgColor rgb="FFEAF3FF"/>
        </patternFill>
      </fill>
    </dxf>
    <dxf>
      <fill>
        <patternFill patternType="solid">
          <fgColor indexed="64"/>
          <bgColor rgb="FFEAF3FF"/>
        </patternFill>
      </fill>
    </dxf>
    <dxf>
      <numFmt numFmtId="30" formatCode="@"/>
      <fill>
        <patternFill patternType="solid">
          <fgColor indexed="64"/>
          <bgColor rgb="FFEAF3FF"/>
        </patternFill>
      </fill>
    </dxf>
    <dxf>
      <fill>
        <patternFill patternType="solid">
          <fgColor indexed="64"/>
          <bgColor rgb="FFEAF3FF"/>
        </patternFill>
      </fill>
    </dxf>
    <dxf>
      <font>
        <family val="2"/>
        <b val="1"/>
        <color rgb="FFFFFFFF"/>
      </font>
      <alignment horizontal="general" vertical="bottom" wrapText="1"/>
    </dxf>
    <dxf>
      <font>
        <name val="Microsoft JhengHei"/>
        <charset val="136"/>
        <family val="2"/>
        <strike val="0"/>
        <outline val="0"/>
        <shadow val="0"/>
        <condense val="0"/>
        <color rgb="FF172B3A"/>
        <extend val="0"/>
        <sz val="11"/>
        <vertAlign val="baseline"/>
      </font>
      <fill>
        <patternFill patternType="solid">
          <fgColor indexed="64"/>
          <bgColor rgb="FFF2F4F7"/>
        </patternFill>
      </fill>
      <alignment horizontal="general" vertical="center"/>
    </dxf>
    <dxf>
      <font>
        <name val="Microsoft JhengHei"/>
        <charset val="136"/>
        <family val="2"/>
        <strike val="0"/>
        <outline val="0"/>
        <shadow val="0"/>
        <condense val="0"/>
        <color rgb="FF172B3A"/>
        <extend val="0"/>
        <sz val="11"/>
        <vertAlign val="baseline"/>
      </font>
      <fill>
        <patternFill patternType="solid">
          <fgColor indexed="64"/>
          <bgColor rgb="FFF2F4F7"/>
        </patternFill>
      </fill>
      <alignment horizontal="general" vertical="center"/>
    </dxf>
    <dxf>
      <font>
        <name val="Microsoft JhengHei"/>
        <charset val="136"/>
        <family val="2"/>
        <strike val="0"/>
        <outline val="0"/>
        <shadow val="0"/>
        <condense val="0"/>
        <color rgb="FF172B3A"/>
        <extend val="0"/>
        <sz val="11"/>
        <vertAlign val="baseline"/>
      </font>
      <fill>
        <patternFill patternType="solid">
          <fgColor indexed="64"/>
          <bgColor rgb="FFF2F4F7"/>
        </patternFill>
      </fill>
      <alignment horizontal="general" vertical="center"/>
    </dxf>
    <dxf>
      <font>
        <name val="Microsoft JhengHei"/>
        <charset val="136"/>
        <family val="2"/>
        <strike val="0"/>
        <outline val="0"/>
        <shadow val="0"/>
        <condense val="0"/>
        <color rgb="FF172B3A"/>
        <extend val="0"/>
        <sz val="11"/>
        <vertAlign val="baseline"/>
      </font>
      <fill>
        <patternFill patternType="solid">
          <fgColor indexed="64"/>
          <bgColor rgb="FFEAF3FF"/>
        </patternFill>
      </fill>
      <alignment horizontal="general" vertical="center"/>
    </dxf>
    <dxf>
      <font>
        <name val="Microsoft JhengHei"/>
        <charset val="136"/>
        <family val="2"/>
        <strike val="0"/>
        <outline val="0"/>
        <shadow val="0"/>
        <condense val="0"/>
        <color rgb="FF172B3A"/>
        <extend val="0"/>
        <sz val="11"/>
        <vertAlign val="baseline"/>
      </font>
      <fill>
        <patternFill patternType="solid">
          <fgColor indexed="64"/>
          <bgColor rgb="FFEAF3FF"/>
        </patternFill>
      </fill>
      <alignment horizontal="general" vertical="center"/>
    </dxf>
    <dxf>
      <font>
        <name val="Microsoft JhengHei"/>
        <charset val="136"/>
        <family val="2"/>
        <strike val="0"/>
        <outline val="0"/>
        <shadow val="0"/>
        <condense val="0"/>
        <color rgb="FF172B3A"/>
        <extend val="0"/>
        <sz val="11"/>
        <vertAlign val="baseline"/>
      </font>
      <fill>
        <patternFill patternType="solid">
          <fgColor indexed="64"/>
          <bgColor rgb="FFEAF3FF"/>
        </patternFill>
      </fill>
      <alignment horizontal="general" vertical="center"/>
    </dxf>
    <dxf>
      <font>
        <name val="Microsoft JhengHei"/>
        <charset val="136"/>
        <family val="2"/>
        <strike val="0"/>
        <outline val="0"/>
        <shadow val="0"/>
        <condense val="0"/>
        <color rgb="FF172B3A"/>
        <extend val="0"/>
        <sz val="11"/>
        <vertAlign val="baseline"/>
      </font>
      <fill>
        <patternFill patternType="solid">
          <fgColor indexed="64"/>
          <bgColor rgb="FFEAF3FF"/>
        </patternFill>
      </fill>
      <alignment horizontal="general" vertical="center"/>
    </dxf>
    <dxf>
      <font>
        <name val="Microsoft JhengHei"/>
        <charset val="136"/>
        <family val="2"/>
        <strike val="0"/>
        <outline val="0"/>
        <shadow val="0"/>
        <condense val="0"/>
        <color rgb="FF172B3A"/>
        <extend val="0"/>
        <sz val="11"/>
        <vertAlign val="baseline"/>
      </font>
      <numFmt numFmtId="177" formatCode="0.000"/>
      <fill>
        <patternFill patternType="solid">
          <fgColor indexed="64"/>
          <bgColor rgb="FFEAF3FF"/>
        </patternFill>
      </fill>
      <alignment horizontal="general" vertical="center"/>
    </dxf>
    <dxf>
      <font>
        <name val="Microsoft JhengHei"/>
        <charset val="136"/>
        <family val="2"/>
        <strike val="0"/>
        <outline val="0"/>
        <shadow val="0"/>
        <condense val="0"/>
        <color rgb="FF172B3A"/>
        <extend val="0"/>
        <sz val="11"/>
        <vertAlign val="baseline"/>
      </font>
      <numFmt numFmtId="177" formatCode="0.000"/>
      <fill>
        <patternFill patternType="solid">
          <fgColor indexed="64"/>
          <bgColor rgb="FFEAF3FF"/>
        </patternFill>
      </fill>
      <alignment horizontal="general" vertical="center"/>
    </dxf>
    <dxf>
      <font>
        <name val="Microsoft JhengHei"/>
        <charset val="136"/>
        <family val="2"/>
        <strike val="0"/>
        <outline val="0"/>
        <shadow val="0"/>
        <condense val="0"/>
        <color rgb="FF172B3A"/>
        <extend val="0"/>
        <sz val="11"/>
        <vertAlign val="baseline"/>
      </font>
      <numFmt numFmtId="177" formatCode="0.000"/>
      <fill>
        <patternFill patternType="solid">
          <fgColor indexed="64"/>
          <bgColor rgb="FFEAF3FF"/>
        </patternFill>
      </fill>
      <alignment horizontal="general" vertical="center"/>
    </dxf>
    <dxf>
      <font>
        <name val="Microsoft JhengHei"/>
        <charset val="136"/>
        <family val="2"/>
        <strike val="0"/>
        <outline val="0"/>
        <shadow val="0"/>
        <condense val="0"/>
        <color rgb="FF172B3A"/>
        <extend val="0"/>
        <sz val="11"/>
        <vertAlign val="baseline"/>
      </font>
      <fill>
        <patternFill patternType="solid">
          <fgColor indexed="64"/>
          <bgColor rgb="FFEAF3FF"/>
        </patternFill>
      </fill>
      <alignment horizontal="general" vertical="center"/>
    </dxf>
    <dxf>
      <font>
        <name val="Microsoft JhengHei"/>
        <charset val="136"/>
        <family val="2"/>
        <strike val="0"/>
        <outline val="0"/>
        <shadow val="0"/>
        <condense val="0"/>
        <color rgb="FF172B3A"/>
        <extend val="0"/>
        <sz val="11"/>
        <vertAlign val="baseline"/>
      </font>
      <numFmt numFmtId="176" formatCode="yyyy\-mm\-dd"/>
      <fill>
        <patternFill patternType="solid">
          <fgColor indexed="64"/>
          <bgColor rgb="FFEAF3FF"/>
        </patternFill>
      </fill>
      <alignment horizontal="general" vertical="center"/>
    </dxf>
    <dxf>
      <font>
        <name val="Microsoft JhengHei"/>
        <charset val="136"/>
        <family val="2"/>
        <strike val="0"/>
        <outline val="0"/>
        <shadow val="0"/>
        <condense val="0"/>
        <color rgb="FF172B3A"/>
        <extend val="0"/>
        <sz val="11"/>
        <vertAlign val="baseline"/>
      </font>
      <fill>
        <patternFill patternType="solid">
          <fgColor indexed="64"/>
          <bgColor rgb="FFEAF3FF"/>
        </patternFill>
      </fill>
      <alignment horizontal="general" vertical="center"/>
    </dxf>
    <dxf>
      <font>
        <name val="Microsoft JhengHei"/>
        <charset val="136"/>
        <family val="2"/>
        <strike val="0"/>
        <outline val="0"/>
        <shadow val="0"/>
        <condense val="0"/>
        <color rgb="FF172B3A"/>
        <extend val="0"/>
        <sz val="11"/>
        <vertAlign val="baseline"/>
      </font>
      <fill>
        <patternFill patternType="solid">
          <fgColor indexed="64"/>
          <bgColor rgb="FFEAF3FF"/>
        </patternFill>
      </fill>
      <alignment horizontal="general" vertical="center"/>
    </dxf>
    <dxf>
      <font>
        <name val="Microsoft JhengHei"/>
        <charset val="136"/>
        <family val="2"/>
        <strike val="0"/>
        <outline val="0"/>
        <shadow val="0"/>
        <condense val="0"/>
        <color rgb="FF172B3A"/>
        <extend val="0"/>
        <sz val="11"/>
        <vertAlign val="baseline"/>
      </font>
      <fill>
        <patternFill patternType="solid">
          <fgColor indexed="64"/>
          <bgColor rgb="FFF2F4F7"/>
        </patternFill>
      </fill>
      <alignment horizontal="general" vertical="center"/>
    </dxf>
    <dxf>
      <font>
        <name val="Microsoft JhengHei"/>
        <charset val="136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indexed="64"/>
          <bgColor rgb="FF24465A"/>
        </patternFill>
      </fill>
      <alignment horizontal="center" vertical="center"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amples" displayName="Samples" ref="A1:N73" headerRowCount="1" totalsRowShown="0" headerRowDxfId="174" dataDxfId="173">
  <autoFilter ref="A1:N73"/>
  <tableColumns count="14">
    <tableColumn id="1" name="樣品編號" dataDxfId="172"/>
    <tableColumn id="2" name="監測點" dataDxfId="171"/>
    <tableColumn id="4" name="採樣日期" dataDxfId="170"/>
    <tableColumn id="5" name="採樣說明" dataDxfId="169"/>
    <tableColumn id="6" name="採樣深度(m)" dataDxfId="168"/>
    <tableColumn id="7" name="深度起(m)" dataDxfId="167"/>
    <tableColumn id="8" name="深度迄(m)" dataDxfId="166"/>
    <tableColumn id="9" name="採樣方法" dataDxfId="165"/>
    <tableColumn id="10" name="採樣單位" dataDxfId="164"/>
    <tableColumn id="11" name="檢測單位" dataDxfId="163"/>
    <tableColumn id="12" name="備註" dataDxfId="162"/>
    <tableColumn id="3" name="介質" dataDxfId="161">
      <calculatedColumnFormula>IF(B2="","",IF(COUNTIF(DB_03[監測點],B2)=1,INDEX(DB_03[預設介質],MATCH(B2,DB_03[監測點],0)),""))</calculatedColumnFormula>
    </tableColumn>
    <tableColumn id="13" name="樣品檢查" dataDxfId="160">
      <calculatedColumnFormula>IF(COUNTA(A2:K2)=0,"",IF(A2="","缺樣品編號；","")&amp;IF(AND(A2&lt;&gt;"",N2&gt;1),"樣品編號重複；","")&amp;IF(COUNTIFS(DB_03[監測點],B2,DB_03[預設介質],L2,DB_03[啟用],"是")&lt;&gt;1,"點位或介質待核；","")&amp;IF(NOT(ISNUMBER(C2)),"缺採樣日期；","")&amp;IF(AND(L2="土壤",OR(NOT(ISNUMBER(F2)),NOT(ISNUMBER(G2)))),"缺土壤深度；","")&amp;IF(AND(L2="土壤",ISNUMBER(F2),ISNUMBER(G2),OR(F2&gt;G2,F2&lt;0)),"土壤深度起迄錯誤；","")&amp;IF(AND(L2="地下水",F2&lt;&gt;"",NOT(ISNUMBER(F2))),"水位須為數值；","")&amp;IF(AND(L2="地下水",H2=""),"缺採樣方法；","")&amp;IF(AND(B2&lt;&gt;"",L2=""),"監測點未建或重複；",""))</calculatedColumnFormula>
    </tableColumn>
    <tableColumn id="14" name="樣品重複筆數" dataDxfId="159">
      <calculatedColumnFormula>IF(A2="","",COUNTIF(Samples[樣品編號],A2))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Results" displayName="Results" ref="A1:AI289" headerRowCount="1" totalsRowShown="0" headerRowDxfId="158">
  <autoFilter ref="A1:AI289"/>
  <tableColumns count="35">
    <tableColumn id="1" name="分析項目" dataDxfId="157"/>
    <tableColumn id="2" name="原始值" dataDxfId="156"/>
    <tableColumn id="3" name="結果單位" dataDxfId="155"/>
    <tableColumn id="4" name="備註" dataDxfId="154"/>
    <tableColumn id="5" name="監測點" dataDxfId="153">
      <calculatedColumnFormula>IF(OR(I2="",I2=0),"",IF(INDEX(Samples[監測點],I2)="","",INDEX(Samples[監測點],I2)))</calculatedColumnFormula>
    </tableColumn>
    <tableColumn id="6" name="採樣日期" dataDxfId="152">
      <calculatedColumnFormula>IF(OR(I2="",I2=0),"",IF(INDEX(Samples[採樣日期],I2)="","",INDEX(Samples[採樣日期],I2)))</calculatedColumnFormula>
    </tableColumn>
    <tableColumn id="7" name="解析值" dataDxfId="151">
      <calculatedColumnFormula>IF(OR(M2="",M2="NA",M2="N/A"),"",IF(OR(M2="ND",M2="N.D."),0,IFERROR(IF(OR(OR(ISNUMBER(SEARCH("%",O2)),ISNUMBER(SEARCH(" ",O2)),ISNUMBER(SEARCH(",",O2))),OR(SUBSTITUTE(SUBSTITUTE(SUBSTITUTE(SUBSTITUTE(SUBSTITUTE(SUBSTITUTE(SUBSTITUTE(SUBSTITUTE(SUBSTITUTE(SUBSTITUTE(SUBSTITUTE(SUBSTITUTE(SUBSTITUTE(SUBSTITUTE(SUBSTITUTE(SUBSTITUTE(SUBSTITUTE(SUBSTITUTE("x"&amp;M2,"0",""),"1",""),"2",""),"3",""),"4",""),"5",""),"6",""),"7",""),"8",""),"9",""),".",""),"E",""),"+",""),"-",""),"&lt;",""),"&gt;",""),"=","")," ","")&lt;&gt;"x",ISNUMBER(SEARCH("-",SUBSTITUTE(SUBSTITUTE("x"&amp;MID(M2,2,99),"E-","E"),"E+","E"))),ISNUMBER(SEARCH("+",SUBSTITUTE(SUBSTITUTE("x"&amp;MID(M2,2,99),"E-","E"),"E+","E"))))),"",IF(AND(OR(LEFT(M2,1)="&lt;",LEFT(M2,1)="&gt;"),IF(O2="",0,IF(ISNUMBER(AH2),AH2,NA()))&lt;0),"",IF(O2="",0,IF(ISNUMBER(AH2),AH2,NA()))/IF(LEFT(M2,1)="&lt;",2,1))),"")))</calculatedColumnFormula>
    </tableColumn>
    <tableColumn id="8" name="關聯鍵" dataDxfId="150"/>
    <tableColumn id="9" name="樣品索引" dataDxfId="149">
      <calculatedColumnFormula>IF(OR(H2="",AI2=0),0,IF(INDEX(Samples[樣品重複筆數],AI2)=1,AI2,0))</calculatedColumnFormula>
    </tableColumn>
    <tableColumn id="10" name="介質" dataDxfId="148">
      <calculatedColumnFormula>IF(OR(COUNTA($A2:$D2)=0,I2=0),"",IF(INDEX(Samples[介質],I2)="","",INDEX(Samples[介質],I2)))</calculatedColumnFormula>
    </tableColumn>
    <tableColumn id="11" name="標準單位" dataDxfId="147">
      <calculatedColumnFormula>IF(OR(COUNTA($A2:$D2)=0,T2=0),"",IF(INDEX(DB_04[標準單位],T2)="","",INDEX(DB_04[標準單位],T2)))</calculatedColumnFormula>
    </tableColumn>
    <tableColumn id="12" name="換算係數" dataDxfId="146">
      <calculatedColumnFormula>IF(COUNTA($A2:$D2)=0,"",IF(OR(C2="",K2=""),"",IF(C2=K2,1,IF(COUNTIFS(DB_06[換算鍵],C2&amp;"|"&amp;K2,DB_06[換算檢查],"OK")=1,INDEX(DB_06[乘數],MATCH(C2&amp;"|"&amp;K2,DB_06[換算鍵],0)),""))))</calculatedColumnFormula>
    </tableColumn>
    <tableColumn id="13" name="正規字串" dataDxfId="145">
      <calculatedColumnFormula>UPPER(SUBSTITUTE(SUBSTITUTE(SUBSTITUTE(SUBSTITUTE(TRIM(B2&amp;""),"＜","&lt;"),"＞","&gt;"),"≤","&lt;="),"≥","&gt;="))</calculatedColumnFormula>
    </tableColumn>
    <tableColumn id="14" name="限定符" dataDxfId="144">
      <calculatedColumnFormula>IF(M2="","",IF(OR(M2="ND",M2="N.D."),"ND",IF(OR(M2="NA",M2="N/A",M2="N.A."),"NA",IF(OR(LEFT(M2,2)="&lt;=",LEFT(M2,2)="&gt;="),LEFT(M2,2),IF(OR(LEFT(M2,1)="&lt;",LEFT(M2,1)="&gt;"),LEFT(M2,1),"數值")))))</calculatedColumnFormula>
    </tableColumn>
    <tableColumn id="15" name="數字段" dataDxfId="143">
      <calculatedColumnFormula>IF(OR(N2="",N2="ND",N2="NA"),"",IF(N2="數值",M2,TRIM(MID(M2,LEN(N2)+1,99))))</calculatedColumnFormula>
    </tableColumn>
    <tableColumn id="16" name="原始數值或界限" dataDxfId="142">
      <calculatedColumnFormula>IF(O2="","",IFERROR(IF(OR(OR(ISNUMBER(SEARCH("%",O2)),ISNUMBER(SEARCH(" ",O2)),ISNUMBER(SEARCH(",",O2))),OR(SUBSTITUTE(SUBSTITUTE(SUBSTITUTE(SUBSTITUTE(SUBSTITUTE(SUBSTITUTE(SUBSTITUTE(SUBSTITUTE(SUBSTITUTE(SUBSTITUTE(SUBSTITUTE(SUBSTITUTE(SUBSTITUTE(SUBSTITUTE(SUBSTITUTE(SUBSTITUTE(SUBSTITUTE(SUBSTITUTE("x"&amp;O2,"0",""),"1",""),"2",""),"3",""),"4",""),"5",""),"6",""),"7",""),"8",""),"9",""),".",""),"E",""),"+",""),"-",""),"&lt;",""),"&gt;",""),"=","")," ","")&lt;&gt;"x",ISNUMBER(SEARCH("-",SUBSTITUTE(SUBSTITUTE("x"&amp;MID(O2,2,99),"E-","E"),"E+","E"))),ISNUMBER(SEARCH("+",SUBSTITUTE(SUBSTITUTE("x"&amp;MID(O2,2,99),"E-","E"),"E+","E"))))),"",IF(ISNUMBER(AH2),AH2,NA())),""))</calculatedColumnFormula>
    </tableColumn>
    <tableColumn id="17" name="原始值(標準單位)" dataDxfId="141">
      <calculatedColumnFormula>IF(AND(ISNUMBER(L2),ISNUMBER(P2)),L2*P2,"")</calculatedColumnFormula>
    </tableColumn>
    <tableColumn id="18" name="管制設定值" dataDxfId="140">
      <calculatedColumnFormula>IF(OR(COUNTA($A2:$D2)=0,U2=0),"",IF(INDEX(DB_05[管制設定值],U2)="","",INDEX(DB_05[管制設定值],U2)))</calculatedColumnFormula>
    </tableColumn>
    <tableColumn id="19" name="監測設定值" dataDxfId="139">
      <calculatedColumnFormula>IF(OR(COUNTA($A2:$D2)=0,U2=0),"",IF(INDEX(DB_05[監測設定值],U2)="","",INDEX(DB_05[監測設定值],U2)))</calculatedColumnFormula>
    </tableColumn>
    <tableColumn id="20" name="測項索引" dataDxfId="138">
      <calculatedColumnFormula>IF(COUNTA($A2:$D2)=0,"",IF(COUNTIFS(DB_04[測項鍵],V2)=1,MATCH(V2,DB_04[測項鍵],0),0))</calculatedColumnFormula>
    </tableColumn>
    <tableColumn id="21" name="標準索引" dataDxfId="137">
      <calculatedColumnFormula>IF(COUNTA($A2:$D2)=0,"",IF(COUNTIFS(DB_05[標準鍵],W2)=1,MATCH(W2,DB_05[標準鍵],0),0))</calculatedColumnFormula>
    </tableColumn>
    <tableColumn id="22" name="測項鍵" dataDxfId="136">
      <calculatedColumnFormula>IF(OR(J2="",A2=""),"",J2&amp;"|"&amp;A2)</calculatedColumnFormula>
    </tableColumn>
    <tableColumn id="23" name="標準鍵" dataDxfId="135">
      <calculatedColumnFormula>IF(OR('07_QAQC'!$C$3="",V2=""),"",'07_QAQC'!$C$3&amp;"|"&amp;V2)</calculatedColumnFormula>
    </tableColumn>
    <tableColumn id="24" name="結果識別鍵" dataDxfId="134">
      <calculatedColumnFormula>IF(OR(H2="",A2=""),"",LEN(H2)&amp;":"&amp;H2&amp;LEN(A2)&amp;":"&amp;A2)</calculatedColumnFormula>
    </tableColumn>
    <tableColumn id="25" name="樣品檢查" dataDxfId="133">
      <calculatedColumnFormula>IF(COUNTA($A2:$D2)=0,"",IF(I2=0,"樣品未建或重複",IF(INDEX(Samples[樣品檢查],I2)="","OK",INDEX(Samples[樣品檢查],I2))))</calculatedColumnFormula>
    </tableColumn>
    <tableColumn id="26" name="格式檢查" dataDxfId="132">
      <calculatedColumnFormula>IF(COUNTA($A2:$D2)=0,"",IF(B2="","缺原始值",IF(OR(B2="-",B2="--"),"無資料",IF(N2="NA","不適用",IF(N2="ND","OK",IF(NOT(ISNUMBER(P2)),"格式待核",IF(AND(N2&lt;&gt;"數值",P2&lt;0),"界限不得為負","OK")))))))</calculatedColumnFormula>
    </tableColumn>
    <tableColumn id="27" name="重複檢查" dataDxfId="131">
      <calculatedColumnFormula>IF(COUNTA(A2:D2)=0,"",IF(OR(A2="",H2=""),"缺識別欄位",IF(IF(LEN("="&amp;SUBSTITUTE(SUBSTITUTE(SUBSTITUTE(X2,"~","~~"),"*","~*"),"?","~?"))&lt;=255,COUNTIF(Results[結果識別鍵],"="&amp;SUBSTITUTE(SUBSTITUTE(SUBSTITUTE(X2,"~","~~"),"*","~*"),"?","~?")),COUNTIFS(Results[關聯鍵],"="&amp;SUBSTITUTE(SUBSTITUTE(SUBSTITUTE(H2,"~","~~"),"*","~*"),"?","~?"),Results[分析項目],"="&amp;SUBSTITUTE(SUBSTITUTE(SUBSTITUTE(A2,"~","~~"),"*","~*"),"?","~?")))&gt;1,"同關聯鍵測項重複","OK")))</calculatedColumnFormula>
    </tableColumn>
    <tableColumn id="28" name="單位檢查" dataDxfId="130">
      <calculatedColumnFormula>IF(COUNTA($A2:$D2)=0,"",IF(OR(C2="",K2=""),"缺單位",IF(NOT(ISNUMBER(L2)),"單位不相容",IF(L2=1,"OK","已換算"))))</calculatedColumnFormula>
    </tableColumn>
    <tableColumn id="29" name="標準檢查" dataDxfId="129">
      <calculatedColumnFormula>IF(COUNTA($A2:$D2)=0,"",IF('07_QAQC'!$C$3="","未選比較版本",IF(U2=0,IF(COUNTIFS(DB_05[標準鍵],W2)&gt;1,"標準鍵重複","未訂此介質／測項門檻"),IF(INDEX(DB_05[版本檢查],U2)&lt;&gt;"OK","標準主檔待核",IF(INDEX(DB_05[標準單位],U2)&lt;&gt;K2,"標準單位不符",IF(INDEX(DB_05[核對狀態],U2)="停用","停用",IF(F2="","缺採樣日期",IF(OR(AND(INDEX(DB_05[生效日],U2)&lt;&gt;"",F2&lt;INDEX(DB_05[生效日],U2)),AND(INDEX(DB_05[失效日],U2)&lt;&gt;"",F2&gt;INDEX(DB_05[失效日],U2))),"日期不適用",INDEX(DB_05[核對狀態],U2)))))))))</calculatedColumnFormula>
    </tableColumn>
    <tableColumn id="30" name="管制比較" dataDxfId="128">
      <calculatedColumnFormula>IF(COUNTA($A2:$D2)=0,"",IF(AC2="未訂此介質／測項門檻",AC2,IF(AC2&lt;&gt;"已核對","標準待核",IF(R2="","未訂管制值",IF(NOT(ISNUMBER(L2)),"單位待核",IF(N2="ND","無法判定（ND無界限）",IF(N2="NA","不適用",IF(Z2&lt;&gt;"OK",Z2,IF(N2="數值",IF(Q2&gt;=R2,"達管制值","未達管制值"),IF(OR(N2="&lt;",N2="&lt;="),IF(OR(Q2&lt;R2,AND(N2="&lt;",Q2=R2)),"未達管制值","無法判定"),IF(OR(N2="&gt;",N2="&gt;="),IF(Q2&gt;=R2,"達管制值","無法判定"),"格式待核")))))))))))</calculatedColumnFormula>
    </tableColumn>
    <tableColumn id="31" name="監測比較" dataDxfId="127">
      <calculatedColumnFormula>IF(COUNTA($A2:$D2)=0,"",IF(AC2="未訂此介質／測項門檻",AC2,IF(AC2&lt;&gt;"已核對","標準待核",IF(S2="","未訂監測值",IF(NOT(ISNUMBER(L2)),"單位待核",IF(N2="ND","無法判定（ND無界限）",IF(N2="NA","不適用",IF(Z2&lt;&gt;"OK",Z2,IF(N2="數值",IF(Q2&gt;=S2,"達監測值","未達監測值"),IF(OR(N2="&lt;",N2="&lt;="),IF(OR(Q2&lt;S2,AND(N2="&lt;",Q2=S2)),"未達監測值","無法判定"),IF(OR(N2="&gt;",N2="&gt;="),IF(Q2&gt;=S2,"達監測值","無法判定"),"格式待核")))))))))))</calculatedColumnFormula>
    </tableColumn>
    <tableColumn id="32" name="完整性檢查" dataDxfId="126">
      <calculatedColumnFormula>IF(COUNTA($A2:$D2)=0,"",IF(OR(E2="",A2="",B2="",C2=""),"缺必要欄位",IF(Y2&lt;&gt;"OK","樣品資料待補",IF(T2=0,"測項未建或重複",IF(INDEX(DB_04[啟用],T2)&lt;&gt;"是","測項停用",IF(AND(Z2&lt;&gt;"OK",Z2&lt;&gt;"不適用"),Z2,IF(AND(AB2&lt;&gt;"OK",AB2&lt;&gt;"已換算"),"單位待核",IF(AA2&lt;&gt;"OK",AA2,"OK"))))))))</calculatedColumnFormula>
    </tableColumn>
    <tableColumn id="33" name="解析規則" dataDxfId="125">
      <calculatedColumnFormula>IF(COUNTA($A2:$D2)=0,"",IF(N2="ND","ND取0",IF(OR(N2="&lt;",N2="&lt;="),"界限除以2",IF(N2="NA","不適用",IF(OR(N2="&gt;",N2="&gt;="),"保留界限數值","保留原數值")))))</calculatedColumnFormula>
    </tableColumn>
    <tableColumn id="34" name="原始轉值" dataDxfId="124">
      <calculatedColumnFormula>IF(O2="","",IFERROR(_xlfn.NUMBERVALUE(O2,".",","),""))</calculatedColumnFormula>
    </tableColumn>
    <tableColumn id="35" name="樣品位置" dataDxfId="123">
      <calculatedColumnFormula>IF(H2="","",IFERROR(MATCH(H2,Samples[樣品編號],0),0))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DB_03" displayName="DB_03" ref="A1:N13" headerRowCount="1" totalsRowShown="0" headerRowDxfId="122" dataDxfId="121">
  <tableColumns count="14">
    <tableColumn id="1" name="監測點" dataDxfId="120"/>
    <tableColumn id="2" name="點位類型" dataDxfId="119"/>
    <tableColumn id="3" name="預設介質" dataDxfId="118"/>
    <tableColumn id="4" name="井深(m)" dataDxfId="117"/>
    <tableColumn id="5" name="TWD97(X)" dataDxfId="116"/>
    <tableColumn id="6" name="TWD97(Y)" dataDxfId="115"/>
    <tableColumn id="7" name="絕對高程(m)" dataDxfId="114"/>
    <tableColumn id="8" name="篩管頂深(m)" dataDxfId="113"/>
    <tableColumn id="9" name="篩管底深(m)" dataDxfId="112"/>
    <tableColumn id="10" name="井管直徑(m)" dataDxfId="111"/>
    <tableColumn id="11" name="啟用" dataDxfId="110"/>
    <tableColumn id="12" name="備註" dataDxfId="109"/>
    <tableColumn id="14" name="篩長(m)" dataDxfId="108">
      <calculatedColumnFormula>IF(AND(ISNUMBER(H2),ISNUMBER(I2)),I2-H2,"")</calculatedColumnFormula>
    </tableColumn>
    <tableColumn id="15" name="點位檢查" dataDxfId="107">
      <calculatedColumnFormula>IF(COUNTA(A2:L2)=0,"",IF(OR(A2="",C2="",K2=""),"缺必要欄位",IF(COUNTIFS(DB_03[監測點],A2)&gt;1,"點位編號重複",IF(AND(C2="地下水",OR(NOT(ISNUMBER(D2)),NOT(ISNUMBER(H2)),NOT(ISNUMBER(I2)),H2&lt;0,I2&lt;H2,I2&gt;D2)),"井深或篩管深度錯誤","OK"))))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DB_04" displayName="DB_04" ref="A1:I153" headerRowCount="1" totalsRowShown="0" headerRowDxfId="106" dataDxfId="105">
  <tableColumns count="9">
    <tableColumn id="1" name="介質" dataDxfId="104"/>
    <tableColumn id="2" name="分析項目" dataDxfId="103"/>
    <tableColumn id="3" name="別名/英文" dataDxfId="102"/>
    <tableColumn id="4" name="測項類別" dataDxfId="101"/>
    <tableColumn id="5" name="預設分析方法" dataDxfId="100"/>
    <tableColumn id="6" name="標準單位" dataDxfId="99"/>
    <tableColumn id="7" name="啟用" dataDxfId="98"/>
    <tableColumn id="8" name="測項鍵" dataDxfId="97">
      <calculatedColumnFormula>IF(OR(A2="",B2=""),"",A2&amp;"|"&amp;B2)</calculatedColumnFormula>
    </tableColumn>
    <tableColumn id="9" name="主檔檢查" dataDxfId="96">
      <calculatedColumnFormula>IF(COUNTA(A2:G2)=0,"",IF(OR(A2="",B2="",F2="",G2=""),"缺必要欄位",IF(COUNTIFS(DB_04[測項鍵],H2)&gt;1,"測項鍵重複","OK")))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DB_06" displayName="DB_06" ref="K1:O31" headerRowCount="1" totalsRowShown="0" headerRowDxfId="95" dataDxfId="94">
  <tableColumns count="5">
    <tableColumn id="1" name="來源單位" dataDxfId="93"/>
    <tableColumn id="2" name="目標單位" dataDxfId="92"/>
    <tableColumn id="3" name="乘數" dataDxfId="91"/>
    <tableColumn id="4" name="換算鍵" dataDxfId="90">
      <calculatedColumnFormula>IF(OR(K2="",L2=""),"",K2&amp;"|"&amp;L2)</calculatedColumnFormula>
    </tableColumn>
    <tableColumn id="5" name="換算檢查" dataDxfId="89">
      <calculatedColumnFormula>IF(COUNTA(K2:M2)=0,"",IF(OR(K2="",L2="",NOT(ISNUMBER(M2)),M2&lt;=0),"單位或乘數無效",IF(COUNTIFS(DB_06[換算鍵],N2)&gt;1,"換算鍵重複","OK")))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VersionCodes" displayName="VersionCodes" ref="Q1:R5" headerRowCount="1" totalsRowShown="0" headerRowDxfId="88" dataDxfId="87">
  <tableColumns count="2">
    <tableColumn id="1" name="版本代碼" dataDxfId="86"/>
    <tableColumn id="2" name="說明" dataDxfId="85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MediaCodes" displayName="MediaCodes" ref="T6:T9" headerRowCount="1" totalsRowShown="0" headerRowDxfId="84" dataDxfId="83">
  <autoFilter ref="T6:T9"/>
  <tableColumns count="1">
    <tableColumn id="1" name="介質" dataDxfId="82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UnitCodes" displayName="UnitCodes" ref="E206:E231" headerRowCount="1" totalsRowShown="0" headerRowDxfId="81" dataDxfId="80">
  <autoFilter ref="E206:E231"/>
  <tableColumns count="1">
    <tableColumn id="1" name="單位" dataDxfId="79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SamplingMethods" displayName="SamplingMethods" ref="G206:G215" headerRowCount="1" totalsRowShown="0" headerRowDxfId="78" dataDxfId="77">
  <autoFilter ref="G206:G215"/>
  <tableColumns count="1">
    <tableColumn id="1" name="採樣方法" dataDxfId="76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EnableOptions" displayName="EnableOptions" ref="I206:I208" headerRowCount="1" totalsRowShown="0" headerRowDxfId="75" dataDxfId="74">
  <autoFilter ref="I206:I208"/>
  <tableColumns count="1">
    <tableColumn id="1" name="啟用" dataDxfId="73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StandardStatuses" displayName="StandardStatuses" ref="K206:K210" headerRowCount="1" totalsRowShown="0" headerRowDxfId="72" dataDxfId="71">
  <autoFilter ref="K206:K210"/>
  <tableColumns count="1">
    <tableColumn id="1" name="核對狀態" dataDxfId="70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DB_05" displayName="DB_05" ref="A1:N203" headerRowCount="1" totalsRowShown="0" headerRowDxfId="69" dataDxfId="68">
  <tableColumns count="14">
    <tableColumn id="1" name="版本代碼" dataDxfId="67"/>
    <tableColumn id="2" name="介質" dataDxfId="66"/>
    <tableColumn id="3" name="分析項目" dataDxfId="65"/>
    <tableColumn id="4" name="標準單位" dataDxfId="64"/>
    <tableColumn id="5" name="管制設定值" dataDxfId="63"/>
    <tableColumn id="6" name="監測設定值" dataDxfId="62"/>
    <tableColumn id="7" name="生效日" dataDxfId="61"/>
    <tableColumn id="8" name="失效日" dataDxfId="60"/>
    <tableColumn id="9" name="來源/文件版本" dataDxfId="59"/>
    <tableColumn id="10" name="核對狀態" dataDxfId="58"/>
    <tableColumn id="11" name="覆核人" dataDxfId="57"/>
    <tableColumn id="12" name="覆核日期" dataDxfId="56"/>
    <tableColumn id="13" name="標準鍵" dataDxfId="55">
      <calculatedColumnFormula>IF(OR(A2="",B2="",C2=""),"",A2&amp;"|"&amp;B2&amp;"|"&amp;C2)</calculatedColumnFormula>
    </tableColumn>
    <tableColumn id="14" name="版本檢查" dataDxfId="54">
      <calculatedColumnFormula>IF(COUNTA(A2:L2)=0,"",IF(OR(A2="",B2="",C2="",D2="",I2="",J2=""),"缺必要欄位",IF(COUNTIFS(DB_05[標準鍵],M2)&gt;1,"標準鍵重複",IF(AND(G2&lt;&gt;"",H2&lt;&gt;"",G2&gt;H2),"日期起迄錯誤",IF(OR(AND(E2&lt;&gt;"",NOT(ISNUMBER(E2))),AND(F2&lt;&gt;"",NOT(ISNUMBER(F2)))),"標準非數值",IF(AND(J2="已核對",OR(K2="",NOT(ISNUMBER(L2)),NOT(ISNUMBER(G2)))),"缺核對資料","OK"))))))</calculatedColumnFormula>
    </tableColumn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FieldDictionary" displayName="FieldDictionary" ref="A1:E109" headerRowCount="1" totalsRowShown="0" headerRowDxfId="53" dataDxfId="52">
  <autoFilter ref="A1:E109"/>
  <tableColumns count="5">
    <tableColumn id="1" name="工作表" dataDxfId="51"/>
    <tableColumn id="2" name="欄位" dataDxfId="50"/>
    <tableColumn id="3" name="名稱" dataDxfId="49"/>
    <tableColumn id="4" name="維護方式" dataDxfId="48"/>
    <tableColumn id="5" name="規則" dataDxfId="47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ResultQA" displayName="ResultQA" ref="A7:AE8" headerRowCount="1" totalsRowShown="0" headerRowDxfId="46" dataDxfId="45" tableBorderDxfId="44">
  <autoFilter ref="A7:AE8"/>
  <tableColumns count="31">
    <tableColumn id="1" name="資料列" dataDxfId="43">
      <calculatedColumnFormula>IF(AND(ISNUMBER($C$6),$C$6&gt;=1,$C$6&lt;=ROWS(Results[分析項目])),$C$6+1,"")</calculatedColumnFormula>
    </tableColumn>
    <tableColumn id="2" name="監測點" dataDxfId="42">
      <calculatedColumnFormula>IF($A8="","",IF(INDEX(Results[監測點],$C$6)="","",INDEX(Results[監測點],$C$6)))</calculatedColumnFormula>
    </tableColumn>
    <tableColumn id="3" name="分析項目" dataDxfId="41">
      <calculatedColumnFormula>IF($A8="","",IF(INDEX(Results[分析項目],$C$6)="","",INDEX(Results[分析項目],$C$6)))</calculatedColumnFormula>
    </tableColumn>
    <tableColumn id="4" name="原始值" dataDxfId="40">
      <calculatedColumnFormula>IF($A8="","",IF(INDEX(Results[原始值],$C$6)="","",INDEX(Results[原始值],$C$6)))</calculatedColumnFormula>
    </tableColumn>
    <tableColumn id="5" name="結果單位" dataDxfId="39">
      <calculatedColumnFormula>IF($A8="","",IF(INDEX(Results[結果單位],$C$6)="","",INDEX(Results[結果單位],$C$6)))</calculatedColumnFormula>
    </tableColumn>
    <tableColumn id="6" name="解析值" dataDxfId="38">
      <calculatedColumnFormula>IF($A8="","",IF(INDEX(Results[解析值],$C$6)="","",INDEX(Results[解析值],$C$6)))</calculatedColumnFormula>
    </tableColumn>
    <tableColumn id="7" name="樣品檢查" dataDxfId="37">
      <calculatedColumnFormula>IF($A8="","",IF(INDEX(Results[樣品檢查],$C$6)="","",INDEX(Results[樣品檢查],$C$6)))</calculatedColumnFormula>
    </tableColumn>
    <tableColumn id="8" name="格式檢查" dataDxfId="36">
      <calculatedColumnFormula>IF($A8="","",IF(INDEX(Results[格式檢查],$C$6)="","",INDEX(Results[格式檢查],$C$6)))</calculatedColumnFormula>
    </tableColumn>
    <tableColumn id="9" name="重複檢查" dataDxfId="35">
      <calculatedColumnFormula>IF($A8="","",IF(INDEX(Results[重複檢查],$C$6)="","",INDEX(Results[重複檢查],$C$6)))</calculatedColumnFormula>
    </tableColumn>
    <tableColumn id="10" name="單位檢查" dataDxfId="34">
      <calculatedColumnFormula>IF($A8="","",IF(INDEX(Results[單位檢查],$C$6)="","",INDEX(Results[單位檢查],$C$6)))</calculatedColumnFormula>
    </tableColumn>
    <tableColumn id="11" name="標準檢查" dataDxfId="33">
      <calculatedColumnFormula>IF($A8="","",IF(INDEX(Results[標準檢查],$C$6)="","",INDEX(Results[標準檢查],$C$6)))</calculatedColumnFormula>
    </tableColumn>
    <tableColumn id="12" name="管制比較" dataDxfId="32">
      <calculatedColumnFormula>IF($A8="","",IF(INDEX(Results[管制比較],$C$6)="","",INDEX(Results[管制比較],$C$6)))</calculatedColumnFormula>
    </tableColumn>
    <tableColumn id="13" name="監測比較" dataDxfId="31">
      <calculatedColumnFormula>IF($A8="","",IF(INDEX(Results[監測比較],$C$6)="","",INDEX(Results[監測比較],$C$6)))</calculatedColumnFormula>
    </tableColumn>
    <tableColumn id="14" name="完整性檢查" dataDxfId="30">
      <calculatedColumnFormula>IF($A8="","",IF(INDEX(Results[完整性檢查],$C$6)="","",INDEX(Results[完整性檢查],$C$6)))</calculatedColumnFormula>
    </tableColumn>
    <tableColumn id="15" name="採樣日期" dataDxfId="29">
      <calculatedColumnFormula>IF($A8="","",IF(INDEX(Results[採樣日期],$C$6)="","",INDEX(Results[採樣日期],$C$6)))</calculatedColumnFormula>
    </tableColumn>
    <tableColumn id="16" name="介質" dataDxfId="28">
      <calculatedColumnFormula>IF($A8="","",IF(INDEX(Results[介質],$C$6)="","",INDEX(Results[介質],$C$6)))</calculatedColumnFormula>
    </tableColumn>
    <tableColumn id="17" name="標準單位" dataDxfId="27">
      <calculatedColumnFormula>IF($A8="","",IF(INDEX(Results[標準單位],$C$6)="","",INDEX(Results[標準單位],$C$6)))</calculatedColumnFormula>
    </tableColumn>
    <tableColumn id="18" name="換算係數" dataDxfId="26">
      <calculatedColumnFormula>IF($A8="","",IF(INDEX(Results[換算係數],$C$6)="","",INDEX(Results[換算係數],$C$6)))</calculatedColumnFormula>
    </tableColumn>
    <tableColumn id="19" name="原始數值或界限" dataDxfId="25">
      <calculatedColumnFormula>IF($A8="","",IF(INDEX(Results[原始數值或界限],$C$6)="","",INDEX(Results[原始數值或界限],$C$6)))</calculatedColumnFormula>
    </tableColumn>
    <tableColumn id="20" name="原始值(標準單位)" dataDxfId="24">
      <calculatedColumnFormula>IF($A8="","",IF(INDEX(Results[原始值(標準單位)],$C$6)="","",INDEX(Results[原始值(標準單位)],$C$6)))</calculatedColumnFormula>
    </tableColumn>
    <tableColumn id="21" name="管制設定值" dataDxfId="23">
      <calculatedColumnFormula>IF($A8="","",IF(INDEX(Results[管制設定值],$C$6)="","",INDEX(Results[管制設定值],$C$6)))</calculatedColumnFormula>
    </tableColumn>
    <tableColumn id="22" name="監測設定值" dataDxfId="22">
      <calculatedColumnFormula>IF($A8="","",IF(INDEX(Results[監測設定值],$C$6)="","",INDEX(Results[監測設定值],$C$6)))</calculatedColumnFormula>
    </tableColumn>
    <tableColumn id="23" name="限定符" dataDxfId="21">
      <calculatedColumnFormula>IF($A8="","",IF(INDEX(Results[限定符],$C$6)="","",INDEX(Results[限定符],$C$6)))</calculatedColumnFormula>
    </tableColumn>
    <tableColumn id="24" name="正規字串" dataDxfId="20">
      <calculatedColumnFormula>IF($A8="","",IF(INDEX(Results[正規字串],$C$6)="","",INDEX(Results[正規字串],$C$6)))</calculatedColumnFormula>
    </tableColumn>
    <tableColumn id="25" name="數字段" dataDxfId="19">
      <calculatedColumnFormula>IF($A8="","",IF(INDEX(Results[數字段],$C$6)="","",INDEX(Results[數字段],$C$6)))</calculatedColumnFormula>
    </tableColumn>
    <tableColumn id="26" name="樣品索引" dataDxfId="18">
      <calculatedColumnFormula>IF($A8="","",IF(INDEX(Results[樣品索引],$C$6)="","",INDEX(Results[樣品索引],$C$6)))</calculatedColumnFormula>
    </tableColumn>
    <tableColumn id="27" name="測項索引" dataDxfId="17">
      <calculatedColumnFormula>IF($A8="","",IF(INDEX(Results[測項索引],$C$6)="","",INDEX(Results[測項索引],$C$6)))</calculatedColumnFormula>
    </tableColumn>
    <tableColumn id="28" name="標準索引" dataDxfId="16">
      <calculatedColumnFormula>IF($A8="","",IF(INDEX(Results[標準索引],$C$6)="","",INDEX(Results[標準索引],$C$6)))</calculatedColumnFormula>
    </tableColumn>
    <tableColumn id="29" name="測項鍵" dataDxfId="15">
      <calculatedColumnFormula>IF($A8="","",IF(INDEX(Results[測項鍵],$C$6)="","",INDEX(Results[測項鍵],$C$6)))</calculatedColumnFormula>
    </tableColumn>
    <tableColumn id="30" name="標準鍵" dataDxfId="14">
      <calculatedColumnFormula>IF($A8="","",IF(INDEX(Results[標準鍵],$C$6)="","",INDEX(Results[標準鍵],$C$6)))</calculatedColumnFormula>
    </tableColumn>
    <tableColumn id="31" name="解析規則" dataDxfId="13">
      <calculatedColumnFormula>IF($A8="","",IF(INDEX(Results[解析規則],$C$6)="","",INDEX(Results[解析規則],$C$6)))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Relationship Type="http://schemas.openxmlformats.org/officeDocument/2006/relationships/table" Target="/xl/tables/table10.xml" Id="rId7" /><Relationship Type="http://schemas.openxmlformats.org/officeDocument/2006/relationships/table" Target="/xl/tables/table11.xml" Id="rId8" /></Relationships>
</file>

<file path=xl/worksheets/_rels/sheet6.xml.rels><Relationships xmlns="http://schemas.openxmlformats.org/package/2006/relationships"><Relationship Type="http://schemas.openxmlformats.org/officeDocument/2006/relationships/hyperlink" Target="https://oaout.moenv.gov.tw/law/LawContent.aspx?id=FL015529" TargetMode="External" Id="rId1" /><Relationship Type="http://schemas.openxmlformats.org/officeDocument/2006/relationships/hyperlink" Target="https://oaout.moenv.gov.tw/law/LawContent.aspx?id=FL015529" TargetMode="External" Id="rId2" /><Relationship Type="http://schemas.openxmlformats.org/officeDocument/2006/relationships/hyperlink" Target="https://oaout.moenv.gov.tw/law/LawContent.aspx?id=FL015529" TargetMode="External" Id="rId3" /><Relationship Type="http://schemas.openxmlformats.org/officeDocument/2006/relationships/hyperlink" Target="https://oaout.moenv.gov.tw/law/LawContent.aspx?id=FL015529" TargetMode="External" Id="rId4" /><Relationship Type="http://schemas.openxmlformats.org/officeDocument/2006/relationships/hyperlink" Target="https://oaout.moenv.gov.tw/law/LawContent.aspx?id=FL015529" TargetMode="External" Id="rId5" /><Relationship Type="http://schemas.openxmlformats.org/officeDocument/2006/relationships/hyperlink" Target="https://oaout.moenv.gov.tw/law/LawContent.aspx?id=FL015529" TargetMode="External" Id="rId6" /><Relationship Type="http://schemas.openxmlformats.org/officeDocument/2006/relationships/hyperlink" Target="https://oaout.moenv.gov.tw/law/LawContent.aspx?id=FL015529" TargetMode="External" Id="rId7" /><Relationship Type="http://schemas.openxmlformats.org/officeDocument/2006/relationships/hyperlink" Target="https://oaout.moenv.gov.tw/law/LawContent.aspx?id=FL015529" TargetMode="External" Id="rId8" /><Relationship Type="http://schemas.openxmlformats.org/officeDocument/2006/relationships/hyperlink" Target="https://oaout.moenv.gov.tw/law/LawContent.aspx?id=FL015529" TargetMode="External" Id="rId9" /><Relationship Type="http://schemas.openxmlformats.org/officeDocument/2006/relationships/hyperlink" Target="https://oaout.moenv.gov.tw/law/LawContent.aspx?id=FL015529" TargetMode="External" Id="rId10" /><Relationship Type="http://schemas.openxmlformats.org/officeDocument/2006/relationships/hyperlink" Target="https://oaout.moenv.gov.tw/law/LawContent.aspx?id=FL015529" TargetMode="External" Id="rId11" /><Relationship Type="http://schemas.openxmlformats.org/officeDocument/2006/relationships/hyperlink" Target="https://oaout.moenv.gov.tw/law/LawContent.aspx?id=FL015529" TargetMode="External" Id="rId12" /><Relationship Type="http://schemas.openxmlformats.org/officeDocument/2006/relationships/hyperlink" Target="https://oaout.moenv.gov.tw/law/LawContent.aspx?id=FL015529" TargetMode="External" Id="rId13" /><Relationship Type="http://schemas.openxmlformats.org/officeDocument/2006/relationships/hyperlink" Target="https://oaout.moenv.gov.tw/law/LawContent.aspx?id=FL015529" TargetMode="External" Id="rId14" /><Relationship Type="http://schemas.openxmlformats.org/officeDocument/2006/relationships/hyperlink" Target="https://oaout.moenv.gov.tw/law/LawContent.aspx?id=FL015529" TargetMode="External" Id="rId15" /><Relationship Type="http://schemas.openxmlformats.org/officeDocument/2006/relationships/hyperlink" Target="https://oaout.moenv.gov.tw/law/LawContent.aspx?id=FL015529" TargetMode="External" Id="rId16" /><Relationship Type="http://schemas.openxmlformats.org/officeDocument/2006/relationships/hyperlink" Target="https://oaout.moenv.gov.tw/law/LawContent.aspx?id=FL015529" TargetMode="External" Id="rId17" /><Relationship Type="http://schemas.openxmlformats.org/officeDocument/2006/relationships/hyperlink" Target="https://oaout.moenv.gov.tw/law/LawContent.aspx?id=FL015529" TargetMode="External" Id="rId18" /><Relationship Type="http://schemas.openxmlformats.org/officeDocument/2006/relationships/hyperlink" Target="https://oaout.moenv.gov.tw/law/LawContent.aspx?id=FL015529" TargetMode="External" Id="rId19" /><Relationship Type="http://schemas.openxmlformats.org/officeDocument/2006/relationships/hyperlink" Target="https://oaout.moenv.gov.tw/law/LawContent.aspx?id=FL015529" TargetMode="External" Id="rId20" /><Relationship Type="http://schemas.openxmlformats.org/officeDocument/2006/relationships/hyperlink" Target="https://oaout.moenv.gov.tw/law/LawContent.aspx?id=FL015529" TargetMode="External" Id="rId21" /><Relationship Type="http://schemas.openxmlformats.org/officeDocument/2006/relationships/hyperlink" Target="https://oaout.moenv.gov.tw/law/LawContent.aspx?id=FL015529" TargetMode="External" Id="rId22" /><Relationship Type="http://schemas.openxmlformats.org/officeDocument/2006/relationships/hyperlink" Target="https://oaout.moenv.gov.tw/law/LawContent.aspx?id=FL015529" TargetMode="External" Id="rId23" /><Relationship Type="http://schemas.openxmlformats.org/officeDocument/2006/relationships/hyperlink" Target="https://oaout.moenv.gov.tw/law/LawContent.aspx?id=FL015529" TargetMode="External" Id="rId24" /><Relationship Type="http://schemas.openxmlformats.org/officeDocument/2006/relationships/hyperlink" Target="https://oaout.moenv.gov.tw/law/LawContent.aspx?id=FL015529" TargetMode="External" Id="rId25" /><Relationship Type="http://schemas.openxmlformats.org/officeDocument/2006/relationships/hyperlink" Target="https://oaout.moenv.gov.tw/law/LawContent.aspx?id=FL015529" TargetMode="External" Id="rId26" /><Relationship Type="http://schemas.openxmlformats.org/officeDocument/2006/relationships/hyperlink" Target="https://oaout.moenv.gov.tw/law/LawContent.aspx?id=FL015529" TargetMode="External" Id="rId27" /><Relationship Type="http://schemas.openxmlformats.org/officeDocument/2006/relationships/hyperlink" Target="https://oaout.moenv.gov.tw/law/LawContent.aspx?id=FL015529" TargetMode="External" Id="rId28" /><Relationship Type="http://schemas.openxmlformats.org/officeDocument/2006/relationships/hyperlink" Target="https://oaout.moenv.gov.tw/law/LawContent.aspx?id=FL015529" TargetMode="External" Id="rId29" /><Relationship Type="http://schemas.openxmlformats.org/officeDocument/2006/relationships/hyperlink" Target="https://oaout.moenv.gov.tw/law/LawContent.aspx?id=FL015529" TargetMode="External" Id="rId30" /><Relationship Type="http://schemas.openxmlformats.org/officeDocument/2006/relationships/hyperlink" Target="https://oaout.moenv.gov.tw/law/LawContent.aspx?id=FL015529" TargetMode="External" Id="rId31" /><Relationship Type="http://schemas.openxmlformats.org/officeDocument/2006/relationships/hyperlink" Target="https://oaout.moenv.gov.tw/law/LawContent.aspx?id=FL015529" TargetMode="External" Id="rId32" /><Relationship Type="http://schemas.openxmlformats.org/officeDocument/2006/relationships/hyperlink" Target="https://oaout.moenv.gov.tw/law/LawContent.aspx?id=FL015529" TargetMode="External" Id="rId33" /><Relationship Type="http://schemas.openxmlformats.org/officeDocument/2006/relationships/hyperlink" Target="https://oaout.moenv.gov.tw/law/LawContent.aspx?id=FL015529" TargetMode="External" Id="rId34" /><Relationship Type="http://schemas.openxmlformats.org/officeDocument/2006/relationships/hyperlink" Target="https://oaout.moenv.gov.tw/law/LawContent.aspx?id=FL015529" TargetMode="External" Id="rId35" /><Relationship Type="http://schemas.openxmlformats.org/officeDocument/2006/relationships/hyperlink" Target="https://oaout.moenv.gov.tw/law/LawContent.aspx?id=FL015529" TargetMode="External" Id="rId36" /><Relationship Type="http://schemas.openxmlformats.org/officeDocument/2006/relationships/hyperlink" Target="https://oaout.moenv.gov.tw/law/LawContent.aspx?id=FL015529" TargetMode="External" Id="rId37" /><Relationship Type="http://schemas.openxmlformats.org/officeDocument/2006/relationships/hyperlink" Target="https://oaout.moenv.gov.tw/law/LawContent.aspx?id=FL015529" TargetMode="External" Id="rId38" /><Relationship Type="http://schemas.openxmlformats.org/officeDocument/2006/relationships/hyperlink" Target="https://oaout.moenv.gov.tw/law/LawContent.aspx?id=FL015529" TargetMode="External" Id="rId39" /><Relationship Type="http://schemas.openxmlformats.org/officeDocument/2006/relationships/hyperlink" Target="https://oaout.moenv.gov.tw/law/LawContent.aspx?id=FL015529" TargetMode="External" Id="rId40" /><Relationship Type="http://schemas.openxmlformats.org/officeDocument/2006/relationships/hyperlink" Target="https://oaout.moenv.gov.tw/law/LawContent.aspx?id=FL015529" TargetMode="External" Id="rId41" /><Relationship Type="http://schemas.openxmlformats.org/officeDocument/2006/relationships/hyperlink" Target="https://oaout.moenv.gov.tw/law/LawContent.aspx?id=FL015529" TargetMode="External" Id="rId42" /><Relationship Type="http://schemas.openxmlformats.org/officeDocument/2006/relationships/hyperlink" Target="https://oaout.moenv.gov.tw/law/LawContent.aspx?id=FL015529" TargetMode="External" Id="rId43" /><Relationship Type="http://schemas.openxmlformats.org/officeDocument/2006/relationships/hyperlink" Target="https://oaout.moenv.gov.tw/law/LawContent.aspx?id=FL015529" TargetMode="External" Id="rId44" /><Relationship Type="http://schemas.openxmlformats.org/officeDocument/2006/relationships/hyperlink" Target="https://oaout.moenv.gov.tw/law/LawContent.aspx?id=FL015529" TargetMode="External" Id="rId45" /><Relationship Type="http://schemas.openxmlformats.org/officeDocument/2006/relationships/hyperlink" Target="https://oaout.moenv.gov.tw/law/LawContent.aspx?id=FL015529" TargetMode="External" Id="rId46" /><Relationship Type="http://schemas.openxmlformats.org/officeDocument/2006/relationships/hyperlink" Target="https://oaout.moenv.gov.tw/law/LawContent.aspx?id=FL015529" TargetMode="External" Id="rId47" /><Relationship Type="http://schemas.openxmlformats.org/officeDocument/2006/relationships/hyperlink" Target="https://oaout.moenv.gov.tw/law/LawContent.aspx?id=FL015529" TargetMode="External" Id="rId48" /><Relationship Type="http://schemas.openxmlformats.org/officeDocument/2006/relationships/hyperlink" Target="https://oaout.moenv.gov.tw/law/LawContent.aspx?id=FL015529" TargetMode="External" Id="rId49" /><Relationship Type="http://schemas.openxmlformats.org/officeDocument/2006/relationships/hyperlink" Target="https://oaout.moenv.gov.tw/law/LawContent.aspx?id=FL015529" TargetMode="External" Id="rId50" /><Relationship Type="http://schemas.openxmlformats.org/officeDocument/2006/relationships/hyperlink" Target="https://oaout.moenv.gov.tw/law/LawContent.aspx?id=FL015529" TargetMode="External" Id="rId51" /><Relationship Type="http://schemas.openxmlformats.org/officeDocument/2006/relationships/hyperlink" Target="https://oaout.moenv.gov.tw/law/LawContent.aspx?id=FL015529" TargetMode="External" Id="rId52" /><Relationship Type="http://schemas.openxmlformats.org/officeDocument/2006/relationships/hyperlink" Target="https://oaout.moenv.gov.tw/law/LawContent.aspx?id=FL015529" TargetMode="External" Id="rId53" /><Relationship Type="http://schemas.openxmlformats.org/officeDocument/2006/relationships/hyperlink" Target="https://oaout.moenv.gov.tw/law/LawContent.aspx?id=FL015529" TargetMode="External" Id="rId54" /><Relationship Type="http://schemas.openxmlformats.org/officeDocument/2006/relationships/hyperlink" Target="https://oaout.moenv.gov.tw/law/LawContent.aspx?id=FL015529" TargetMode="External" Id="rId55" /><Relationship Type="http://schemas.openxmlformats.org/officeDocument/2006/relationships/hyperlink" Target="https://oaout.moenv.gov.tw/law/LawContent.aspx?id=FL015529" TargetMode="External" Id="rId56" /><Relationship Type="http://schemas.openxmlformats.org/officeDocument/2006/relationships/hyperlink" Target="https://oaout.moenv.gov.tw/law/LawContent.aspx?id=FL015529" TargetMode="External" Id="rId57" /><Relationship Type="http://schemas.openxmlformats.org/officeDocument/2006/relationships/hyperlink" Target="https://oaout.moenv.gov.tw/law/LawContent.aspx?id=FL015529" TargetMode="External" Id="rId58" /><Relationship Type="http://schemas.openxmlformats.org/officeDocument/2006/relationships/hyperlink" Target="https://oaout.moenv.gov.tw/law/LawContent.aspx?id=FL015529" TargetMode="External" Id="rId59" /><Relationship Type="http://schemas.openxmlformats.org/officeDocument/2006/relationships/hyperlink" Target="https://oaout.moenv.gov.tw/law/LawContent.aspx?id=FL015529" TargetMode="External" Id="rId60" /><Relationship Type="http://schemas.openxmlformats.org/officeDocument/2006/relationships/hyperlink" Target="https://oaout.moenv.gov.tw/law/LawContent.aspx?id=FL015529" TargetMode="External" Id="rId61" /><Relationship Type="http://schemas.openxmlformats.org/officeDocument/2006/relationships/hyperlink" Target="https://oaout.moenv.gov.tw/law/LawContent.aspx?id=FL015529" TargetMode="External" Id="rId62" /><Relationship Type="http://schemas.openxmlformats.org/officeDocument/2006/relationships/hyperlink" Target="https://oaout.moenv.gov.tw/law/LawContent.aspx?id=FL015529" TargetMode="External" Id="rId63" /><Relationship Type="http://schemas.openxmlformats.org/officeDocument/2006/relationships/hyperlink" Target="https://oaout.moenv.gov.tw/law/LawContent.aspx?id=FL015529" TargetMode="External" Id="rId64" /><Relationship Type="http://schemas.openxmlformats.org/officeDocument/2006/relationships/hyperlink" Target="https://oaout.moenv.gov.tw/law/LawContent.aspx?id=FL015529" TargetMode="External" Id="rId65" /><Relationship Type="http://schemas.openxmlformats.org/officeDocument/2006/relationships/hyperlink" Target="https://oaout.moenv.gov.tw/law/LawContent.aspx?id=FL015529" TargetMode="External" Id="rId66" /><Relationship Type="http://schemas.openxmlformats.org/officeDocument/2006/relationships/hyperlink" Target="https://oaout.moenv.gov.tw/law/LawContent.aspx?id=FL015529" TargetMode="External" Id="rId67" /><Relationship Type="http://schemas.openxmlformats.org/officeDocument/2006/relationships/hyperlink" Target="https://oaout.moenv.gov.tw/law/LawContent.aspx?id=FL015529" TargetMode="External" Id="rId68" /><Relationship Type="http://schemas.openxmlformats.org/officeDocument/2006/relationships/hyperlink" Target="https://oaout.moenv.gov.tw/law/LawContent.aspx?id=FL015529" TargetMode="External" Id="rId69" /><Relationship Type="http://schemas.openxmlformats.org/officeDocument/2006/relationships/hyperlink" Target="https://oaout.moenv.gov.tw/law/LawContent.aspx?id=FL015529" TargetMode="External" Id="rId70" /><Relationship Type="http://schemas.openxmlformats.org/officeDocument/2006/relationships/hyperlink" Target="https://oaout.moenv.gov.tw/law/LawContent.aspx?id=FL015529" TargetMode="External" Id="rId71" /><Relationship Type="http://schemas.openxmlformats.org/officeDocument/2006/relationships/hyperlink" Target="https://oaout.moenv.gov.tw/law/LawContent.aspx?id=FL015529" TargetMode="External" Id="rId72" /><Relationship Type="http://schemas.openxmlformats.org/officeDocument/2006/relationships/hyperlink" Target="https://oaout.moenv.gov.tw/law/LawContent.aspx?id=FL015529" TargetMode="External" Id="rId73" /><Relationship Type="http://schemas.openxmlformats.org/officeDocument/2006/relationships/hyperlink" Target="https://oaout.moenv.gov.tw/law/LawContent.aspx?id=FL015529" TargetMode="External" Id="rId74" /><Relationship Type="http://schemas.openxmlformats.org/officeDocument/2006/relationships/hyperlink" Target="https://oaout.moenv.gov.tw/law/LawContent.aspx?id=FL015529" TargetMode="External" Id="rId75" /><Relationship Type="http://schemas.openxmlformats.org/officeDocument/2006/relationships/hyperlink" Target="https://oaout.moenv.gov.tw/law/LawContent.aspx?id=FL015529" TargetMode="External" Id="rId76" /><Relationship Type="http://schemas.openxmlformats.org/officeDocument/2006/relationships/hyperlink" Target="https://oaout.moenv.gov.tw/law/LawContent.aspx?id=FL015529" TargetMode="External" Id="rId77" /><Relationship Type="http://schemas.openxmlformats.org/officeDocument/2006/relationships/hyperlink" Target="https://oaout.moenv.gov.tw/law/LawContent.aspx?id=FL015529" TargetMode="External" Id="rId78" /><Relationship Type="http://schemas.openxmlformats.org/officeDocument/2006/relationships/hyperlink" Target="https://oaout.moenv.gov.tw/law/LawContent.aspx?id=FL015529" TargetMode="External" Id="rId79" /><Relationship Type="http://schemas.openxmlformats.org/officeDocument/2006/relationships/hyperlink" Target="https://oaout.moenv.gov.tw/law/LawContent.aspx?id=FL015529" TargetMode="External" Id="rId80" /><Relationship Type="http://schemas.openxmlformats.org/officeDocument/2006/relationships/hyperlink" Target="https://oaout.moenv.gov.tw/law/LawContent.aspx?id=FL015529" TargetMode="External" Id="rId81" /><Relationship Type="http://schemas.openxmlformats.org/officeDocument/2006/relationships/hyperlink" Target="https://oaout.moenv.gov.tw/law/LawContent.aspx?id=FL015529" TargetMode="External" Id="rId82" /><Relationship Type="http://schemas.openxmlformats.org/officeDocument/2006/relationships/hyperlink" Target="https://oaout.moenv.gov.tw/law/LawContent.aspx?id=FL015529" TargetMode="External" Id="rId83" /><Relationship Type="http://schemas.openxmlformats.org/officeDocument/2006/relationships/hyperlink" Target="https://oaout.moenv.gov.tw/law/LawContent.aspx?id=FL015529" TargetMode="External" Id="rId84" /><Relationship Type="http://schemas.openxmlformats.org/officeDocument/2006/relationships/hyperlink" Target="https://oaout.moenv.gov.tw/law/LawContent.aspx?id=FL015529" TargetMode="External" Id="rId85" /><Relationship Type="http://schemas.openxmlformats.org/officeDocument/2006/relationships/hyperlink" Target="https://oaout.moenv.gov.tw/law/LawContent.aspx?id=FL015529" TargetMode="External" Id="rId86" /><Relationship Type="http://schemas.openxmlformats.org/officeDocument/2006/relationships/hyperlink" Target="https://oaout.moenv.gov.tw/law/LawContent.aspx?id=FL015529" TargetMode="External" Id="rId87" /><Relationship Type="http://schemas.openxmlformats.org/officeDocument/2006/relationships/hyperlink" Target="https://oaout.moenv.gov.tw/law/LawContent.aspx?id=FL015529" TargetMode="External" Id="rId88" /><Relationship Type="http://schemas.openxmlformats.org/officeDocument/2006/relationships/hyperlink" Target="https://oaout.moenv.gov.tw/law/LawContent.aspx?id=FL015529" TargetMode="External" Id="rId89" /><Relationship Type="http://schemas.openxmlformats.org/officeDocument/2006/relationships/hyperlink" Target="https://oaout.moenv.gov.tw/law/LawContent.aspx?id=FL015529" TargetMode="External" Id="rId90" /><Relationship Type="http://schemas.openxmlformats.org/officeDocument/2006/relationships/hyperlink" Target="https://oaout.moenv.gov.tw/law/LawContent.aspx?id=FL015529" TargetMode="External" Id="rId91" /><Relationship Type="http://schemas.openxmlformats.org/officeDocument/2006/relationships/hyperlink" Target="https://oaout.moenv.gov.tw/law/LawContent.aspx?id=FL015529" TargetMode="External" Id="rId92" /><Relationship Type="http://schemas.openxmlformats.org/officeDocument/2006/relationships/hyperlink" Target="https://oaout.moenv.gov.tw/law/LawContent.aspx?id=FL015529" TargetMode="External" Id="rId93" /><Relationship Type="http://schemas.openxmlformats.org/officeDocument/2006/relationships/hyperlink" Target="https://oaout.moenv.gov.tw/law/LawContent.aspx?id=FL015529" TargetMode="External" Id="rId94" /><Relationship Type="http://schemas.openxmlformats.org/officeDocument/2006/relationships/hyperlink" Target="https://oaout.moenv.gov.tw/law/LawContent.aspx?id=FL015529" TargetMode="External" Id="rId95" /><Relationship Type="http://schemas.openxmlformats.org/officeDocument/2006/relationships/hyperlink" Target="https://oaout.moenv.gov.tw/law/LawContent.aspx?id=FL015529" TargetMode="External" Id="rId96" /><Relationship Type="http://schemas.openxmlformats.org/officeDocument/2006/relationships/hyperlink" Target="https://oaout.moenv.gov.tw/law/LawContent.aspx?id=FL015529" TargetMode="External" Id="rId97" /><Relationship Type="http://schemas.openxmlformats.org/officeDocument/2006/relationships/hyperlink" Target="https://oaout.moenv.gov.tw/law/LawContent.aspx?id=FL015529" TargetMode="External" Id="rId98" /><Relationship Type="http://schemas.openxmlformats.org/officeDocument/2006/relationships/hyperlink" Target="https://oaout.moenv.gov.tw/law/LawContent.aspx?id=FL015529" TargetMode="External" Id="rId99" /><Relationship Type="http://schemas.openxmlformats.org/officeDocument/2006/relationships/hyperlink" Target="https://oaout.moenv.gov.tw/law/LawContent.aspx?id=FL015529" TargetMode="External" Id="rId100" /><Relationship Type="http://schemas.openxmlformats.org/officeDocument/2006/relationships/hyperlink" Target="https://oaout.moenv.gov.tw/law/LawContent.aspx?id=FL058152" TargetMode="External" Id="rId101" /><Relationship Type="http://schemas.openxmlformats.org/officeDocument/2006/relationships/hyperlink" Target="https://oaout.moenv.gov.tw/law/LawContent.aspx?id=FL058152" TargetMode="External" Id="rId102" /><Relationship Type="http://schemas.openxmlformats.org/officeDocument/2006/relationships/hyperlink" Target="https://oaout.moenv.gov.tw/law/LawContent.aspx?id=FL058152" TargetMode="External" Id="rId103" /><Relationship Type="http://schemas.openxmlformats.org/officeDocument/2006/relationships/hyperlink" Target="https://oaout.moenv.gov.tw/law/LawContent.aspx?id=FL058152" TargetMode="External" Id="rId104" /><Relationship Type="http://schemas.openxmlformats.org/officeDocument/2006/relationships/hyperlink" Target="https://oaout.moenv.gov.tw/law/LawContent.aspx?id=FL058152" TargetMode="External" Id="rId105" /><Relationship Type="http://schemas.openxmlformats.org/officeDocument/2006/relationships/hyperlink" Target="https://oaout.moenv.gov.tw/law/LawContent.aspx?id=FL058152" TargetMode="External" Id="rId106" /><Relationship Type="http://schemas.openxmlformats.org/officeDocument/2006/relationships/hyperlink" Target="https://oaout.moenv.gov.tw/law/LawContent.aspx?id=FL058152" TargetMode="External" Id="rId107" /><Relationship Type="http://schemas.openxmlformats.org/officeDocument/2006/relationships/hyperlink" Target="https://oaout.moenv.gov.tw/law/LawContent.aspx?id=FL058152" TargetMode="External" Id="rId108" /><Relationship Type="http://schemas.openxmlformats.org/officeDocument/2006/relationships/hyperlink" Target="https://oaout.moenv.gov.tw/law/LawContent.aspx?id=FL058152" TargetMode="External" Id="rId109" /><Relationship Type="http://schemas.openxmlformats.org/officeDocument/2006/relationships/hyperlink" Target="https://oaout.moenv.gov.tw/law/LawContent.aspx?id=FL058152" TargetMode="External" Id="rId110" /><Relationship Type="http://schemas.openxmlformats.org/officeDocument/2006/relationships/hyperlink" Target="https://oaout.moenv.gov.tw/law/LawContent.aspx?id=FL058152" TargetMode="External" Id="rId111" /><Relationship Type="http://schemas.openxmlformats.org/officeDocument/2006/relationships/hyperlink" Target="https://oaout.moenv.gov.tw/law/LawContent.aspx?id=FL058152" TargetMode="External" Id="rId112" /><Relationship Type="http://schemas.openxmlformats.org/officeDocument/2006/relationships/hyperlink" Target="https://oaout.moenv.gov.tw/law/LawContent.aspx?id=FL058152" TargetMode="External" Id="rId113" /><Relationship Type="http://schemas.openxmlformats.org/officeDocument/2006/relationships/hyperlink" Target="https://oaout.moenv.gov.tw/law/LawContent.aspx?id=FL058152" TargetMode="External" Id="rId114" /><Relationship Type="http://schemas.openxmlformats.org/officeDocument/2006/relationships/hyperlink" Target="https://oaout.moenv.gov.tw/law/LawContent.aspx?id=FL058152" TargetMode="External" Id="rId115" /><Relationship Type="http://schemas.openxmlformats.org/officeDocument/2006/relationships/hyperlink" Target="https://oaout.moenv.gov.tw/law/LawContent.aspx?id=FL058152" TargetMode="External" Id="rId116" /><Relationship Type="http://schemas.openxmlformats.org/officeDocument/2006/relationships/hyperlink" Target="https://oaout.moenv.gov.tw/law/LawContent.aspx?id=FL058152" TargetMode="External" Id="rId117" /><Relationship Type="http://schemas.openxmlformats.org/officeDocument/2006/relationships/hyperlink" Target="https://oaout.moenv.gov.tw/law/LawContent.aspx?id=FL058152" TargetMode="External" Id="rId118" /><Relationship Type="http://schemas.openxmlformats.org/officeDocument/2006/relationships/hyperlink" Target="https://oaout.moenv.gov.tw/Law/LawContent.aspx?id=FL015523" TargetMode="External" Id="rId119" /><Relationship Type="http://schemas.openxmlformats.org/officeDocument/2006/relationships/hyperlink" Target="https://oaout.moenv.gov.tw/Law/LawContent.aspx?id=FL015523" TargetMode="External" Id="rId120" /><Relationship Type="http://schemas.openxmlformats.org/officeDocument/2006/relationships/hyperlink" Target="https://oaout.moenv.gov.tw/Law/LawContent.aspx?id=FL015523" TargetMode="External" Id="rId121" /><Relationship Type="http://schemas.openxmlformats.org/officeDocument/2006/relationships/hyperlink" Target="https://oaout.moenv.gov.tw/Law/LawContent.aspx?id=FL015523" TargetMode="External" Id="rId122" /><Relationship Type="http://schemas.openxmlformats.org/officeDocument/2006/relationships/hyperlink" Target="https://oaout.moenv.gov.tw/Law/LawContent.aspx?id=FL015523" TargetMode="External" Id="rId123" /><Relationship Type="http://schemas.openxmlformats.org/officeDocument/2006/relationships/hyperlink" Target="https://oaout.moenv.gov.tw/Law/LawContent.aspx?id=FL015523" TargetMode="External" Id="rId124" /><Relationship Type="http://schemas.openxmlformats.org/officeDocument/2006/relationships/hyperlink" Target="https://oaout.moenv.gov.tw/Law/LawContent.aspx?id=FL015523" TargetMode="External" Id="rId125" /><Relationship Type="http://schemas.openxmlformats.org/officeDocument/2006/relationships/hyperlink" Target="https://oaout.moenv.gov.tw/Law/LawContent.aspx?id=FL015523" TargetMode="External" Id="rId126" /><Relationship Type="http://schemas.openxmlformats.org/officeDocument/2006/relationships/hyperlink" Target="https://oaout.moenv.gov.tw/Law/LawContent.aspx?id=FL015523" TargetMode="External" Id="rId127" /><Relationship Type="http://schemas.openxmlformats.org/officeDocument/2006/relationships/hyperlink" Target="https://oaout.moenv.gov.tw/Law/LawContent.aspx?id=FL015523" TargetMode="External" Id="rId128" /><Relationship Type="http://schemas.openxmlformats.org/officeDocument/2006/relationships/hyperlink" Target="https://oaout.moenv.gov.tw/Law/LawContent.aspx?id=FL015523" TargetMode="External" Id="rId129" /><Relationship Type="http://schemas.openxmlformats.org/officeDocument/2006/relationships/hyperlink" Target="https://oaout.moenv.gov.tw/Law/LawContent.aspx?id=FL015523" TargetMode="External" Id="rId130" /><Relationship Type="http://schemas.openxmlformats.org/officeDocument/2006/relationships/hyperlink" Target="https://oaout.moenv.gov.tw/Law/LawContent.aspx?id=FL015523" TargetMode="External" Id="rId131" /><Relationship Type="http://schemas.openxmlformats.org/officeDocument/2006/relationships/hyperlink" Target="https://oaout.moenv.gov.tw/Law/LawContent.aspx?id=FL015523" TargetMode="External" Id="rId132" /><Relationship Type="http://schemas.openxmlformats.org/officeDocument/2006/relationships/hyperlink" Target="https://oaout.moenv.gov.tw/Law/LawContent.aspx?id=FL015523" TargetMode="External" Id="rId133" /><Relationship Type="http://schemas.openxmlformats.org/officeDocument/2006/relationships/hyperlink" Target="https://oaout.moenv.gov.tw/Law/LawContent.aspx?id=FL015523" TargetMode="External" Id="rId134" /><Relationship Type="http://schemas.openxmlformats.org/officeDocument/2006/relationships/hyperlink" Target="https://oaout.moenv.gov.tw/Law/LawContent.aspx?id=FL015523" TargetMode="External" Id="rId135" /><Relationship Type="http://schemas.openxmlformats.org/officeDocument/2006/relationships/hyperlink" Target="https://oaout.moenv.gov.tw/Law/LawContent.aspx?id=FL015523" TargetMode="External" Id="rId136" /><Relationship Type="http://schemas.openxmlformats.org/officeDocument/2006/relationships/hyperlink" Target="https://oaout.moenv.gov.tw/Law/LawContent.aspx?id=FL015523" TargetMode="External" Id="rId137" /><Relationship Type="http://schemas.openxmlformats.org/officeDocument/2006/relationships/hyperlink" Target="https://oaout.moenv.gov.tw/Law/LawContent.aspx?id=FL015523" TargetMode="External" Id="rId138" /><Relationship Type="http://schemas.openxmlformats.org/officeDocument/2006/relationships/hyperlink" Target="https://oaout.moenv.gov.tw/Law/LawContent.aspx?id=FL015523" TargetMode="External" Id="rId139" /><Relationship Type="http://schemas.openxmlformats.org/officeDocument/2006/relationships/hyperlink" Target="https://oaout.moenv.gov.tw/Law/LawContent.aspx?id=FL015523" TargetMode="External" Id="rId140" /><Relationship Type="http://schemas.openxmlformats.org/officeDocument/2006/relationships/hyperlink" Target="https://oaout.moenv.gov.tw/Law/LawContent.aspx?id=FL015523" TargetMode="External" Id="rId141" /><Relationship Type="http://schemas.openxmlformats.org/officeDocument/2006/relationships/hyperlink" Target="https://oaout.moenv.gov.tw/Law/LawContent.aspx?id=FL015523" TargetMode="External" Id="rId142" /><Relationship Type="http://schemas.openxmlformats.org/officeDocument/2006/relationships/hyperlink" Target="https://oaout.moenv.gov.tw/Law/LawContent.aspx?id=FL015523" TargetMode="External" Id="rId143" /><Relationship Type="http://schemas.openxmlformats.org/officeDocument/2006/relationships/hyperlink" Target="https://oaout.moenv.gov.tw/Law/LawContent.aspx?id=FL015523" TargetMode="External" Id="rId144" /><Relationship Type="http://schemas.openxmlformats.org/officeDocument/2006/relationships/hyperlink" Target="https://oaout.moenv.gov.tw/Law/LawContent.aspx?id=FL015523" TargetMode="External" Id="rId145" /><Relationship Type="http://schemas.openxmlformats.org/officeDocument/2006/relationships/hyperlink" Target="https://oaout.moenv.gov.tw/Law/LawContent.aspx?id=FL015523" TargetMode="External" Id="rId146" /><Relationship Type="http://schemas.openxmlformats.org/officeDocument/2006/relationships/hyperlink" Target="https://oaout.moenv.gov.tw/Law/LawContent.aspx?id=FL015523" TargetMode="External" Id="rId147" /><Relationship Type="http://schemas.openxmlformats.org/officeDocument/2006/relationships/hyperlink" Target="https://oaout.moenv.gov.tw/Law/LawContent.aspx?id=FL015523" TargetMode="External" Id="rId148" /><Relationship Type="http://schemas.openxmlformats.org/officeDocument/2006/relationships/hyperlink" Target="https://oaout.moenv.gov.tw/Law/LawContent.aspx?id=FL015523" TargetMode="External" Id="rId149" /><Relationship Type="http://schemas.openxmlformats.org/officeDocument/2006/relationships/hyperlink" Target="https://oaout.moenv.gov.tw/Law/LawContent.aspx?id=FL015523" TargetMode="External" Id="rId150" /><Relationship Type="http://schemas.openxmlformats.org/officeDocument/2006/relationships/hyperlink" Target="https://oaout.moenv.gov.tw/Law/LawContent.aspx?id=FL015523" TargetMode="External" Id="rId151" /><Relationship Type="http://schemas.openxmlformats.org/officeDocument/2006/relationships/hyperlink" Target="https://oaout.moenv.gov.tw/Law/LawContent.aspx?id=FL015523" TargetMode="External" Id="rId152" /><Relationship Type="http://schemas.openxmlformats.org/officeDocument/2006/relationships/hyperlink" Target="https://oaout.moenv.gov.tw/Law/LawContent.aspx?id=FL015523" TargetMode="External" Id="rId153" /><Relationship Type="http://schemas.openxmlformats.org/officeDocument/2006/relationships/hyperlink" Target="https://oaout.moenv.gov.tw/Law/LawContent.aspx?id=FL015523" TargetMode="External" Id="rId154" /><Relationship Type="http://schemas.openxmlformats.org/officeDocument/2006/relationships/hyperlink" Target="https://oaout.moenv.gov.tw/Law/LawContent.aspx?id=FL015523" TargetMode="External" Id="rId155" /><Relationship Type="http://schemas.openxmlformats.org/officeDocument/2006/relationships/hyperlink" Target="https://oaout.moenv.gov.tw/Law/LawContent.aspx?id=FL015523" TargetMode="External" Id="rId156" /><Relationship Type="http://schemas.openxmlformats.org/officeDocument/2006/relationships/hyperlink" Target="https://oaout.moenv.gov.tw/Law/LawContent.aspx?id=FL015523" TargetMode="External" Id="rId157" /><Relationship Type="http://schemas.openxmlformats.org/officeDocument/2006/relationships/hyperlink" Target="https://oaout.moenv.gov.tw/Law/LawContent.aspx?id=FL015523" TargetMode="External" Id="rId158" /><Relationship Type="http://schemas.openxmlformats.org/officeDocument/2006/relationships/hyperlink" Target="https://oaout.moenv.gov.tw/Law/LawContent.aspx?id=FL015523" TargetMode="External" Id="rId159" /><Relationship Type="http://schemas.openxmlformats.org/officeDocument/2006/relationships/hyperlink" Target="https://oaout.moenv.gov.tw/Law/LawContent.aspx?id=FL015523" TargetMode="External" Id="rId160" /><Relationship Type="http://schemas.openxmlformats.org/officeDocument/2006/relationships/hyperlink" Target="https://oaout.moenv.gov.tw/Law/LawContent.aspx?id=FL015523" TargetMode="External" Id="rId161" /><Relationship Type="http://schemas.openxmlformats.org/officeDocument/2006/relationships/hyperlink" Target="https://oaout.moenv.gov.tw/Law/LawContent.aspx?id=FL015523" TargetMode="External" Id="rId162" /><Relationship Type="http://schemas.openxmlformats.org/officeDocument/2006/relationships/hyperlink" Target="https://oaout.moenv.gov.tw/Law/LawContent.aspx?id=FL015523" TargetMode="External" Id="rId163" /><Relationship Type="http://schemas.openxmlformats.org/officeDocument/2006/relationships/hyperlink" Target="https://oaout.moenv.gov.tw/Law/LawContent.aspx?id=FL015523" TargetMode="External" Id="rId164" /><Relationship Type="http://schemas.openxmlformats.org/officeDocument/2006/relationships/hyperlink" Target="https://oaout.moenv.gov.tw/Law/LawContent.aspx?id=FL015523" TargetMode="External" Id="rId165" /><Relationship Type="http://schemas.openxmlformats.org/officeDocument/2006/relationships/hyperlink" Target="https://oaout.moenv.gov.tw/Law/LawContent.aspx?id=FL015523" TargetMode="External" Id="rId166" /><Relationship Type="http://schemas.openxmlformats.org/officeDocument/2006/relationships/hyperlink" Target="https://oaout.moenv.gov.tw/Law/LawContent.aspx?id=FL015523" TargetMode="External" Id="rId167" /><Relationship Type="http://schemas.openxmlformats.org/officeDocument/2006/relationships/hyperlink" Target="https://oaout.moenv.gov.tw/Law/LawContent.aspx?id=FL015523" TargetMode="External" Id="rId168" /><Relationship Type="http://schemas.openxmlformats.org/officeDocument/2006/relationships/hyperlink" Target="https://oaout.moenv.gov.tw/Law/LawContent.aspx?id=FL015523" TargetMode="External" Id="rId169" /><Relationship Type="http://schemas.openxmlformats.org/officeDocument/2006/relationships/hyperlink" Target="https://oaout.moenv.gov.tw/Law/LawContent.aspx?id=FL015523" TargetMode="External" Id="rId170" /><Relationship Type="http://schemas.openxmlformats.org/officeDocument/2006/relationships/hyperlink" Target="https://oaout.moenv.gov.tw/Law/LawContent.aspx?id=FL015523" TargetMode="External" Id="rId171" /><Relationship Type="http://schemas.openxmlformats.org/officeDocument/2006/relationships/hyperlink" Target="https://oaout.moenv.gov.tw/Law/LawContent.aspx?id=FL015523" TargetMode="External" Id="rId172" /><Relationship Type="http://schemas.openxmlformats.org/officeDocument/2006/relationships/hyperlink" Target="https://oaout.moenv.gov.tw/Law/LawContent.aspx?id=FL015523" TargetMode="External" Id="rId173" /><Relationship Type="http://schemas.openxmlformats.org/officeDocument/2006/relationships/hyperlink" Target="https://oaout.moenv.gov.tw/Law/LawContent.aspx?id=FL015523" TargetMode="External" Id="rId174" /><Relationship Type="http://schemas.openxmlformats.org/officeDocument/2006/relationships/hyperlink" Target="https://oaout.moenv.gov.tw/Law/LawContent.aspx?id=FL015523" TargetMode="External" Id="rId175" /><Relationship Type="http://schemas.openxmlformats.org/officeDocument/2006/relationships/hyperlink" Target="https://oaout.moenv.gov.tw/Law/LawContent.aspx?id=FL015523" TargetMode="External" Id="rId176" /><Relationship Type="http://schemas.openxmlformats.org/officeDocument/2006/relationships/hyperlink" Target="https://oaout.moenv.gov.tw/Law/LawContent.aspx?id=FL015523" TargetMode="External" Id="rId177" /><Relationship Type="http://schemas.openxmlformats.org/officeDocument/2006/relationships/hyperlink" Target="https://oaout.moenv.gov.tw/Law/LawContent.aspx?id=FL015523" TargetMode="External" Id="rId178" /><Relationship Type="http://schemas.openxmlformats.org/officeDocument/2006/relationships/hyperlink" Target="https://oaout.moenv.gov.tw/Law/LawContent.aspx?id=FL015523" TargetMode="External" Id="rId179" /><Relationship Type="http://schemas.openxmlformats.org/officeDocument/2006/relationships/hyperlink" Target="https://oaout.moenv.gov.tw/Law/LawContent.aspx?id=FL015523" TargetMode="External" Id="rId180" /><Relationship Type="http://schemas.openxmlformats.org/officeDocument/2006/relationships/hyperlink" Target="https://oaout.moenv.gov.tw/Law/LawContent.aspx?id=FL015523" TargetMode="External" Id="rId181" /><Relationship Type="http://schemas.openxmlformats.org/officeDocument/2006/relationships/hyperlink" Target="https://oaout.moenv.gov.tw/Law/LawContent.aspx?id=FL015523" TargetMode="External" Id="rId182" /><Relationship Type="http://schemas.openxmlformats.org/officeDocument/2006/relationships/hyperlink" Target="https://oaout.moenv.gov.tw/Law/LawContent.aspx?id=FL015523" TargetMode="External" Id="rId183" /><Relationship Type="http://schemas.openxmlformats.org/officeDocument/2006/relationships/hyperlink" Target="https://oaout.moenv.gov.tw/Law/LawContent.aspx?id=FL015523" TargetMode="External" Id="rId184" /><Relationship Type="http://schemas.openxmlformats.org/officeDocument/2006/relationships/hyperlink" Target="https://oaout.moenv.gov.tw/Law/LawContent.aspx?id=FL015523" TargetMode="External" Id="rId185" /><Relationship Type="http://schemas.openxmlformats.org/officeDocument/2006/relationships/hyperlink" Target="https://oaout.moenv.gov.tw/Law/LawContent.aspx?id=FL015523" TargetMode="External" Id="rId186" /><Relationship Type="http://schemas.openxmlformats.org/officeDocument/2006/relationships/hyperlink" Target="https://oaout.moenv.gov.tw/Law/LawContent.aspx?id=FL015523" TargetMode="External" Id="rId187" /><Relationship Type="http://schemas.openxmlformats.org/officeDocument/2006/relationships/hyperlink" Target="https://oaout.moenv.gov.tw/Law/LawContent.aspx?id=FL015523" TargetMode="External" Id="rId188" /><Relationship Type="http://schemas.openxmlformats.org/officeDocument/2006/relationships/hyperlink" Target="https://oaout.moenv.gov.tw/Law/LawContent.aspx?id=FL015523" TargetMode="External" Id="rId189" /><Relationship Type="http://schemas.openxmlformats.org/officeDocument/2006/relationships/hyperlink" Target="https://oaout.moenv.gov.tw/Law/LawContent.aspx?id=FL015523" TargetMode="External" Id="rId190" /><Relationship Type="http://schemas.openxmlformats.org/officeDocument/2006/relationships/hyperlink" Target="https://oaout.moenv.gov.tw/Law/LawContent.aspx?id=FL015523" TargetMode="External" Id="rId191" /><Relationship Type="http://schemas.openxmlformats.org/officeDocument/2006/relationships/hyperlink" Target="https://oaout.moenv.gov.tw/Law/LawContent.aspx?id=FL015523" TargetMode="External" Id="rId192" /><Relationship Type="http://schemas.openxmlformats.org/officeDocument/2006/relationships/hyperlink" Target="https://oaout.moenv.gov.tw/Law/LawContent.aspx?id=FL015523" TargetMode="External" Id="rId193" /><Relationship Type="http://schemas.openxmlformats.org/officeDocument/2006/relationships/hyperlink" Target="https://oaout.moenv.gov.tw/Law/LawContent.aspx?id=FL015523" TargetMode="External" Id="rId194" /><Relationship Type="http://schemas.openxmlformats.org/officeDocument/2006/relationships/hyperlink" Target="https://oaout.moenv.gov.tw/Law/LawContent.aspx?id=FL015523" TargetMode="External" Id="rId195" /><Relationship Type="http://schemas.openxmlformats.org/officeDocument/2006/relationships/hyperlink" Target="https://oaout.moenv.gov.tw/Law/LawContent.aspx?id=FL015523" TargetMode="External" Id="rId196" /><Relationship Type="http://schemas.openxmlformats.org/officeDocument/2006/relationships/hyperlink" Target="https://oaout.moenv.gov.tw/law/LawContent.aspx?id=FL015529" TargetMode="External" Id="rId197" /><Relationship Type="http://schemas.openxmlformats.org/officeDocument/2006/relationships/hyperlink" Target="https://oaout.moenv.gov.tw/law/LawContent.aspx?id=FL015529" TargetMode="External" Id="rId198" /><Relationship Type="http://schemas.openxmlformats.org/officeDocument/2006/relationships/hyperlink" Target="https://oaout.moenv.gov.tw/law/LawContent.aspx?id=FL015529" TargetMode="External" Id="rId199" /><Relationship Type="http://schemas.openxmlformats.org/officeDocument/2006/relationships/hyperlink" Target="https://oaout.moenv.gov.tw/law/LawContent.aspx?id=FL015529" TargetMode="External" Id="rId200" /><Relationship Type="http://schemas.openxmlformats.org/officeDocument/2006/relationships/hyperlink" Target="https://oaout.moenv.gov.tw/law/LawContent.aspx?id=FL058152" TargetMode="External" Id="rId201" /><Relationship Type="http://schemas.openxmlformats.org/officeDocument/2006/relationships/hyperlink" Target="https://oaout.moenv.gov.tw/law/LawContent.aspx?id=FL058152" TargetMode="External" Id="rId202" /><Relationship Type="http://schemas.openxmlformats.org/officeDocument/2006/relationships/table" Target="/xl/tables/table12.xml" Id="rId203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zoomScale="85" zoomScaleNormal="85" workbookViewId="0">
      <selection activeCell="H3" sqref="H3"/>
    </sheetView>
  </sheetViews>
  <sheetFormatPr baseColWidth="8" defaultRowHeight="14.25"/>
  <cols>
    <col width="4.625" customWidth="1" min="1" max="1"/>
    <col width="27.625" customWidth="1" min="2" max="2"/>
    <col width="29.625" customWidth="1" min="3" max="3"/>
    <col width="22.625" customWidth="1" min="4" max="6"/>
  </cols>
  <sheetData>
    <row r="1" ht="29.1" customHeight="1">
      <c r="A1" s="10" t="n"/>
      <c r="B1" s="41" t="n"/>
      <c r="C1" s="42" t="n"/>
      <c r="D1" s="42" t="n"/>
      <c r="E1" s="42" t="n"/>
      <c r="F1" s="43" t="n"/>
    </row>
    <row r="2" ht="38.1" customHeight="1">
      <c r="A2" s="10" t="n"/>
      <c r="B2" s="81" t="inlineStr">
        <is>
          <t>監測資料庫 v3.4｜完整計算效能優化版</t>
        </is>
      </c>
      <c r="F2" s="82" t="n"/>
    </row>
    <row r="3" ht="29.1" customHeight="1">
      <c r="A3" s="10" t="n"/>
      <c r="B3" s="45" t="n"/>
      <c r="C3" s="10" t="n"/>
      <c r="D3" s="10" t="n"/>
      <c r="E3" s="10" t="n"/>
      <c r="F3" s="44" t="n"/>
    </row>
    <row r="4" ht="30.95" customHeight="1">
      <c r="A4" s="10" t="n"/>
      <c r="B4" s="46" t="inlineStr">
        <is>
          <t>場址設定</t>
        </is>
      </c>
      <c r="C4" s="69" t="inlineStr">
        <is>
          <t>整本活頁簿共用一個場址</t>
        </is>
      </c>
      <c r="F4" s="82" t="n"/>
    </row>
    <row r="5" ht="29.1" customHeight="1">
      <c r="A5" s="10" t="n"/>
      <c r="B5" s="45" t="inlineStr">
        <is>
          <t>場址名稱</t>
        </is>
      </c>
      <c r="C5" s="47" t="inlineStr">
        <is>
          <t>合成示範場址A（非實測）</t>
        </is>
      </c>
      <c r="D5" s="67" t="inlineStr">
        <is>
          <t>場址名稱只在本頁維護。</t>
        </is>
      </c>
      <c r="F5" s="82" t="n"/>
    </row>
    <row r="6" ht="29.1" customHeight="1">
      <c r="A6" s="10" t="n"/>
      <c r="B6" s="45" t="n"/>
      <c r="C6" s="10" t="n"/>
      <c r="D6" s="10" t="n"/>
      <c r="E6" s="10" t="n"/>
      <c r="F6" s="44" t="n"/>
    </row>
    <row r="7" ht="30.95" customHeight="1">
      <c r="A7" s="10" t="n"/>
      <c r="B7" s="46" t="inlineStr">
        <is>
          <t>操作順序</t>
        </is>
      </c>
      <c r="C7" s="69" t="inlineStr">
        <is>
          <t>藍色欄輸入資料；灰色欄即時計算。新增時使用表格列。</t>
        </is>
      </c>
      <c r="F7" s="82" t="n"/>
    </row>
    <row r="8" ht="45.95" customHeight="1">
      <c r="A8" s="10" t="n"/>
      <c r="B8" s="45" t="inlineStr">
        <is>
          <t>1. 建立點位與樣品</t>
        </is>
      </c>
      <c r="C8" s="67" t="inlineStr">
        <is>
          <t>先在 03 建立點位，再到 01 登錄樣品。點位與樣品選單直接引用資料表，新增表格列會同步延伸。</t>
        </is>
      </c>
      <c r="F8" s="82" t="n"/>
    </row>
    <row r="9" ht="45.95" customHeight="1">
      <c r="A9" s="10" t="n"/>
      <c r="B9" s="45" t="inlineStr">
        <is>
          <t>2. 輸入檢測結果</t>
        </is>
      </c>
      <c r="C9" s="67" t="inlineStr">
        <is>
          <t>02 的 H 欄選取樣品，A:D 填寫分析結果。E:G 自動帶入點位、日期與解析值；QA/QC 隨同一列延伸。</t>
        </is>
      </c>
      <c r="F9" s="82" t="n"/>
    </row>
    <row r="10" ht="45.95" customHeight="1">
      <c r="A10" s="10" t="n"/>
      <c r="B10" s="45" t="inlineStr">
        <is>
          <t>3. 檢查資料</t>
        </is>
      </c>
      <c r="C10" s="67" t="inlineStr">
        <is>
          <t>07 的 C3 選擇標準、C6 輸入結果序號；02 右側 Y:AG 可篩選全部 QA/QC 判讀。</t>
        </is>
      </c>
      <c r="F10" s="82" t="n"/>
    </row>
    <row r="11" ht="29.1" customHeight="1">
      <c r="A11" s="10" t="n"/>
      <c r="B11" s="45" t="n"/>
      <c r="C11" s="10" t="n"/>
      <c r="D11" s="10" t="n"/>
      <c r="E11" s="10" t="n"/>
      <c r="F11" s="44" t="n"/>
    </row>
    <row r="12" ht="30.95" customHeight="1">
      <c r="A12" s="10" t="n"/>
      <c r="B12" s="46" t="inlineStr">
        <is>
          <t>目前資料</t>
        </is>
      </c>
      <c r="C12" s="69" t="inlineStr">
        <is>
          <t>由輸入資料自動更新</t>
        </is>
      </c>
      <c r="F12" s="82" t="n"/>
    </row>
    <row r="13" ht="29.1" customHeight="1">
      <c r="A13" s="10" t="n"/>
      <c r="B13" s="45" t="inlineStr">
        <is>
          <t>結果筆數</t>
        </is>
      </c>
      <c r="C13" s="48">
        <f>COUNTA(Results[原始值])</f>
        <v/>
      </c>
      <c r="D13" s="10" t="n"/>
      <c r="E13" s="10" t="n"/>
      <c r="F13" s="44" t="n"/>
    </row>
    <row r="14" ht="29.1" customHeight="1">
      <c r="A14" s="10" t="n"/>
      <c r="B14" s="45" t="inlineStr">
        <is>
          <t>樣品數</t>
        </is>
      </c>
      <c r="C14" s="48">
        <f>COUNTA(Samples[樣品編號])</f>
        <v/>
      </c>
      <c r="D14" s="10" t="n"/>
      <c r="E14" s="10" t="n"/>
      <c r="F14" s="44" t="n"/>
    </row>
    <row r="15" ht="29.1" customHeight="1">
      <c r="A15" s="10" t="n"/>
      <c r="B15" s="45" t="inlineStr">
        <is>
          <t>NA／未解析結果</t>
        </is>
      </c>
      <c r="C15" s="48">
        <f>COUNTA(Results[原始值])-COUNT(Results[解析值])</f>
        <v/>
      </c>
      <c r="D15" s="10" t="n"/>
      <c r="E15" s="10" t="n"/>
      <c r="F15" s="44" t="n"/>
    </row>
    <row r="16" ht="29.1" customHeight="1">
      <c r="A16" s="10" t="n"/>
      <c r="B16" s="45" t="inlineStr">
        <is>
          <t>ND結果筆數</t>
        </is>
      </c>
      <c r="C16" s="48">
        <f>COUNTIF(Results[限定符],"ND")</f>
        <v/>
      </c>
      <c r="D16" s="10" t="n"/>
      <c r="E16" s="10" t="n"/>
      <c r="F16" s="44" t="n"/>
    </row>
    <row r="17" ht="29.1" customHeight="1">
      <c r="A17" s="10" t="n"/>
      <c r="B17" s="45" t="inlineStr">
        <is>
          <t>可解析結果</t>
        </is>
      </c>
      <c r="C17" s="48">
        <f>COUNT(Results[解析值])</f>
        <v/>
      </c>
      <c r="D17" s="10" t="n"/>
      <c r="E17" s="10" t="n"/>
      <c r="F17" s="44" t="n"/>
    </row>
    <row r="18" ht="29.1" customHeight="1">
      <c r="A18" s="10" t="n"/>
      <c r="B18" s="45" t="n"/>
      <c r="C18" s="10" t="n"/>
      <c r="D18" s="10" t="n"/>
      <c r="E18" s="10" t="n"/>
      <c r="F18" s="44" t="n"/>
    </row>
    <row r="19" ht="30.95" customHeight="1">
      <c r="A19" s="10" t="n"/>
      <c r="B19" s="46" t="inlineStr">
        <is>
          <t>使用規則</t>
        </is>
      </c>
      <c r="C19" s="69" t="n"/>
      <c r="F19" s="82" t="n"/>
    </row>
    <row r="20" ht="44.1" customHeight="1">
      <c r="A20" s="10" t="n"/>
      <c r="B20" s="45" t="inlineStr">
        <is>
          <t>欄位顏色</t>
        </is>
      </c>
      <c r="C20" s="67" t="inlineStr">
        <is>
          <t>藍色＝手動維護；灰色＝公式計算。保留 2025/01–06 實測紀錄；另含六筆標示為合成範例的土壤資料。</t>
        </is>
      </c>
      <c r="F20" s="82" t="n"/>
    </row>
    <row r="21" ht="44.1" customHeight="1">
      <c r="A21" s="10" t="n"/>
      <c r="B21" s="45" t="inlineStr">
        <is>
          <t>法規標準</t>
        </is>
      </c>
      <c r="C21" s="67" t="inlineStr">
        <is>
          <t>05頁含土壤39項、地下水50項完整管制項目，並納入監測門檻。地下水第一／二類與土壤一般／食用作物農地分開建檔。</t>
        </is>
      </c>
      <c r="F21" s="82" t="n"/>
    </row>
    <row r="22" ht="44.1" customHeight="1">
      <c r="A22" s="10" t="n"/>
      <c r="B22" s="45" t="inlineStr">
        <is>
          <t>NA與ND</t>
        </is>
      </c>
      <c r="C22" s="67" t="inlineStr">
        <is>
          <t>ND解析為0；&lt;或≤界限解析為界限/2；NA與空白不轉0。原始值保留。</t>
        </is>
      </c>
      <c r="F22" s="82" t="n"/>
    </row>
    <row r="23" ht="44.1" customHeight="1">
      <c r="A23" s="10" t="n"/>
      <c r="B23" s="45" t="inlineStr">
        <is>
          <t>新標準版本</t>
        </is>
      </c>
      <c r="C23" s="67" t="inlineStr">
        <is>
          <t>在07_QAQC的C3選擇比較版本；目前沿用來源主要門檻對應的地下水第二類。不同介質與類別須選其適用版本。</t>
        </is>
      </c>
      <c r="F23" s="82" t="n"/>
    </row>
    <row r="24" ht="44.1" customHeight="1">
      <c r="A24" s="10" t="n"/>
      <c r="B24" s="45" t="inlineStr">
        <is>
          <t>容量與新增資料</t>
        </is>
      </c>
      <c r="C24" s="67" t="inlineStr">
        <is>
          <t>依實際資料列計算，不預填上萬空白列。新增結果請在資料表末列按 Tab 或插入表格列。</t>
        </is>
      </c>
      <c r="F24" s="82" t="n"/>
    </row>
    <row r="25" ht="44.1" customHeight="1">
      <c r="A25" s="10" t="n"/>
      <c r="B25" s="45" t="inlineStr">
        <is>
          <t>批次新增資料</t>
        </is>
      </c>
      <c r="C25" s="67" t="inlineStr">
        <is>
          <t>先新增足夠的表格列，再貼入輸入欄。不要覆蓋公式；保持 Excel 自動計算，並啟用自動填入表格公式。</t>
        </is>
      </c>
      <c r="F25" s="82" t="n"/>
    </row>
    <row r="26" ht="44.1" customHeight="1">
      <c r="A26" s="10" t="n"/>
      <c r="B26" s="45" t="inlineStr">
        <is>
          <t>解析值單位</t>
        </is>
      </c>
      <c r="C26" s="67" t="inlineStr">
        <is>
          <t>G欄解析值沿用結果單位；QA/QC另做標準單位換算，標準比較依原始值。</t>
        </is>
      </c>
      <c r="F26" s="82" t="n"/>
    </row>
    <row r="27" ht="44.1" customHeight="1">
      <c r="A27" s="10" t="n"/>
      <c r="B27" s="45" t="inlineStr">
        <is>
          <t>井深定義</t>
        </is>
      </c>
      <c r="C27" s="67" t="inlineStr">
        <is>
          <t>井深與篩管深度以井口向下為正；絕對高程獨立記錄。</t>
        </is>
      </c>
      <c r="F27" s="82" t="n"/>
    </row>
    <row r="28" ht="44.1" customHeight="1">
      <c r="A28" s="10" t="n"/>
      <c r="B28" s="45" t="inlineStr">
        <is>
          <t>新增介質</t>
        </is>
      </c>
      <c r="C28" s="67" t="inlineStr">
        <is>
          <t>在04_測項與清單的T欄介質表末格按Tab新增一列，再填入名稱。四處選單會同步更新。</t>
        </is>
      </c>
      <c r="F28" s="82" t="n"/>
    </row>
    <row r="29" ht="44.1" customHeight="1">
      <c r="A29" s="10" t="n"/>
      <c r="B29" s="45" t="inlineStr">
        <is>
          <t>主檔與清單</t>
        </is>
      </c>
      <c r="C29" s="67" t="inlineStr">
        <is>
          <t>樣品名稱採「監測點_YYYYMMDD」，以值填入 A 欄；02 的 H 欄選單直接引用樣品資料表。</t>
        </is>
      </c>
      <c r="F29" s="82" t="n"/>
    </row>
    <row r="30" ht="44.1" customHeight="1">
      <c r="A30" s="10" t="n"/>
      <c r="B30" s="45" t="inlineStr">
        <is>
          <t>深度欄位</t>
        </is>
      </c>
      <c r="C30" s="67" t="inlineStr">
        <is>
          <t>樣品登錄F欄：土壤為深度起，地下水為水位（井口向下為正）；採樣深度另填E欄。</t>
        </is>
      </c>
      <c r="F30" s="82" t="n"/>
    </row>
    <row r="31" ht="44.1" customHeight="1" thickBot="1">
      <c r="B31" s="49" t="inlineStr">
        <is>
          <t>繪圖欄位</t>
        </is>
      </c>
      <c r="C31" s="65" t="inlineStr">
        <is>
          <t>篩選 02 的測項、單位與點位查看結果；展開右側 QA/QC 可檢查格式、重複、單位及標準判讀。</t>
        </is>
      </c>
      <c r="D31" s="83" t="n"/>
      <c r="E31" s="83" t="n"/>
      <c r="F31" s="84" t="n"/>
    </row>
  </sheetData>
  <mergeCells count="21">
    <mergeCell ref="C23:F23"/>
    <mergeCell ref="C8:F8"/>
    <mergeCell ref="C7:F7"/>
    <mergeCell ref="C19:F19"/>
    <mergeCell ref="C28:F28"/>
    <mergeCell ref="B2:F2"/>
    <mergeCell ref="C30:F30"/>
    <mergeCell ref="C24:F24"/>
    <mergeCell ref="D5:F5"/>
    <mergeCell ref="C4:F4"/>
    <mergeCell ref="C26:F26"/>
    <mergeCell ref="C20:F20"/>
    <mergeCell ref="C29:F29"/>
    <mergeCell ref="C25:F25"/>
    <mergeCell ref="C10:F10"/>
    <mergeCell ref="C22:F22"/>
    <mergeCell ref="C9:F9"/>
    <mergeCell ref="C31:F31"/>
    <mergeCell ref="C12:F12"/>
    <mergeCell ref="C21:F21"/>
    <mergeCell ref="C27:F27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rgb="FF24465A"/>
    <outlinePr summaryBelow="1" summaryRight="1"/>
    <pageSetUpPr/>
  </sheetPr>
  <dimension ref="A1:N73"/>
  <sheetViews>
    <sheetView showGridLines="0" tabSelected="1" zoomScale="90" zoomScaleNormal="90" workbookViewId="0">
      <pane xSplit="1" ySplit="1" topLeftCell="C2" activePane="bottomRight" state="frozenSplit"/>
      <selection pane="topRight" activeCell="B1" sqref="B1"/>
      <selection pane="bottomLeft" activeCell="A2" sqref="A2"/>
      <selection pane="bottomRight" activeCell="G25" sqref="G25"/>
    </sheetView>
  </sheetViews>
  <sheetFormatPr baseColWidth="8" defaultRowHeight="14.25"/>
  <cols>
    <col width="34.625" customWidth="1" min="1" max="1"/>
    <col width="30.625" customWidth="1" min="2" max="2"/>
    <col width="18.625" customWidth="1" style="85" min="3" max="3"/>
    <col width="25.625" customWidth="1" min="4" max="4"/>
    <col width="19.625" customWidth="1" min="5" max="7"/>
    <col width="23.625" customWidth="1" min="8" max="8"/>
    <col width="19.625" customWidth="1" min="9" max="10"/>
    <col width="35.625" customWidth="1" min="11" max="11"/>
    <col width="14.625" customWidth="1" min="12" max="12"/>
    <col width="40.625" customWidth="1" min="13" max="13"/>
    <col hidden="1" width="40.625" customWidth="1" min="14" max="14"/>
    <col width="23.625" customWidth="1" min="15" max="15"/>
    <col width="27.625" customWidth="1" min="16" max="16"/>
    <col width="30.625" customWidth="1" min="17" max="17"/>
    <col width="38.625" customWidth="1" min="18" max="18"/>
  </cols>
  <sheetData>
    <row r="1" ht="44.1" customHeight="1">
      <c r="A1" s="17" t="inlineStr">
        <is>
          <t>樣品編號</t>
        </is>
      </c>
      <c r="B1" s="17" t="inlineStr">
        <is>
          <t>監測點</t>
        </is>
      </c>
      <c r="C1" s="86" t="inlineStr">
        <is>
          <t>採樣日期</t>
        </is>
      </c>
      <c r="D1" s="17" t="inlineStr">
        <is>
          <t>採樣說明</t>
        </is>
      </c>
      <c r="E1" s="17" t="inlineStr">
        <is>
          <t>採樣深度(m)</t>
        </is>
      </c>
      <c r="F1" s="17" t="inlineStr">
        <is>
          <t>深度起(m)</t>
        </is>
      </c>
      <c r="G1" s="17" t="inlineStr">
        <is>
          <t>深度迄(m)</t>
        </is>
      </c>
      <c r="H1" s="17" t="inlineStr">
        <is>
          <t>採樣方法</t>
        </is>
      </c>
      <c r="I1" s="17" t="inlineStr">
        <is>
          <t>採樣單位</t>
        </is>
      </c>
      <c r="J1" s="17" t="inlineStr">
        <is>
          <t>檢測單位</t>
        </is>
      </c>
      <c r="K1" s="17" t="inlineStr">
        <is>
          <t>備註</t>
        </is>
      </c>
      <c r="L1" s="25" t="inlineStr">
        <is>
          <t>介質</t>
        </is>
      </c>
      <c r="M1" s="25" t="inlineStr">
        <is>
          <t>樣品檢查</t>
        </is>
      </c>
      <c r="N1" s="31" t="inlineStr">
        <is>
          <t>樣品重複筆數</t>
        </is>
      </c>
    </row>
    <row r="2" ht="15" customHeight="1">
      <c r="A2" s="16" t="inlineStr">
        <is>
          <t>BH01-S_20260115_01</t>
        </is>
      </c>
      <c r="B2" s="16" t="inlineStr">
        <is>
          <t>BH01-S</t>
        </is>
      </c>
      <c r="C2" s="87" t="n">
        <v>46037</v>
      </c>
      <c r="D2" s="24" t="inlineStr">
        <is>
          <t>Campaign 1</t>
        </is>
      </c>
      <c r="E2" s="88" t="n">
        <v>0.5</v>
      </c>
      <c r="F2" s="88" t="n">
        <v>0</v>
      </c>
      <c r="G2" s="88" t="n">
        <v>1</v>
      </c>
      <c r="H2" s="24" t="inlineStr">
        <is>
          <t>其他</t>
        </is>
      </c>
      <c r="I2" s="16" t="inlineStr">
        <is>
          <t>合成範例</t>
        </is>
      </c>
      <c r="J2" s="16" t="inlineStr">
        <is>
          <t>合成範例</t>
        </is>
      </c>
      <c r="K2" s="24" t="inlineStr">
        <is>
          <t>合成資料；來源 examples/demo/samples.csv；BH01-soil-1-1</t>
        </is>
      </c>
      <c r="L2" s="32">
        <f>IF(B2="","",IF(COUNTIF(DB_03[監測點],B2)=1,INDEX(DB_03[預設介質],MATCH(B2,DB_03[監測點],0)),""))</f>
        <v/>
      </c>
      <c r="M2" s="32">
        <f>IF(COUNTA(A2:K2)=0,"",IF(A2="","缺樣品編號；","")&amp;IF(AND(A2&lt;&gt;"",N2&gt;1),"樣品編號重複；","")&amp;IF(COUNTIFS(DB_03[監測點],B2,DB_03[預設介質],L2,DB_03[啟用],"是")&lt;&gt;1,"點位或介質待核；","")&amp;IF(NOT(ISNUMBER(C2)),"缺採樣日期；","")&amp;IF(AND(L2="土壤",OR(NOT(ISNUMBER(F2)),NOT(ISNUMBER(G2)))),"缺土壤深度；","")&amp;IF(AND(L2="土壤",ISNUMBER(F2),ISNUMBER(G2),OR(F2&gt;G2,F2&lt;0)),"土壤深度起迄錯誤；","")&amp;IF(AND(L2="地下水",F2&lt;&gt;"",NOT(ISNUMBER(F2))),"水位須為數值；","")&amp;IF(AND(L2="地下水",H2=""),"缺採樣方法；","")&amp;IF(AND(B2&lt;&gt;"",L2=""),"監測點未建或重複；",""))</f>
        <v/>
      </c>
      <c r="N2" s="50">
        <f>IF(A2="","",COUNTIF(Samples[樣品編號],A2))</f>
        <v/>
      </c>
    </row>
    <row r="3" ht="15" customHeight="1">
      <c r="A3" s="16" t="inlineStr">
        <is>
          <t>BH01-W_20260115_01</t>
        </is>
      </c>
      <c r="B3" s="16" t="inlineStr">
        <is>
          <t>BH01-W</t>
        </is>
      </c>
      <c r="C3" s="87" t="n">
        <v>46037</v>
      </c>
      <c r="D3" s="24" t="inlineStr">
        <is>
          <t>Campaign 1</t>
        </is>
      </c>
      <c r="E3" s="88" t="n">
        <v>0.5</v>
      </c>
      <c r="F3" s="88" t="n">
        <v>0.2</v>
      </c>
      <c r="G3" s="88" t="n"/>
      <c r="H3" s="24" t="inlineStr">
        <is>
          <t>微洗井</t>
        </is>
      </c>
      <c r="I3" s="16" t="inlineStr">
        <is>
          <t>合成範例</t>
        </is>
      </c>
      <c r="J3" s="16" t="inlineStr">
        <is>
          <t>合成範例</t>
        </is>
      </c>
      <c r="K3" s="24" t="inlineStr">
        <is>
          <t>合成資料；來源 examples/demo/samples.csv；BH01-groundwater-1-1</t>
        </is>
      </c>
      <c r="L3" s="32">
        <f>IF(B3="","",IF(COUNTIF(DB_03[監測點],B3)=1,INDEX(DB_03[預設介質],MATCH(B3,DB_03[監測點],0)),""))</f>
        <v/>
      </c>
      <c r="M3" s="32">
        <f>IF(COUNTA(A3:K3)=0,"",IF(A3="","缺樣品編號；","")&amp;IF(AND(A3&lt;&gt;"",N3&gt;1),"樣品編號重複；","")&amp;IF(COUNTIFS(DB_03[監測點],B3,DB_03[預設介質],L3,DB_03[啟用],"是")&lt;&gt;1,"點位或介質待核；","")&amp;IF(NOT(ISNUMBER(C3)),"缺採樣日期；","")&amp;IF(AND(L3="土壤",OR(NOT(ISNUMBER(F3)),NOT(ISNUMBER(G3)))),"缺土壤深度；","")&amp;IF(AND(L3="土壤",ISNUMBER(F3),ISNUMBER(G3),OR(F3&gt;G3,F3&lt;0)),"土壤深度起迄錯誤；","")&amp;IF(AND(L3="地下水",F3&lt;&gt;"",NOT(ISNUMBER(F3))),"水位須為數值；","")&amp;IF(AND(L3="地下水",H3=""),"缺採樣方法；","")&amp;IF(AND(B3&lt;&gt;"",L3=""),"監測點未建或重複；",""))</f>
        <v/>
      </c>
      <c r="N3" s="50">
        <f>IF(A3="","",COUNTIF(Samples[樣品編號],A3))</f>
        <v/>
      </c>
    </row>
    <row r="4" ht="15" customHeight="1">
      <c r="A4" s="16" t="inlineStr">
        <is>
          <t>BH01-S_20260115_02</t>
        </is>
      </c>
      <c r="B4" s="16" t="inlineStr">
        <is>
          <t>BH01-S</t>
        </is>
      </c>
      <c r="C4" s="87" t="n">
        <v>46037</v>
      </c>
      <c r="D4" s="24" t="inlineStr">
        <is>
          <t>Campaign 1</t>
        </is>
      </c>
      <c r="E4" s="88" t="n">
        <v>1.5</v>
      </c>
      <c r="F4" s="88" t="n">
        <v>1</v>
      </c>
      <c r="G4" s="88" t="n">
        <v>2</v>
      </c>
      <c r="H4" s="24" t="inlineStr">
        <is>
          <t>其他</t>
        </is>
      </c>
      <c r="I4" s="16" t="inlineStr">
        <is>
          <t>合成範例</t>
        </is>
      </c>
      <c r="J4" s="16" t="inlineStr">
        <is>
          <t>合成範例</t>
        </is>
      </c>
      <c r="K4" s="24" t="inlineStr">
        <is>
          <t>合成資料；來源 examples/demo/samples.csv；BH01-soil-1-2</t>
        </is>
      </c>
      <c r="L4" s="32">
        <f>IF(B4="","",IF(COUNTIF(DB_03[監測點],B4)=1,INDEX(DB_03[預設介質],MATCH(B4,DB_03[監測點],0)),""))</f>
        <v/>
      </c>
      <c r="M4" s="32">
        <f>IF(COUNTA(A4:K4)=0,"",IF(A4="","缺樣品編號；","")&amp;IF(AND(A4&lt;&gt;"",N4&gt;1),"樣品編號重複；","")&amp;IF(COUNTIFS(DB_03[監測點],B4,DB_03[預設介質],L4,DB_03[啟用],"是")&lt;&gt;1,"點位或介質待核；","")&amp;IF(NOT(ISNUMBER(C4)),"缺採樣日期；","")&amp;IF(AND(L4="土壤",OR(NOT(ISNUMBER(F4)),NOT(ISNUMBER(G4)))),"缺土壤深度；","")&amp;IF(AND(L4="土壤",ISNUMBER(F4),ISNUMBER(G4),OR(F4&gt;G4,F4&lt;0)),"土壤深度起迄錯誤；","")&amp;IF(AND(L4="地下水",F4&lt;&gt;"",NOT(ISNUMBER(F4))),"水位須為數值；","")&amp;IF(AND(L4="地下水",H4=""),"缺採樣方法；","")&amp;IF(AND(B4&lt;&gt;"",L4=""),"監測點未建或重複；",""))</f>
        <v/>
      </c>
      <c r="N4" s="50">
        <f>IF(A4="","",COUNTIF(Samples[樣品編號],A4))</f>
        <v/>
      </c>
    </row>
    <row r="5" ht="15" customHeight="1">
      <c r="A5" s="16" t="inlineStr">
        <is>
          <t>BH01-W_20260115_02</t>
        </is>
      </c>
      <c r="B5" s="16" t="inlineStr">
        <is>
          <t>BH01-W</t>
        </is>
      </c>
      <c r="C5" s="87" t="n">
        <v>46037</v>
      </c>
      <c r="D5" s="24" t="inlineStr">
        <is>
          <t>Campaign 1</t>
        </is>
      </c>
      <c r="E5" s="88" t="n">
        <v>1.5</v>
      </c>
      <c r="F5" s="88" t="n"/>
      <c r="G5" s="88" t="n"/>
      <c r="H5" s="24" t="inlineStr">
        <is>
          <t>微洗井</t>
        </is>
      </c>
      <c r="I5" s="16" t="inlineStr">
        <is>
          <t>合成範例</t>
        </is>
      </c>
      <c r="J5" s="16" t="inlineStr">
        <is>
          <t>合成範例</t>
        </is>
      </c>
      <c r="K5" s="24" t="inlineStr">
        <is>
          <t>合成資料；來源 examples/demo/samples.csv；BH01-groundwater-1-2</t>
        </is>
      </c>
      <c r="L5" s="32">
        <f>IF(B5="","",IF(COUNTIF(DB_03[監測點],B5)=1,INDEX(DB_03[預設介質],MATCH(B5,DB_03[監測點],0)),""))</f>
        <v/>
      </c>
      <c r="M5" s="32">
        <f>IF(COUNTA(A5:K5)=0,"",IF(A5="","缺樣品編號；","")&amp;IF(AND(A5&lt;&gt;"",N5&gt;1),"樣品編號重複；","")&amp;IF(COUNTIFS(DB_03[監測點],B5,DB_03[預設介質],L5,DB_03[啟用],"是")&lt;&gt;1,"點位或介質待核；","")&amp;IF(NOT(ISNUMBER(C5)),"缺採樣日期；","")&amp;IF(AND(L5="土壤",OR(NOT(ISNUMBER(F5)),NOT(ISNUMBER(G5)))),"缺土壤深度；","")&amp;IF(AND(L5="土壤",ISNUMBER(F5),ISNUMBER(G5),OR(F5&gt;G5,F5&lt;0)),"土壤深度起迄錯誤；","")&amp;IF(AND(L5="地下水",F5&lt;&gt;"",NOT(ISNUMBER(F5))),"水位須為數值；","")&amp;IF(AND(L5="地下水",H5=""),"缺採樣方法；","")&amp;IF(AND(B5&lt;&gt;"",L5=""),"監測點未建或重複；",""))</f>
        <v/>
      </c>
      <c r="N5" s="50">
        <f>IF(A5="","",COUNTIF(Samples[樣品編號],A5))</f>
        <v/>
      </c>
    </row>
    <row r="6" ht="15" customHeight="1">
      <c r="A6" s="16" t="inlineStr">
        <is>
          <t>BH01-S_20260115_03</t>
        </is>
      </c>
      <c r="B6" s="16" t="inlineStr">
        <is>
          <t>BH01-S</t>
        </is>
      </c>
      <c r="C6" s="87" t="n">
        <v>46037</v>
      </c>
      <c r="D6" s="24" t="inlineStr">
        <is>
          <t>Campaign 1</t>
        </is>
      </c>
      <c r="E6" s="88" t="n">
        <v>2.5</v>
      </c>
      <c r="F6" s="88" t="n">
        <v>2</v>
      </c>
      <c r="G6" s="88" t="n">
        <v>3</v>
      </c>
      <c r="H6" s="24" t="inlineStr">
        <is>
          <t>其他</t>
        </is>
      </c>
      <c r="I6" s="16" t="inlineStr">
        <is>
          <t>合成範例</t>
        </is>
      </c>
      <c r="J6" s="16" t="inlineStr">
        <is>
          <t>合成範例</t>
        </is>
      </c>
      <c r="K6" s="24" t="inlineStr">
        <is>
          <t>合成資料；來源 examples/demo/samples.csv；BH01-soil-1-3</t>
        </is>
      </c>
      <c r="L6" s="32">
        <f>IF(B6="","",IF(COUNTIF(DB_03[監測點],B6)=1,INDEX(DB_03[預設介質],MATCH(B6,DB_03[監測點],0)),""))</f>
        <v/>
      </c>
      <c r="M6" s="32">
        <f>IF(COUNTA(A6:K6)=0,"",IF(A6="","缺樣品編號；","")&amp;IF(AND(A6&lt;&gt;"",N6&gt;1),"樣品編號重複；","")&amp;IF(COUNTIFS(DB_03[監測點],B6,DB_03[預設介質],L6,DB_03[啟用],"是")&lt;&gt;1,"點位或介質待核；","")&amp;IF(NOT(ISNUMBER(C6)),"缺採樣日期；","")&amp;IF(AND(L6="土壤",OR(NOT(ISNUMBER(F6)),NOT(ISNUMBER(G6)))),"缺土壤深度；","")&amp;IF(AND(L6="土壤",ISNUMBER(F6),ISNUMBER(G6),OR(F6&gt;G6,F6&lt;0)),"土壤深度起迄錯誤；","")&amp;IF(AND(L6="地下水",F6&lt;&gt;"",NOT(ISNUMBER(F6))),"水位須為數值；","")&amp;IF(AND(L6="地下水",H6=""),"缺採樣方法；","")&amp;IF(AND(B6&lt;&gt;"",L6=""),"監測點未建或重複；",""))</f>
        <v/>
      </c>
      <c r="N6" s="50">
        <f>IF(A6="","",COUNTIF(Samples[樣品編號],A6))</f>
        <v/>
      </c>
    </row>
    <row r="7" ht="15" customHeight="1">
      <c r="A7" s="16" t="inlineStr">
        <is>
          <t>BH01-W_20260115_03</t>
        </is>
      </c>
      <c r="B7" s="16" t="inlineStr">
        <is>
          <t>BH01-W</t>
        </is>
      </c>
      <c r="C7" s="87" t="n">
        <v>46037</v>
      </c>
      <c r="D7" s="24" t="inlineStr">
        <is>
          <t>Campaign 1</t>
        </is>
      </c>
      <c r="E7" s="88" t="n">
        <v>2.5</v>
      </c>
      <c r="F7" s="88" t="n"/>
      <c r="G7" s="88" t="n"/>
      <c r="H7" s="24" t="inlineStr">
        <is>
          <t>微洗井</t>
        </is>
      </c>
      <c r="I7" s="16" t="inlineStr">
        <is>
          <t>合成範例</t>
        </is>
      </c>
      <c r="J7" s="16" t="inlineStr">
        <is>
          <t>合成範例</t>
        </is>
      </c>
      <c r="K7" s="24" t="inlineStr">
        <is>
          <t>合成資料；來源 examples/demo/samples.csv；BH01-groundwater-1-3</t>
        </is>
      </c>
      <c r="L7" s="32">
        <f>IF(B7="","",IF(COUNTIF(DB_03[監測點],B7)=1,INDEX(DB_03[預設介質],MATCH(B7,DB_03[監測點],0)),""))</f>
        <v/>
      </c>
      <c r="M7" s="32">
        <f>IF(COUNTA(A7:K7)=0,"",IF(A7="","缺樣品編號；","")&amp;IF(AND(A7&lt;&gt;"",N7&gt;1),"樣品編號重複；","")&amp;IF(COUNTIFS(DB_03[監測點],B7,DB_03[預設介質],L7,DB_03[啟用],"是")&lt;&gt;1,"點位或介質待核；","")&amp;IF(NOT(ISNUMBER(C7)),"缺採樣日期；","")&amp;IF(AND(L7="土壤",OR(NOT(ISNUMBER(F7)),NOT(ISNUMBER(G7)))),"缺土壤深度；","")&amp;IF(AND(L7="土壤",ISNUMBER(F7),ISNUMBER(G7),OR(F7&gt;G7,F7&lt;0)),"土壤深度起迄錯誤；","")&amp;IF(AND(L7="地下水",F7&lt;&gt;"",NOT(ISNUMBER(F7))),"水位須為數值；","")&amp;IF(AND(L7="地下水",H7=""),"缺採樣方法；","")&amp;IF(AND(B7&lt;&gt;"",L7=""),"監測點未建或重複；",""))</f>
        <v/>
      </c>
      <c r="N7" s="50">
        <f>IF(A7="","",COUNTIF(Samples[樣品編號],A7))</f>
        <v/>
      </c>
    </row>
    <row r="8" ht="15" customHeight="1">
      <c r="A8" s="16" t="inlineStr">
        <is>
          <t>BH01-S_20260415_01</t>
        </is>
      </c>
      <c r="B8" s="16" t="inlineStr">
        <is>
          <t>BH01-S</t>
        </is>
      </c>
      <c r="C8" s="87" t="n">
        <v>46127</v>
      </c>
      <c r="D8" s="24" t="inlineStr">
        <is>
          <t>Campaign 2</t>
        </is>
      </c>
      <c r="E8" s="88" t="n">
        <v>0.5</v>
      </c>
      <c r="F8" s="88" t="n">
        <v>0</v>
      </c>
      <c r="G8" s="88" t="n">
        <v>1</v>
      </c>
      <c r="H8" s="24" t="inlineStr">
        <is>
          <t>其他</t>
        </is>
      </c>
      <c r="I8" s="16" t="inlineStr">
        <is>
          <t>合成範例</t>
        </is>
      </c>
      <c r="J8" s="16" t="inlineStr">
        <is>
          <t>合成範例</t>
        </is>
      </c>
      <c r="K8" s="24" t="inlineStr">
        <is>
          <t>合成資料；來源 examples/demo/samples.csv；BH01-soil-2-1</t>
        </is>
      </c>
      <c r="L8" s="32">
        <f>IF(B8="","",IF(COUNTIF(DB_03[監測點],B8)=1,INDEX(DB_03[預設介質],MATCH(B8,DB_03[監測點],0)),""))</f>
        <v/>
      </c>
      <c r="M8" s="32">
        <f>IF(COUNTA(A8:K8)=0,"",IF(A8="","缺樣品編號；","")&amp;IF(AND(A8&lt;&gt;"",N8&gt;1),"樣品編號重複；","")&amp;IF(COUNTIFS(DB_03[監測點],B8,DB_03[預設介質],L8,DB_03[啟用],"是")&lt;&gt;1,"點位或介質待核；","")&amp;IF(NOT(ISNUMBER(C8)),"缺採樣日期；","")&amp;IF(AND(L8="土壤",OR(NOT(ISNUMBER(F8)),NOT(ISNUMBER(G8)))),"缺土壤深度；","")&amp;IF(AND(L8="土壤",ISNUMBER(F8),ISNUMBER(G8),OR(F8&gt;G8,F8&lt;0)),"土壤深度起迄錯誤；","")&amp;IF(AND(L8="地下水",F8&lt;&gt;"",NOT(ISNUMBER(F8))),"水位須為數值；","")&amp;IF(AND(L8="地下水",H8=""),"缺採樣方法；","")&amp;IF(AND(B8&lt;&gt;"",L8=""),"監測點未建或重複；",""))</f>
        <v/>
      </c>
      <c r="N8" s="50">
        <f>IF(A8="","",COUNTIF(Samples[樣品編號],A8))</f>
        <v/>
      </c>
    </row>
    <row r="9" ht="15" customHeight="1">
      <c r="A9" s="16" t="inlineStr">
        <is>
          <t>BH01-W_20260415_01</t>
        </is>
      </c>
      <c r="B9" s="16" t="inlineStr">
        <is>
          <t>BH01-W</t>
        </is>
      </c>
      <c r="C9" s="87" t="n">
        <v>46127</v>
      </c>
      <c r="D9" s="24" t="inlineStr">
        <is>
          <t>Campaign 2</t>
        </is>
      </c>
      <c r="E9" s="88" t="n">
        <v>0.5</v>
      </c>
      <c r="F9" s="88" t="n">
        <v>0.2</v>
      </c>
      <c r="G9" s="88" t="n"/>
      <c r="H9" s="24" t="inlineStr">
        <is>
          <t>微洗井</t>
        </is>
      </c>
      <c r="I9" s="16" t="inlineStr">
        <is>
          <t>合成範例</t>
        </is>
      </c>
      <c r="J9" s="16" t="inlineStr">
        <is>
          <t>合成範例</t>
        </is>
      </c>
      <c r="K9" s="24" t="inlineStr">
        <is>
          <t>合成資料；來源 examples/demo/samples.csv；BH01-groundwater-2-1</t>
        </is>
      </c>
      <c r="L9" s="32">
        <f>IF(B9="","",IF(COUNTIF(DB_03[監測點],B9)=1,INDEX(DB_03[預設介質],MATCH(B9,DB_03[監測點],0)),""))</f>
        <v/>
      </c>
      <c r="M9" s="32">
        <f>IF(COUNTA(A9:K9)=0,"",IF(A9="","缺樣品編號；","")&amp;IF(AND(A9&lt;&gt;"",N9&gt;1),"樣品編號重複；","")&amp;IF(COUNTIFS(DB_03[監測點],B9,DB_03[預設介質],L9,DB_03[啟用],"是")&lt;&gt;1,"點位或介質待核；","")&amp;IF(NOT(ISNUMBER(C9)),"缺採樣日期；","")&amp;IF(AND(L9="土壤",OR(NOT(ISNUMBER(F9)),NOT(ISNUMBER(G9)))),"缺土壤深度；","")&amp;IF(AND(L9="土壤",ISNUMBER(F9),ISNUMBER(G9),OR(F9&gt;G9,F9&lt;0)),"土壤深度起迄錯誤；","")&amp;IF(AND(L9="地下水",F9&lt;&gt;"",NOT(ISNUMBER(F9))),"水位須為數值；","")&amp;IF(AND(L9="地下水",H9=""),"缺採樣方法；","")&amp;IF(AND(B9&lt;&gt;"",L9=""),"監測點未建或重複；",""))</f>
        <v/>
      </c>
      <c r="N9" s="50">
        <f>IF(A9="","",COUNTIF(Samples[樣品編號],A9))</f>
        <v/>
      </c>
    </row>
    <row r="10" ht="15" customHeight="1">
      <c r="A10" s="16" t="inlineStr">
        <is>
          <t>BH01-S_20260415_02</t>
        </is>
      </c>
      <c r="B10" s="16" t="inlineStr">
        <is>
          <t>BH01-S</t>
        </is>
      </c>
      <c r="C10" s="87" t="n">
        <v>46127</v>
      </c>
      <c r="D10" s="24" t="inlineStr">
        <is>
          <t>Campaign 2</t>
        </is>
      </c>
      <c r="E10" s="88" t="n">
        <v>1.5</v>
      </c>
      <c r="F10" s="88" t="n">
        <v>1</v>
      </c>
      <c r="G10" s="88" t="n">
        <v>2</v>
      </c>
      <c r="H10" s="24" t="inlineStr">
        <is>
          <t>其他</t>
        </is>
      </c>
      <c r="I10" s="16" t="inlineStr">
        <is>
          <t>合成範例</t>
        </is>
      </c>
      <c r="J10" s="16" t="inlineStr">
        <is>
          <t>合成範例</t>
        </is>
      </c>
      <c r="K10" s="24" t="inlineStr">
        <is>
          <t>合成資料；來源 examples/demo/samples.csv；BH01-soil-2-2</t>
        </is>
      </c>
      <c r="L10" s="32">
        <f>IF(B10="","",IF(COUNTIF(DB_03[監測點],B10)=1,INDEX(DB_03[預設介質],MATCH(B10,DB_03[監測點],0)),""))</f>
        <v/>
      </c>
      <c r="M10" s="32">
        <f>IF(COUNTA(A10:K10)=0,"",IF(A10="","缺樣品編號；","")&amp;IF(AND(A10&lt;&gt;"",N10&gt;1),"樣品編號重複；","")&amp;IF(COUNTIFS(DB_03[監測點],B10,DB_03[預設介質],L10,DB_03[啟用],"是")&lt;&gt;1,"點位或介質待核；","")&amp;IF(NOT(ISNUMBER(C10)),"缺採樣日期；","")&amp;IF(AND(L10="土壤",OR(NOT(ISNUMBER(F10)),NOT(ISNUMBER(G10)))),"缺土壤深度；","")&amp;IF(AND(L10="土壤",ISNUMBER(F10),ISNUMBER(G10),OR(F10&gt;G10,F10&lt;0)),"土壤深度起迄錯誤；","")&amp;IF(AND(L10="地下水",F10&lt;&gt;"",NOT(ISNUMBER(F10))),"水位須為數值；","")&amp;IF(AND(L10="地下水",H10=""),"缺採樣方法；","")&amp;IF(AND(B10&lt;&gt;"",L10=""),"監測點未建或重複；",""))</f>
        <v/>
      </c>
      <c r="N10" s="50">
        <f>IF(A10="","",COUNTIF(Samples[樣品編號],A10))</f>
        <v/>
      </c>
    </row>
    <row r="11" ht="15" customHeight="1">
      <c r="A11" s="16" t="inlineStr">
        <is>
          <t>BH01-W_20260415_02</t>
        </is>
      </c>
      <c r="B11" s="16" t="inlineStr">
        <is>
          <t>BH01-W</t>
        </is>
      </c>
      <c r="C11" s="87" t="n">
        <v>46127</v>
      </c>
      <c r="D11" s="24" t="inlineStr">
        <is>
          <t>Campaign 2</t>
        </is>
      </c>
      <c r="E11" s="88" t="n">
        <v>1.5</v>
      </c>
      <c r="F11" s="88" t="n"/>
      <c r="G11" s="88" t="n"/>
      <c r="H11" s="24" t="inlineStr">
        <is>
          <t>微洗井</t>
        </is>
      </c>
      <c r="I11" s="16" t="inlineStr">
        <is>
          <t>合成範例</t>
        </is>
      </c>
      <c r="J11" s="16" t="inlineStr">
        <is>
          <t>合成範例</t>
        </is>
      </c>
      <c r="K11" s="24" t="inlineStr">
        <is>
          <t>合成資料；來源 examples/demo/samples.csv；BH01-groundwater-2-2</t>
        </is>
      </c>
      <c r="L11" s="32">
        <f>IF(B11="","",IF(COUNTIF(DB_03[監測點],B11)=1,INDEX(DB_03[預設介質],MATCH(B11,DB_03[監測點],0)),""))</f>
        <v/>
      </c>
      <c r="M11" s="32">
        <f>IF(COUNTA(A11:K11)=0,"",IF(A11="","缺樣品編號；","")&amp;IF(AND(A11&lt;&gt;"",N11&gt;1),"樣品編號重複；","")&amp;IF(COUNTIFS(DB_03[監測點],B11,DB_03[預設介質],L11,DB_03[啟用],"是")&lt;&gt;1,"點位或介質待核；","")&amp;IF(NOT(ISNUMBER(C11)),"缺採樣日期；","")&amp;IF(AND(L11="土壤",OR(NOT(ISNUMBER(F11)),NOT(ISNUMBER(G11)))),"缺土壤深度；","")&amp;IF(AND(L11="土壤",ISNUMBER(F11),ISNUMBER(G11),OR(F11&gt;G11,F11&lt;0)),"土壤深度起迄錯誤；","")&amp;IF(AND(L11="地下水",F11&lt;&gt;"",NOT(ISNUMBER(F11))),"水位須為數值；","")&amp;IF(AND(L11="地下水",H11=""),"缺採樣方法；","")&amp;IF(AND(B11&lt;&gt;"",L11=""),"監測點未建或重複；",""))</f>
        <v/>
      </c>
      <c r="N11" s="50">
        <f>IF(A11="","",COUNTIF(Samples[樣品編號],A11))</f>
        <v/>
      </c>
    </row>
    <row r="12" ht="15" customHeight="1">
      <c r="A12" s="16" t="inlineStr">
        <is>
          <t>BH01-S_20260415_03</t>
        </is>
      </c>
      <c r="B12" s="16" t="inlineStr">
        <is>
          <t>BH01-S</t>
        </is>
      </c>
      <c r="C12" s="87" t="n">
        <v>46127</v>
      </c>
      <c r="D12" s="24" t="inlineStr">
        <is>
          <t>Campaign 2</t>
        </is>
      </c>
      <c r="E12" s="88" t="n">
        <v>2.5</v>
      </c>
      <c r="F12" s="88" t="n">
        <v>2</v>
      </c>
      <c r="G12" s="88" t="n">
        <v>3</v>
      </c>
      <c r="H12" s="24" t="inlineStr">
        <is>
          <t>其他</t>
        </is>
      </c>
      <c r="I12" s="16" t="inlineStr">
        <is>
          <t>合成範例</t>
        </is>
      </c>
      <c r="J12" s="16" t="inlineStr">
        <is>
          <t>合成範例</t>
        </is>
      </c>
      <c r="K12" s="24" t="inlineStr">
        <is>
          <t>合成資料；來源 examples/demo/samples.csv；BH01-soil-2-3</t>
        </is>
      </c>
      <c r="L12" s="32">
        <f>IF(B12="","",IF(COUNTIF(DB_03[監測點],B12)=1,INDEX(DB_03[預設介質],MATCH(B12,DB_03[監測點],0)),""))</f>
        <v/>
      </c>
      <c r="M12" s="32">
        <f>IF(COUNTA(A12:K12)=0,"",IF(A12="","缺樣品編號；","")&amp;IF(AND(A12&lt;&gt;"",N12&gt;1),"樣品編號重複；","")&amp;IF(COUNTIFS(DB_03[監測點],B12,DB_03[預設介質],L12,DB_03[啟用],"是")&lt;&gt;1,"點位或介質待核；","")&amp;IF(NOT(ISNUMBER(C12)),"缺採樣日期；","")&amp;IF(AND(L12="土壤",OR(NOT(ISNUMBER(F12)),NOT(ISNUMBER(G12)))),"缺土壤深度；","")&amp;IF(AND(L12="土壤",ISNUMBER(F12),ISNUMBER(G12),OR(F12&gt;G12,F12&lt;0)),"土壤深度起迄錯誤；","")&amp;IF(AND(L12="地下水",F12&lt;&gt;"",NOT(ISNUMBER(F12))),"水位須為數值；","")&amp;IF(AND(L12="地下水",H12=""),"缺採樣方法；","")&amp;IF(AND(B12&lt;&gt;"",L12=""),"監測點未建或重複；",""))</f>
        <v/>
      </c>
      <c r="N12" s="50">
        <f>IF(A12="","",COUNTIF(Samples[樣品編號],A12))</f>
        <v/>
      </c>
    </row>
    <row r="13" ht="15" customHeight="1">
      <c r="A13" s="16" t="inlineStr">
        <is>
          <t>BH01-W_20260415_03</t>
        </is>
      </c>
      <c r="B13" s="16" t="inlineStr">
        <is>
          <t>BH01-W</t>
        </is>
      </c>
      <c r="C13" s="87" t="n">
        <v>46127</v>
      </c>
      <c r="D13" s="24" t="inlineStr">
        <is>
          <t>Campaign 2</t>
        </is>
      </c>
      <c r="E13" s="88" t="n">
        <v>2.5</v>
      </c>
      <c r="F13" s="88" t="n"/>
      <c r="G13" s="88" t="n"/>
      <c r="H13" s="24" t="inlineStr">
        <is>
          <t>微洗井</t>
        </is>
      </c>
      <c r="I13" s="16" t="inlineStr">
        <is>
          <t>合成範例</t>
        </is>
      </c>
      <c r="J13" s="16" t="inlineStr">
        <is>
          <t>合成範例</t>
        </is>
      </c>
      <c r="K13" s="24" t="inlineStr">
        <is>
          <t>合成資料；來源 examples/demo/samples.csv；BH01-groundwater-2-3</t>
        </is>
      </c>
      <c r="L13" s="32">
        <f>IF(B13="","",IF(COUNTIF(DB_03[監測點],B13)=1,INDEX(DB_03[預設介質],MATCH(B13,DB_03[監測點],0)),""))</f>
        <v/>
      </c>
      <c r="M13" s="32">
        <f>IF(COUNTA(A13:K13)=0,"",IF(A13="","缺樣品編號；","")&amp;IF(AND(A13&lt;&gt;"",N13&gt;1),"樣品編號重複；","")&amp;IF(COUNTIFS(DB_03[監測點],B13,DB_03[預設介質],L13,DB_03[啟用],"是")&lt;&gt;1,"點位或介質待核；","")&amp;IF(NOT(ISNUMBER(C13)),"缺採樣日期；","")&amp;IF(AND(L13="土壤",OR(NOT(ISNUMBER(F13)),NOT(ISNUMBER(G13)))),"缺土壤深度；","")&amp;IF(AND(L13="土壤",ISNUMBER(F13),ISNUMBER(G13),OR(F13&gt;G13,F13&lt;0)),"土壤深度起迄錯誤；","")&amp;IF(AND(L13="地下水",F13&lt;&gt;"",NOT(ISNUMBER(F13))),"水位須為數值；","")&amp;IF(AND(L13="地下水",H13=""),"缺採樣方法；","")&amp;IF(AND(B13&lt;&gt;"",L13=""),"監測點未建或重複；",""))</f>
        <v/>
      </c>
      <c r="N13" s="50">
        <f>IF(A13="","",COUNTIF(Samples[樣品編號],A13))</f>
        <v/>
      </c>
    </row>
    <row r="14" ht="15" customHeight="1">
      <c r="A14" s="16" t="inlineStr">
        <is>
          <t>BH02-S_20260115_01</t>
        </is>
      </c>
      <c r="B14" s="16" t="inlineStr">
        <is>
          <t>BH02-S</t>
        </is>
      </c>
      <c r="C14" s="87" t="n">
        <v>46037</v>
      </c>
      <c r="D14" s="24" t="inlineStr">
        <is>
          <t>Campaign 1</t>
        </is>
      </c>
      <c r="E14" s="88" t="n">
        <v>0.5</v>
      </c>
      <c r="F14" s="88" t="n">
        <v>0</v>
      </c>
      <c r="G14" s="88" t="n">
        <v>1</v>
      </c>
      <c r="H14" s="24" t="inlineStr">
        <is>
          <t>其他</t>
        </is>
      </c>
      <c r="I14" s="16" t="inlineStr">
        <is>
          <t>合成範例</t>
        </is>
      </c>
      <c r="J14" s="16" t="inlineStr">
        <is>
          <t>合成範例</t>
        </is>
      </c>
      <c r="K14" s="24" t="inlineStr">
        <is>
          <t>合成資料；來源 examples/demo/samples.csv；BH02-soil-1-1</t>
        </is>
      </c>
      <c r="L14" s="32">
        <f>IF(B14="","",IF(COUNTIF(DB_03[監測點],B14)=1,INDEX(DB_03[預設介質],MATCH(B14,DB_03[監測點],0)),""))</f>
        <v/>
      </c>
      <c r="M14" s="32">
        <f>IF(COUNTA(A14:K14)=0,"",IF(A14="","缺樣品編號；","")&amp;IF(AND(A14&lt;&gt;"",N14&gt;1),"樣品編號重複；","")&amp;IF(COUNTIFS(DB_03[監測點],B14,DB_03[預設介質],L14,DB_03[啟用],"是")&lt;&gt;1,"點位或介質待核；","")&amp;IF(NOT(ISNUMBER(C14)),"缺採樣日期；","")&amp;IF(AND(L14="土壤",OR(NOT(ISNUMBER(F14)),NOT(ISNUMBER(G14)))),"缺土壤深度；","")&amp;IF(AND(L14="土壤",ISNUMBER(F14),ISNUMBER(G14),OR(F14&gt;G14,F14&lt;0)),"土壤深度起迄錯誤；","")&amp;IF(AND(L14="地下水",F14&lt;&gt;"",NOT(ISNUMBER(F14))),"水位須為數值；","")&amp;IF(AND(L14="地下水",H14=""),"缺採樣方法；","")&amp;IF(AND(B14&lt;&gt;"",L14=""),"監測點未建或重複；",""))</f>
        <v/>
      </c>
      <c r="N14" s="50">
        <f>IF(A14="","",COUNTIF(Samples[樣品編號],A14))</f>
        <v/>
      </c>
    </row>
    <row r="15" ht="15" customHeight="1">
      <c r="A15" s="16" t="inlineStr">
        <is>
          <t>BH02-W_20260115_01</t>
        </is>
      </c>
      <c r="B15" s="16" t="inlineStr">
        <is>
          <t>BH02-W</t>
        </is>
      </c>
      <c r="C15" s="87" t="n">
        <v>46037</v>
      </c>
      <c r="D15" s="24" t="inlineStr">
        <is>
          <t>Campaign 1</t>
        </is>
      </c>
      <c r="E15" s="88" t="n">
        <v>0.5</v>
      </c>
      <c r="F15" s="88" t="n">
        <v>0.2</v>
      </c>
      <c r="G15" s="88" t="n"/>
      <c r="H15" s="24" t="inlineStr">
        <is>
          <t>微洗井</t>
        </is>
      </c>
      <c r="I15" s="16" t="inlineStr">
        <is>
          <t>合成範例</t>
        </is>
      </c>
      <c r="J15" s="16" t="inlineStr">
        <is>
          <t>合成範例</t>
        </is>
      </c>
      <c r="K15" s="24" t="inlineStr">
        <is>
          <t>合成資料；來源 examples/demo/samples.csv；BH02-groundwater-1-1</t>
        </is>
      </c>
      <c r="L15" s="32">
        <f>IF(B15="","",IF(COUNTIF(DB_03[監測點],B15)=1,INDEX(DB_03[預設介質],MATCH(B15,DB_03[監測點],0)),""))</f>
        <v/>
      </c>
      <c r="M15" s="32">
        <f>IF(COUNTA(A15:K15)=0,"",IF(A15="","缺樣品編號；","")&amp;IF(AND(A15&lt;&gt;"",N15&gt;1),"樣品編號重複；","")&amp;IF(COUNTIFS(DB_03[監測點],B15,DB_03[預設介質],L15,DB_03[啟用],"是")&lt;&gt;1,"點位或介質待核；","")&amp;IF(NOT(ISNUMBER(C15)),"缺採樣日期；","")&amp;IF(AND(L15="土壤",OR(NOT(ISNUMBER(F15)),NOT(ISNUMBER(G15)))),"缺土壤深度；","")&amp;IF(AND(L15="土壤",ISNUMBER(F15),ISNUMBER(G15),OR(F15&gt;G15,F15&lt;0)),"土壤深度起迄錯誤；","")&amp;IF(AND(L15="地下水",F15&lt;&gt;"",NOT(ISNUMBER(F15))),"水位須為數值；","")&amp;IF(AND(L15="地下水",H15=""),"缺採樣方法；","")&amp;IF(AND(B15&lt;&gt;"",L15=""),"監測點未建或重複；",""))</f>
        <v/>
      </c>
      <c r="N15" s="50">
        <f>IF(A15="","",COUNTIF(Samples[樣品編號],A15))</f>
        <v/>
      </c>
    </row>
    <row r="16" ht="15" customHeight="1">
      <c r="A16" s="16" t="inlineStr">
        <is>
          <t>BH02-S_20260115_02</t>
        </is>
      </c>
      <c r="B16" s="16" t="inlineStr">
        <is>
          <t>BH02-S</t>
        </is>
      </c>
      <c r="C16" s="87" t="n">
        <v>46037</v>
      </c>
      <c r="D16" s="24" t="inlineStr">
        <is>
          <t>Campaign 1</t>
        </is>
      </c>
      <c r="E16" s="88" t="n">
        <v>1.5</v>
      </c>
      <c r="F16" s="88" t="n">
        <v>1</v>
      </c>
      <c r="G16" s="88" t="n">
        <v>2</v>
      </c>
      <c r="H16" s="24" t="inlineStr">
        <is>
          <t>其他</t>
        </is>
      </c>
      <c r="I16" s="16" t="inlineStr">
        <is>
          <t>合成範例</t>
        </is>
      </c>
      <c r="J16" s="16" t="inlineStr">
        <is>
          <t>合成範例</t>
        </is>
      </c>
      <c r="K16" s="24" t="inlineStr">
        <is>
          <t>合成資料；來源 examples/demo/samples.csv；BH02-soil-1-2</t>
        </is>
      </c>
      <c r="L16" s="32">
        <f>IF(B16="","",IF(COUNTIF(DB_03[監測點],B16)=1,INDEX(DB_03[預設介質],MATCH(B16,DB_03[監測點],0)),""))</f>
        <v/>
      </c>
      <c r="M16" s="32">
        <f>IF(COUNTA(A16:K16)=0,"",IF(A16="","缺樣品編號；","")&amp;IF(AND(A16&lt;&gt;"",N16&gt;1),"樣品編號重複；","")&amp;IF(COUNTIFS(DB_03[監測點],B16,DB_03[預設介質],L16,DB_03[啟用],"是")&lt;&gt;1,"點位或介質待核；","")&amp;IF(NOT(ISNUMBER(C16)),"缺採樣日期；","")&amp;IF(AND(L16="土壤",OR(NOT(ISNUMBER(F16)),NOT(ISNUMBER(G16)))),"缺土壤深度；","")&amp;IF(AND(L16="土壤",ISNUMBER(F16),ISNUMBER(G16),OR(F16&gt;G16,F16&lt;0)),"土壤深度起迄錯誤；","")&amp;IF(AND(L16="地下水",F16&lt;&gt;"",NOT(ISNUMBER(F16))),"水位須為數值；","")&amp;IF(AND(L16="地下水",H16=""),"缺採樣方法；","")&amp;IF(AND(B16&lt;&gt;"",L16=""),"監測點未建或重複；",""))</f>
        <v/>
      </c>
      <c r="N16" s="50">
        <f>IF(A16="","",COUNTIF(Samples[樣品編號],A16))</f>
        <v/>
      </c>
    </row>
    <row r="17" ht="15" customHeight="1">
      <c r="A17" s="16" t="inlineStr">
        <is>
          <t>BH02-W_20260115_02</t>
        </is>
      </c>
      <c r="B17" s="16" t="inlineStr">
        <is>
          <t>BH02-W</t>
        </is>
      </c>
      <c r="C17" s="87" t="n">
        <v>46037</v>
      </c>
      <c r="D17" s="24" t="inlineStr">
        <is>
          <t>Campaign 1</t>
        </is>
      </c>
      <c r="E17" s="88" t="n">
        <v>1.5</v>
      </c>
      <c r="F17" s="88" t="n"/>
      <c r="G17" s="88" t="n"/>
      <c r="H17" s="24" t="inlineStr">
        <is>
          <t>微洗井</t>
        </is>
      </c>
      <c r="I17" s="16" t="inlineStr">
        <is>
          <t>合成範例</t>
        </is>
      </c>
      <c r="J17" s="16" t="inlineStr">
        <is>
          <t>合成範例</t>
        </is>
      </c>
      <c r="K17" s="24" t="inlineStr">
        <is>
          <t>合成資料；來源 examples/demo/samples.csv；BH02-groundwater-1-2</t>
        </is>
      </c>
      <c r="L17" s="32">
        <f>IF(B17="","",IF(COUNTIF(DB_03[監測點],B17)=1,INDEX(DB_03[預設介質],MATCH(B17,DB_03[監測點],0)),""))</f>
        <v/>
      </c>
      <c r="M17" s="32">
        <f>IF(COUNTA(A17:K17)=0,"",IF(A17="","缺樣品編號；","")&amp;IF(AND(A17&lt;&gt;"",N17&gt;1),"樣品編號重複；","")&amp;IF(COUNTIFS(DB_03[監測點],B17,DB_03[預設介質],L17,DB_03[啟用],"是")&lt;&gt;1,"點位或介質待核；","")&amp;IF(NOT(ISNUMBER(C17)),"缺採樣日期；","")&amp;IF(AND(L17="土壤",OR(NOT(ISNUMBER(F17)),NOT(ISNUMBER(G17)))),"缺土壤深度；","")&amp;IF(AND(L17="土壤",ISNUMBER(F17),ISNUMBER(G17),OR(F17&gt;G17,F17&lt;0)),"土壤深度起迄錯誤；","")&amp;IF(AND(L17="地下水",F17&lt;&gt;"",NOT(ISNUMBER(F17))),"水位須為數值；","")&amp;IF(AND(L17="地下水",H17=""),"缺採樣方法；","")&amp;IF(AND(B17&lt;&gt;"",L17=""),"監測點未建或重複；",""))</f>
        <v/>
      </c>
      <c r="N17" s="50">
        <f>IF(A17="","",COUNTIF(Samples[樣品編號],A17))</f>
        <v/>
      </c>
    </row>
    <row r="18" ht="15" customHeight="1">
      <c r="A18" s="16" t="inlineStr">
        <is>
          <t>BH02-S_20260115_03</t>
        </is>
      </c>
      <c r="B18" s="16" t="inlineStr">
        <is>
          <t>BH02-S</t>
        </is>
      </c>
      <c r="C18" s="87" t="n">
        <v>46037</v>
      </c>
      <c r="D18" s="24" t="inlineStr">
        <is>
          <t>Campaign 1</t>
        </is>
      </c>
      <c r="E18" s="88" t="n">
        <v>2.5</v>
      </c>
      <c r="F18" s="88" t="n">
        <v>2</v>
      </c>
      <c r="G18" s="88" t="n">
        <v>3</v>
      </c>
      <c r="H18" s="24" t="inlineStr">
        <is>
          <t>其他</t>
        </is>
      </c>
      <c r="I18" s="16" t="inlineStr">
        <is>
          <t>合成範例</t>
        </is>
      </c>
      <c r="J18" s="16" t="inlineStr">
        <is>
          <t>合成範例</t>
        </is>
      </c>
      <c r="K18" s="24" t="inlineStr">
        <is>
          <t>合成資料；來源 examples/demo/samples.csv；BH02-soil-1-3</t>
        </is>
      </c>
      <c r="L18" s="32">
        <f>IF(B18="","",IF(COUNTIF(DB_03[監測點],B18)=1,INDEX(DB_03[預設介質],MATCH(B18,DB_03[監測點],0)),""))</f>
        <v/>
      </c>
      <c r="M18" s="32">
        <f>IF(COUNTA(A18:K18)=0,"",IF(A18="","缺樣品編號；","")&amp;IF(AND(A18&lt;&gt;"",N18&gt;1),"樣品編號重複；","")&amp;IF(COUNTIFS(DB_03[監測點],B18,DB_03[預設介質],L18,DB_03[啟用],"是")&lt;&gt;1,"點位或介質待核；","")&amp;IF(NOT(ISNUMBER(C18)),"缺採樣日期；","")&amp;IF(AND(L18="土壤",OR(NOT(ISNUMBER(F18)),NOT(ISNUMBER(G18)))),"缺土壤深度；","")&amp;IF(AND(L18="土壤",ISNUMBER(F18),ISNUMBER(G18),OR(F18&gt;G18,F18&lt;0)),"土壤深度起迄錯誤；","")&amp;IF(AND(L18="地下水",F18&lt;&gt;"",NOT(ISNUMBER(F18))),"水位須為數值；","")&amp;IF(AND(L18="地下水",H18=""),"缺採樣方法；","")&amp;IF(AND(B18&lt;&gt;"",L18=""),"監測點未建或重複；",""))</f>
        <v/>
      </c>
      <c r="N18" s="50">
        <f>IF(A18="","",COUNTIF(Samples[樣品編號],A18))</f>
        <v/>
      </c>
    </row>
    <row r="19" ht="15" customHeight="1">
      <c r="A19" s="16" t="inlineStr">
        <is>
          <t>BH02-W_20260115_03</t>
        </is>
      </c>
      <c r="B19" s="16" t="inlineStr">
        <is>
          <t>BH02-W</t>
        </is>
      </c>
      <c r="C19" s="87" t="n">
        <v>46037</v>
      </c>
      <c r="D19" s="24" t="inlineStr">
        <is>
          <t>Campaign 1</t>
        </is>
      </c>
      <c r="E19" s="88" t="n">
        <v>2.5</v>
      </c>
      <c r="F19" s="88" t="n"/>
      <c r="G19" s="88" t="n"/>
      <c r="H19" s="24" t="inlineStr">
        <is>
          <t>微洗井</t>
        </is>
      </c>
      <c r="I19" s="16" t="inlineStr">
        <is>
          <t>合成範例</t>
        </is>
      </c>
      <c r="J19" s="16" t="inlineStr">
        <is>
          <t>合成範例</t>
        </is>
      </c>
      <c r="K19" s="24" t="inlineStr">
        <is>
          <t>合成資料；來源 examples/demo/samples.csv；BH02-groundwater-1-3</t>
        </is>
      </c>
      <c r="L19" s="32">
        <f>IF(B19="","",IF(COUNTIF(DB_03[監測點],B19)=1,INDEX(DB_03[預設介質],MATCH(B19,DB_03[監測點],0)),""))</f>
        <v/>
      </c>
      <c r="M19" s="32">
        <f>IF(COUNTA(A19:K19)=0,"",IF(A19="","缺樣品編號；","")&amp;IF(AND(A19&lt;&gt;"",N19&gt;1),"樣品編號重複；","")&amp;IF(COUNTIFS(DB_03[監測點],B19,DB_03[預設介質],L19,DB_03[啟用],"是")&lt;&gt;1,"點位或介質待核；","")&amp;IF(NOT(ISNUMBER(C19)),"缺採樣日期；","")&amp;IF(AND(L19="土壤",OR(NOT(ISNUMBER(F19)),NOT(ISNUMBER(G19)))),"缺土壤深度；","")&amp;IF(AND(L19="土壤",ISNUMBER(F19),ISNUMBER(G19),OR(F19&gt;G19,F19&lt;0)),"土壤深度起迄錯誤；","")&amp;IF(AND(L19="地下水",F19&lt;&gt;"",NOT(ISNUMBER(F19))),"水位須為數值；","")&amp;IF(AND(L19="地下水",H19=""),"缺採樣方法；","")&amp;IF(AND(B19&lt;&gt;"",L19=""),"監測點未建或重複；",""))</f>
        <v/>
      </c>
      <c r="N19" s="50">
        <f>IF(A19="","",COUNTIF(Samples[樣品編號],A19))</f>
        <v/>
      </c>
    </row>
    <row r="20" ht="15" customHeight="1">
      <c r="A20" s="16" t="inlineStr">
        <is>
          <t>BH02-S_20260415_01</t>
        </is>
      </c>
      <c r="B20" s="16" t="inlineStr">
        <is>
          <t>BH02-S</t>
        </is>
      </c>
      <c r="C20" s="87" t="n">
        <v>46127</v>
      </c>
      <c r="D20" s="24" t="inlineStr">
        <is>
          <t>Campaign 2</t>
        </is>
      </c>
      <c r="E20" s="88" t="n">
        <v>0.5</v>
      </c>
      <c r="F20" s="88" t="n">
        <v>0</v>
      </c>
      <c r="G20" s="88" t="n">
        <v>1</v>
      </c>
      <c r="H20" s="24" t="inlineStr">
        <is>
          <t>其他</t>
        </is>
      </c>
      <c r="I20" s="16" t="inlineStr">
        <is>
          <t>合成範例</t>
        </is>
      </c>
      <c r="J20" s="16" t="inlineStr">
        <is>
          <t>合成範例</t>
        </is>
      </c>
      <c r="K20" s="24" t="inlineStr">
        <is>
          <t>合成資料；來源 examples/demo/samples.csv；BH02-soil-2-1</t>
        </is>
      </c>
      <c r="L20" s="32">
        <f>IF(B20="","",IF(COUNTIF(DB_03[監測點],B20)=1,INDEX(DB_03[預設介質],MATCH(B20,DB_03[監測點],0)),""))</f>
        <v/>
      </c>
      <c r="M20" s="32">
        <f>IF(COUNTA(A20:K20)=0,"",IF(A20="","缺樣品編號；","")&amp;IF(AND(A20&lt;&gt;"",N20&gt;1),"樣品編號重複；","")&amp;IF(COUNTIFS(DB_03[監測點],B20,DB_03[預設介質],L20,DB_03[啟用],"是")&lt;&gt;1,"點位或介質待核；","")&amp;IF(NOT(ISNUMBER(C20)),"缺採樣日期；","")&amp;IF(AND(L20="土壤",OR(NOT(ISNUMBER(F20)),NOT(ISNUMBER(G20)))),"缺土壤深度；","")&amp;IF(AND(L20="土壤",ISNUMBER(F20),ISNUMBER(G20),OR(F20&gt;G20,F20&lt;0)),"土壤深度起迄錯誤；","")&amp;IF(AND(L20="地下水",F20&lt;&gt;"",NOT(ISNUMBER(F20))),"水位須為數值；","")&amp;IF(AND(L20="地下水",H20=""),"缺採樣方法；","")&amp;IF(AND(B20&lt;&gt;"",L20=""),"監測點未建或重複；",""))</f>
        <v/>
      </c>
      <c r="N20" s="50">
        <f>IF(A20="","",COUNTIF(Samples[樣品編號],A20))</f>
        <v/>
      </c>
    </row>
    <row r="21" ht="15" customHeight="1">
      <c r="A21" s="16" t="inlineStr">
        <is>
          <t>BH02-W_20260415_01</t>
        </is>
      </c>
      <c r="B21" s="16" t="inlineStr">
        <is>
          <t>BH02-W</t>
        </is>
      </c>
      <c r="C21" s="87" t="n">
        <v>46127</v>
      </c>
      <c r="D21" s="24" t="inlineStr">
        <is>
          <t>Campaign 2</t>
        </is>
      </c>
      <c r="E21" s="88" t="n">
        <v>0.5</v>
      </c>
      <c r="F21" s="88" t="n">
        <v>0.2</v>
      </c>
      <c r="G21" s="88" t="n"/>
      <c r="H21" s="24" t="inlineStr">
        <is>
          <t>微洗井</t>
        </is>
      </c>
      <c r="I21" s="16" t="inlineStr">
        <is>
          <t>合成範例</t>
        </is>
      </c>
      <c r="J21" s="16" t="inlineStr">
        <is>
          <t>合成範例</t>
        </is>
      </c>
      <c r="K21" s="24" t="inlineStr">
        <is>
          <t>合成資料；來源 examples/demo/samples.csv；BH02-groundwater-2-1</t>
        </is>
      </c>
      <c r="L21" s="32">
        <f>IF(B21="","",IF(COUNTIF(DB_03[監測點],B21)=1,INDEX(DB_03[預設介質],MATCH(B21,DB_03[監測點],0)),""))</f>
        <v/>
      </c>
      <c r="M21" s="32">
        <f>IF(COUNTA(A21:K21)=0,"",IF(A21="","缺樣品編號；","")&amp;IF(AND(A21&lt;&gt;"",N21&gt;1),"樣品編號重複；","")&amp;IF(COUNTIFS(DB_03[監測點],B21,DB_03[預設介質],L21,DB_03[啟用],"是")&lt;&gt;1,"點位或介質待核；","")&amp;IF(NOT(ISNUMBER(C21)),"缺採樣日期；","")&amp;IF(AND(L21="土壤",OR(NOT(ISNUMBER(F21)),NOT(ISNUMBER(G21)))),"缺土壤深度；","")&amp;IF(AND(L21="土壤",ISNUMBER(F21),ISNUMBER(G21),OR(F21&gt;G21,F21&lt;0)),"土壤深度起迄錯誤；","")&amp;IF(AND(L21="地下水",F21&lt;&gt;"",NOT(ISNUMBER(F21))),"水位須為數值；","")&amp;IF(AND(L21="地下水",H21=""),"缺採樣方法；","")&amp;IF(AND(B21&lt;&gt;"",L21=""),"監測點未建或重複；",""))</f>
        <v/>
      </c>
      <c r="N21" s="50">
        <f>IF(A21="","",COUNTIF(Samples[樣品編號],A21))</f>
        <v/>
      </c>
    </row>
    <row r="22" ht="45" customHeight="1">
      <c r="A22" s="16" t="inlineStr">
        <is>
          <t>BH02-S_20260415_02</t>
        </is>
      </c>
      <c r="B22" s="16" t="inlineStr">
        <is>
          <t>BH02-S</t>
        </is>
      </c>
      <c r="C22" s="87" t="n">
        <v>46127</v>
      </c>
      <c r="D22" s="24" t="inlineStr">
        <is>
          <t>Campaign 2</t>
        </is>
      </c>
      <c r="E22" s="88" t="n">
        <v>1.5</v>
      </c>
      <c r="F22" s="88" t="n">
        <v>1</v>
      </c>
      <c r="G22" s="88" t="n">
        <v>2</v>
      </c>
      <c r="H22" s="24" t="inlineStr">
        <is>
          <t>其他</t>
        </is>
      </c>
      <c r="I22" s="16" t="inlineStr">
        <is>
          <t>合成範例</t>
        </is>
      </c>
      <c r="J22" s="16" t="inlineStr">
        <is>
          <t>合成範例</t>
        </is>
      </c>
      <c r="K22" s="24" t="inlineStr">
        <is>
          <t>合成資料；來源 examples/demo/samples.csv；BH02-soil-2-2</t>
        </is>
      </c>
      <c r="L22" s="32">
        <f>IF(B22="","",IF(COUNTIF(DB_03[監測點],B22)=1,INDEX(DB_03[預設介質],MATCH(B22,DB_03[監測點],0)),""))</f>
        <v/>
      </c>
      <c r="M22" s="32">
        <f>IF(COUNTA(A22:K22)=0,"",IF(A22="","缺樣品編號；","")&amp;IF(AND(A22&lt;&gt;"",N22&gt;1),"樣品編號重複；","")&amp;IF(COUNTIFS(DB_03[監測點],B22,DB_03[預設介質],L22,DB_03[啟用],"是")&lt;&gt;1,"點位或介質待核；","")&amp;IF(NOT(ISNUMBER(C22)),"缺採樣日期；","")&amp;IF(AND(L22="土壤",OR(NOT(ISNUMBER(F22)),NOT(ISNUMBER(G22)))),"缺土壤深度；","")&amp;IF(AND(L22="土壤",ISNUMBER(F22),ISNUMBER(G22),OR(F22&gt;G22,F22&lt;0)),"土壤深度起迄錯誤；","")&amp;IF(AND(L22="地下水",F22&lt;&gt;"",NOT(ISNUMBER(F22))),"水位須為數值；","")&amp;IF(AND(L22="地下水",H22=""),"缺採樣方法；","")&amp;IF(AND(B22&lt;&gt;"",L22=""),"監測點未建或重複；",""))</f>
        <v/>
      </c>
      <c r="N22" s="50">
        <f>IF(A22="","",COUNTIF(Samples[樣品編號],A22))</f>
        <v/>
      </c>
    </row>
    <row r="23" ht="45" customHeight="1">
      <c r="A23" s="16" t="inlineStr">
        <is>
          <t>BH02-W_20260415_02</t>
        </is>
      </c>
      <c r="B23" s="16" t="inlineStr">
        <is>
          <t>BH02-W</t>
        </is>
      </c>
      <c r="C23" s="87" t="n">
        <v>46127</v>
      </c>
      <c r="D23" s="24" t="inlineStr">
        <is>
          <t>Campaign 2</t>
        </is>
      </c>
      <c r="E23" s="88" t="n">
        <v>1.5</v>
      </c>
      <c r="F23" s="88" t="n"/>
      <c r="G23" s="88" t="n"/>
      <c r="H23" s="24" t="inlineStr">
        <is>
          <t>微洗井</t>
        </is>
      </c>
      <c r="I23" s="16" t="inlineStr">
        <is>
          <t>合成範例</t>
        </is>
      </c>
      <c r="J23" s="16" t="inlineStr">
        <is>
          <t>合成範例</t>
        </is>
      </c>
      <c r="K23" s="24" t="inlineStr">
        <is>
          <t>合成資料；來源 examples/demo/samples.csv；BH02-groundwater-2-2</t>
        </is>
      </c>
      <c r="L23" s="32">
        <f>IF(B23="","",IF(COUNTIF(DB_03[監測點],B23)=1,INDEX(DB_03[預設介質],MATCH(B23,DB_03[監測點],0)),""))</f>
        <v/>
      </c>
      <c r="M23" s="32">
        <f>IF(COUNTA(A23:K23)=0,"",IF(A23="","缺樣品編號；","")&amp;IF(AND(A23&lt;&gt;"",N23&gt;1),"樣品編號重複；","")&amp;IF(COUNTIFS(DB_03[監測點],B23,DB_03[預設介質],L23,DB_03[啟用],"是")&lt;&gt;1,"點位或介質待核；","")&amp;IF(NOT(ISNUMBER(C23)),"缺採樣日期；","")&amp;IF(AND(L23="土壤",OR(NOT(ISNUMBER(F23)),NOT(ISNUMBER(G23)))),"缺土壤深度；","")&amp;IF(AND(L23="土壤",ISNUMBER(F23),ISNUMBER(G23),OR(F23&gt;G23,F23&lt;0)),"土壤深度起迄錯誤；","")&amp;IF(AND(L23="地下水",F23&lt;&gt;"",NOT(ISNUMBER(F23))),"水位須為數值；","")&amp;IF(AND(L23="地下水",H23=""),"缺採樣方法；","")&amp;IF(AND(B23&lt;&gt;"",L23=""),"監測點未建或重複；",""))</f>
        <v/>
      </c>
      <c r="N23" s="50">
        <f>IF(A23="","",COUNTIF(Samples[樣品編號],A23))</f>
        <v/>
      </c>
    </row>
    <row r="24" ht="45" customHeight="1">
      <c r="A24" s="16" t="inlineStr">
        <is>
          <t>BH02-S_20260415_03</t>
        </is>
      </c>
      <c r="B24" s="16" t="inlineStr">
        <is>
          <t>BH02-S</t>
        </is>
      </c>
      <c r="C24" s="87" t="n">
        <v>46127</v>
      </c>
      <c r="D24" s="24" t="inlineStr">
        <is>
          <t>Campaign 2</t>
        </is>
      </c>
      <c r="E24" s="88" t="n">
        <v>2.5</v>
      </c>
      <c r="F24" s="88" t="n">
        <v>2</v>
      </c>
      <c r="G24" s="88" t="n">
        <v>3</v>
      </c>
      <c r="H24" s="24" t="inlineStr">
        <is>
          <t>其他</t>
        </is>
      </c>
      <c r="I24" s="16" t="inlineStr">
        <is>
          <t>合成範例</t>
        </is>
      </c>
      <c r="J24" s="16" t="inlineStr">
        <is>
          <t>合成範例</t>
        </is>
      </c>
      <c r="K24" s="24" t="inlineStr">
        <is>
          <t>合成資料；來源 examples/demo/samples.csv；BH02-soil-2-3</t>
        </is>
      </c>
      <c r="L24" s="32">
        <f>IF(B24="","",IF(COUNTIF(DB_03[監測點],B24)=1,INDEX(DB_03[預設介質],MATCH(B24,DB_03[監測點],0)),""))</f>
        <v/>
      </c>
      <c r="M24" s="32">
        <f>IF(COUNTA(A24:K24)=0,"",IF(A24="","缺樣品編號；","")&amp;IF(AND(A24&lt;&gt;"",N24&gt;1),"樣品編號重複；","")&amp;IF(COUNTIFS(DB_03[監測點],B24,DB_03[預設介質],L24,DB_03[啟用],"是")&lt;&gt;1,"點位或介質待核；","")&amp;IF(NOT(ISNUMBER(C24)),"缺採樣日期；","")&amp;IF(AND(L24="土壤",OR(NOT(ISNUMBER(F24)),NOT(ISNUMBER(G24)))),"缺土壤深度；","")&amp;IF(AND(L24="土壤",ISNUMBER(F24),ISNUMBER(G24),OR(F24&gt;G24,F24&lt;0)),"土壤深度起迄錯誤；","")&amp;IF(AND(L24="地下水",F24&lt;&gt;"",NOT(ISNUMBER(F24))),"水位須為數值；","")&amp;IF(AND(L24="地下水",H24=""),"缺採樣方法；","")&amp;IF(AND(B24&lt;&gt;"",L24=""),"監測點未建或重複；",""))</f>
        <v/>
      </c>
      <c r="N24" s="50">
        <f>IF(A24="","",COUNTIF(Samples[樣品編號],A24))</f>
        <v/>
      </c>
    </row>
    <row r="25" ht="45" customHeight="1">
      <c r="A25" s="16" t="inlineStr">
        <is>
          <t>BH02-W_20260415_03</t>
        </is>
      </c>
      <c r="B25" s="16" t="inlineStr">
        <is>
          <t>BH02-W</t>
        </is>
      </c>
      <c r="C25" s="87" t="n">
        <v>46127</v>
      </c>
      <c r="D25" s="24" t="inlineStr">
        <is>
          <t>Campaign 2</t>
        </is>
      </c>
      <c r="E25" s="88" t="n">
        <v>2.5</v>
      </c>
      <c r="F25" s="88" t="n"/>
      <c r="G25" s="88" t="n"/>
      <c r="H25" s="24" t="inlineStr">
        <is>
          <t>微洗井</t>
        </is>
      </c>
      <c r="I25" s="16" t="inlineStr">
        <is>
          <t>合成範例</t>
        </is>
      </c>
      <c r="J25" s="16" t="inlineStr">
        <is>
          <t>合成範例</t>
        </is>
      </c>
      <c r="K25" s="24" t="inlineStr">
        <is>
          <t>合成資料；來源 examples/demo/samples.csv；BH02-groundwater-2-3</t>
        </is>
      </c>
      <c r="L25" s="32">
        <f>IF(B25="","",IF(COUNTIF(DB_03[監測點],B25)=1,INDEX(DB_03[預設介質],MATCH(B25,DB_03[監測點],0)),""))</f>
        <v/>
      </c>
      <c r="M25" s="32">
        <f>IF(COUNTA(A25:K25)=0,"",IF(A25="","缺樣品編號；","")&amp;IF(AND(A25&lt;&gt;"",N25&gt;1),"樣品編號重複；","")&amp;IF(COUNTIFS(DB_03[監測點],B25,DB_03[預設介質],L25,DB_03[啟用],"是")&lt;&gt;1,"點位或介質待核；","")&amp;IF(NOT(ISNUMBER(C25)),"缺採樣日期；","")&amp;IF(AND(L25="土壤",OR(NOT(ISNUMBER(F25)),NOT(ISNUMBER(G25)))),"缺土壤深度；","")&amp;IF(AND(L25="土壤",ISNUMBER(F25),ISNUMBER(G25),OR(F25&gt;G25,F25&lt;0)),"土壤深度起迄錯誤；","")&amp;IF(AND(L25="地下水",F25&lt;&gt;"",NOT(ISNUMBER(F25))),"水位須為數值；","")&amp;IF(AND(L25="地下水",H25=""),"缺採樣方法；","")&amp;IF(AND(B25&lt;&gt;"",L25=""),"監測點未建或重複；",""))</f>
        <v/>
      </c>
      <c r="N25" s="50">
        <f>IF(A25="","",COUNTIF(Samples[樣品編號],A25))</f>
        <v/>
      </c>
    </row>
    <row r="26" ht="45" customHeight="1">
      <c r="A26" s="16" t="inlineStr">
        <is>
          <t>BH03-S_20260115_01</t>
        </is>
      </c>
      <c r="B26" s="16" t="inlineStr">
        <is>
          <t>BH03-S</t>
        </is>
      </c>
      <c r="C26" s="87" t="n">
        <v>46037</v>
      </c>
      <c r="D26" s="24" t="inlineStr">
        <is>
          <t>Campaign 1</t>
        </is>
      </c>
      <c r="E26" s="88" t="n">
        <v>0.5</v>
      </c>
      <c r="F26" s="88" t="n">
        <v>0</v>
      </c>
      <c r="G26" s="88" t="n">
        <v>1</v>
      </c>
      <c r="H26" s="24" t="inlineStr">
        <is>
          <t>其他</t>
        </is>
      </c>
      <c r="I26" s="16" t="inlineStr">
        <is>
          <t>合成範例</t>
        </is>
      </c>
      <c r="J26" s="16" t="inlineStr">
        <is>
          <t>合成範例</t>
        </is>
      </c>
      <c r="K26" s="24" t="inlineStr">
        <is>
          <t>合成資料；來源 examples/demo/samples.csv；BH03-soil-1-1</t>
        </is>
      </c>
      <c r="L26" s="32">
        <f>IF(B26="","",IF(COUNTIF(DB_03[監測點],B26)=1,INDEX(DB_03[預設介質],MATCH(B26,DB_03[監測點],0)),""))</f>
        <v/>
      </c>
      <c r="M26" s="32">
        <f>IF(COUNTA(A26:K26)=0,"",IF(A26="","缺樣品編號；","")&amp;IF(AND(A26&lt;&gt;"",N26&gt;1),"樣品編號重複；","")&amp;IF(COUNTIFS(DB_03[監測點],B26,DB_03[預設介質],L26,DB_03[啟用],"是")&lt;&gt;1,"點位或介質待核；","")&amp;IF(NOT(ISNUMBER(C26)),"缺採樣日期；","")&amp;IF(AND(L26="土壤",OR(NOT(ISNUMBER(F26)),NOT(ISNUMBER(G26)))),"缺土壤深度；","")&amp;IF(AND(L26="土壤",ISNUMBER(F26),ISNUMBER(G26),OR(F26&gt;G26,F26&lt;0)),"土壤深度起迄錯誤；","")&amp;IF(AND(L26="地下水",F26&lt;&gt;"",NOT(ISNUMBER(F26))),"水位須為數值；","")&amp;IF(AND(L26="地下水",H26=""),"缺採樣方法；","")&amp;IF(AND(B26&lt;&gt;"",L26=""),"監測點未建或重複；",""))</f>
        <v/>
      </c>
      <c r="N26" s="50">
        <f>IF(A26="","",COUNTIF(Samples[樣品編號],A26))</f>
        <v/>
      </c>
    </row>
    <row r="27" ht="45" customHeight="1">
      <c r="A27" s="16" t="inlineStr">
        <is>
          <t>BH03-W_20260115_01</t>
        </is>
      </c>
      <c r="B27" s="16" t="inlineStr">
        <is>
          <t>BH03-W</t>
        </is>
      </c>
      <c r="C27" s="87" t="n">
        <v>46037</v>
      </c>
      <c r="D27" s="24" t="inlineStr">
        <is>
          <t>Campaign 1</t>
        </is>
      </c>
      <c r="E27" s="88" t="n">
        <v>0.5</v>
      </c>
      <c r="F27" s="88" t="n">
        <v>0.2</v>
      </c>
      <c r="G27" s="88" t="n"/>
      <c r="H27" s="24" t="inlineStr">
        <is>
          <t>微洗井</t>
        </is>
      </c>
      <c r="I27" s="16" t="inlineStr">
        <is>
          <t>合成範例</t>
        </is>
      </c>
      <c r="J27" s="16" t="inlineStr">
        <is>
          <t>合成範例</t>
        </is>
      </c>
      <c r="K27" s="24" t="inlineStr">
        <is>
          <t>合成資料；來源 examples/demo/samples.csv；BH03-groundwater-1-1</t>
        </is>
      </c>
      <c r="L27" s="32">
        <f>IF(B27="","",IF(COUNTIF(DB_03[監測點],B27)=1,INDEX(DB_03[預設介質],MATCH(B27,DB_03[監測點],0)),""))</f>
        <v/>
      </c>
      <c r="M27" s="32">
        <f>IF(COUNTA(A27:K27)=0,"",IF(A27="","缺樣品編號；","")&amp;IF(AND(A27&lt;&gt;"",N27&gt;1),"樣品編號重複；","")&amp;IF(COUNTIFS(DB_03[監測點],B27,DB_03[預設介質],L27,DB_03[啟用],"是")&lt;&gt;1,"點位或介質待核；","")&amp;IF(NOT(ISNUMBER(C27)),"缺採樣日期；","")&amp;IF(AND(L27="土壤",OR(NOT(ISNUMBER(F27)),NOT(ISNUMBER(G27)))),"缺土壤深度；","")&amp;IF(AND(L27="土壤",ISNUMBER(F27),ISNUMBER(G27),OR(F27&gt;G27,F27&lt;0)),"土壤深度起迄錯誤；","")&amp;IF(AND(L27="地下水",F27&lt;&gt;"",NOT(ISNUMBER(F27))),"水位須為數值；","")&amp;IF(AND(L27="地下水",H27=""),"缺採樣方法；","")&amp;IF(AND(B27&lt;&gt;"",L27=""),"監測點未建或重複；",""))</f>
        <v/>
      </c>
      <c r="N27" s="50">
        <f>IF(A27="","",COUNTIF(Samples[樣品編號],A27))</f>
        <v/>
      </c>
    </row>
    <row r="28">
      <c r="A28" s="16" t="inlineStr">
        <is>
          <t>BH03-S_20260115_02</t>
        </is>
      </c>
      <c r="B28" s="16" t="inlineStr">
        <is>
          <t>BH03-S</t>
        </is>
      </c>
      <c r="C28" s="87" t="n">
        <v>46037</v>
      </c>
      <c r="D28" s="24" t="inlineStr">
        <is>
          <t>Campaign 1</t>
        </is>
      </c>
      <c r="E28" s="88" t="n">
        <v>1.5</v>
      </c>
      <c r="F28" s="88" t="n">
        <v>1</v>
      </c>
      <c r="G28" s="88" t="n">
        <v>2</v>
      </c>
      <c r="H28" s="24" t="inlineStr">
        <is>
          <t>其他</t>
        </is>
      </c>
      <c r="I28" s="16" t="inlineStr">
        <is>
          <t>合成範例</t>
        </is>
      </c>
      <c r="J28" s="16" t="inlineStr">
        <is>
          <t>合成範例</t>
        </is>
      </c>
      <c r="K28" s="24" t="inlineStr">
        <is>
          <t>合成資料；來源 examples/demo/samples.csv；BH03-soil-1-2</t>
        </is>
      </c>
      <c r="L28" s="32">
        <f>IF(B28="","",IF(COUNTIF(DB_03[監測點],B28)=1,INDEX(DB_03[預設介質],MATCH(B28,DB_03[監測點],0)),""))</f>
        <v/>
      </c>
      <c r="M28" s="32">
        <f>IF(COUNTA(A28:K28)=0,"",IF(A28="","缺樣品編號；","")&amp;IF(AND(A28&lt;&gt;"",N28&gt;1),"樣品編號重複；","")&amp;IF(COUNTIFS(DB_03[監測點],B28,DB_03[預設介質],L28,DB_03[啟用],"是")&lt;&gt;1,"點位或介質待核；","")&amp;IF(NOT(ISNUMBER(C28)),"缺採樣日期；","")&amp;IF(AND(L28="土壤",OR(NOT(ISNUMBER(F28)),NOT(ISNUMBER(G28)))),"缺土壤深度；","")&amp;IF(AND(L28="土壤",ISNUMBER(F28),ISNUMBER(G28),OR(F28&gt;G28,F28&lt;0)),"土壤深度起迄錯誤；","")&amp;IF(AND(L28="地下水",F28&lt;&gt;"",NOT(ISNUMBER(F28))),"水位須為數值；","")&amp;IF(AND(L28="地下水",H28=""),"缺採樣方法；","")&amp;IF(AND(B28&lt;&gt;"",L28=""),"監測點未建或重複；",""))</f>
        <v/>
      </c>
      <c r="N28" s="50">
        <f>IF(A28="","",COUNTIF(Samples[樣品編號],A28))</f>
        <v/>
      </c>
    </row>
    <row r="29">
      <c r="A29" s="16" t="inlineStr">
        <is>
          <t>BH03-W_20260115_02</t>
        </is>
      </c>
      <c r="B29" s="16" t="inlineStr">
        <is>
          <t>BH03-W</t>
        </is>
      </c>
      <c r="C29" s="87" t="n">
        <v>46037</v>
      </c>
      <c r="D29" s="24" t="inlineStr">
        <is>
          <t>Campaign 1</t>
        </is>
      </c>
      <c r="E29" s="88" t="n">
        <v>1.5</v>
      </c>
      <c r="F29" s="88" t="n"/>
      <c r="G29" s="88" t="n"/>
      <c r="H29" s="24" t="inlineStr">
        <is>
          <t>微洗井</t>
        </is>
      </c>
      <c r="I29" s="16" t="inlineStr">
        <is>
          <t>合成範例</t>
        </is>
      </c>
      <c r="J29" s="16" t="inlineStr">
        <is>
          <t>合成範例</t>
        </is>
      </c>
      <c r="K29" s="24" t="inlineStr">
        <is>
          <t>合成資料；來源 examples/demo/samples.csv；BH03-groundwater-1-2</t>
        </is>
      </c>
      <c r="L29" s="32">
        <f>IF(B29="","",IF(COUNTIF(DB_03[監測點],B29)=1,INDEX(DB_03[預設介質],MATCH(B29,DB_03[監測點],0)),""))</f>
        <v/>
      </c>
      <c r="M29" s="32">
        <f>IF(COUNTA(A29:K29)=0,"",IF(A29="","缺樣品編號；","")&amp;IF(AND(A29&lt;&gt;"",N29&gt;1),"樣品編號重複；","")&amp;IF(COUNTIFS(DB_03[監測點],B29,DB_03[預設介質],L29,DB_03[啟用],"是")&lt;&gt;1,"點位或介質待核；","")&amp;IF(NOT(ISNUMBER(C29)),"缺採樣日期；","")&amp;IF(AND(L29="土壤",OR(NOT(ISNUMBER(F29)),NOT(ISNUMBER(G29)))),"缺土壤深度；","")&amp;IF(AND(L29="土壤",ISNUMBER(F29),ISNUMBER(G29),OR(F29&gt;G29,F29&lt;0)),"土壤深度起迄錯誤；","")&amp;IF(AND(L29="地下水",F29&lt;&gt;"",NOT(ISNUMBER(F29))),"水位須為數值；","")&amp;IF(AND(L29="地下水",H29=""),"缺採樣方法；","")&amp;IF(AND(B29&lt;&gt;"",L29=""),"監測點未建或重複；",""))</f>
        <v/>
      </c>
      <c r="N29" s="50">
        <f>IF(A29="","",COUNTIF(Samples[樣品編號],A29))</f>
        <v/>
      </c>
    </row>
    <row r="30">
      <c r="A30" s="16" t="inlineStr">
        <is>
          <t>BH03-S_20260115_03</t>
        </is>
      </c>
      <c r="B30" s="16" t="inlineStr">
        <is>
          <t>BH03-S</t>
        </is>
      </c>
      <c r="C30" s="87" t="n">
        <v>46037</v>
      </c>
      <c r="D30" s="24" t="inlineStr">
        <is>
          <t>Campaign 1</t>
        </is>
      </c>
      <c r="E30" s="88" t="n">
        <v>2.5</v>
      </c>
      <c r="F30" s="88" t="n">
        <v>2</v>
      </c>
      <c r="G30" s="88" t="n">
        <v>3</v>
      </c>
      <c r="H30" s="24" t="inlineStr">
        <is>
          <t>其他</t>
        </is>
      </c>
      <c r="I30" s="16" t="inlineStr">
        <is>
          <t>合成範例</t>
        </is>
      </c>
      <c r="J30" s="16" t="inlineStr">
        <is>
          <t>合成範例</t>
        </is>
      </c>
      <c r="K30" s="24" t="inlineStr">
        <is>
          <t>合成資料；來源 examples/demo/samples.csv；BH03-soil-1-3</t>
        </is>
      </c>
      <c r="L30" s="32">
        <f>IF(B30="","",IF(COUNTIF(DB_03[監測點],B30)=1,INDEX(DB_03[預設介質],MATCH(B30,DB_03[監測點],0)),""))</f>
        <v/>
      </c>
      <c r="M30" s="32">
        <f>IF(COUNTA(A30:K30)=0,"",IF(A30="","缺樣品編號；","")&amp;IF(AND(A30&lt;&gt;"",N30&gt;1),"樣品編號重複；","")&amp;IF(COUNTIFS(DB_03[監測點],B30,DB_03[預設介質],L30,DB_03[啟用],"是")&lt;&gt;1,"點位或介質待核；","")&amp;IF(NOT(ISNUMBER(C30)),"缺採樣日期；","")&amp;IF(AND(L30="土壤",OR(NOT(ISNUMBER(F30)),NOT(ISNUMBER(G30)))),"缺土壤深度；","")&amp;IF(AND(L30="土壤",ISNUMBER(F30),ISNUMBER(G30),OR(F30&gt;G30,F30&lt;0)),"土壤深度起迄錯誤；","")&amp;IF(AND(L30="地下水",F30&lt;&gt;"",NOT(ISNUMBER(F30))),"水位須為數值；","")&amp;IF(AND(L30="地下水",H30=""),"缺採樣方法；","")&amp;IF(AND(B30&lt;&gt;"",L30=""),"監測點未建或重複；",""))</f>
        <v/>
      </c>
      <c r="N30" s="50">
        <f>IF(A30="","",COUNTIF(Samples[樣品編號],A30))</f>
        <v/>
      </c>
    </row>
    <row r="31">
      <c r="A31" s="16" t="inlineStr">
        <is>
          <t>BH03-W_20260115_03</t>
        </is>
      </c>
      <c r="B31" s="16" t="inlineStr">
        <is>
          <t>BH03-W</t>
        </is>
      </c>
      <c r="C31" s="87" t="n">
        <v>46037</v>
      </c>
      <c r="D31" s="24" t="inlineStr">
        <is>
          <t>Campaign 1</t>
        </is>
      </c>
      <c r="E31" s="88" t="n">
        <v>2.5</v>
      </c>
      <c r="F31" s="88" t="n"/>
      <c r="G31" s="88" t="n"/>
      <c r="H31" s="24" t="inlineStr">
        <is>
          <t>微洗井</t>
        </is>
      </c>
      <c r="I31" s="16" t="inlineStr">
        <is>
          <t>合成範例</t>
        </is>
      </c>
      <c r="J31" s="16" t="inlineStr">
        <is>
          <t>合成範例</t>
        </is>
      </c>
      <c r="K31" s="24" t="inlineStr">
        <is>
          <t>合成資料；來源 examples/demo/samples.csv；BH03-groundwater-1-3</t>
        </is>
      </c>
      <c r="L31" s="32">
        <f>IF(B31="","",IF(COUNTIF(DB_03[監測點],B31)=1,INDEX(DB_03[預設介質],MATCH(B31,DB_03[監測點],0)),""))</f>
        <v/>
      </c>
      <c r="M31" s="32">
        <f>IF(COUNTA(A31:K31)=0,"",IF(A31="","缺樣品編號；","")&amp;IF(AND(A31&lt;&gt;"",N31&gt;1),"樣品編號重複；","")&amp;IF(COUNTIFS(DB_03[監測點],B31,DB_03[預設介質],L31,DB_03[啟用],"是")&lt;&gt;1,"點位或介質待核；","")&amp;IF(NOT(ISNUMBER(C31)),"缺採樣日期；","")&amp;IF(AND(L31="土壤",OR(NOT(ISNUMBER(F31)),NOT(ISNUMBER(G31)))),"缺土壤深度；","")&amp;IF(AND(L31="土壤",ISNUMBER(F31),ISNUMBER(G31),OR(F31&gt;G31,F31&lt;0)),"土壤深度起迄錯誤；","")&amp;IF(AND(L31="地下水",F31&lt;&gt;"",NOT(ISNUMBER(F31))),"水位須為數值；","")&amp;IF(AND(L31="地下水",H31=""),"缺採樣方法；","")&amp;IF(AND(B31&lt;&gt;"",L31=""),"監測點未建或重複；",""))</f>
        <v/>
      </c>
      <c r="N31" s="50">
        <f>IF(A31="","",COUNTIF(Samples[樣品編號],A31))</f>
        <v/>
      </c>
    </row>
    <row r="32">
      <c r="A32" s="16" t="inlineStr">
        <is>
          <t>BH03-S_20260415_01</t>
        </is>
      </c>
      <c r="B32" s="16" t="inlineStr">
        <is>
          <t>BH03-S</t>
        </is>
      </c>
      <c r="C32" s="87" t="n">
        <v>46127</v>
      </c>
      <c r="D32" s="24" t="inlineStr">
        <is>
          <t>Campaign 2</t>
        </is>
      </c>
      <c r="E32" s="88" t="n">
        <v>0.5</v>
      </c>
      <c r="F32" s="88" t="n">
        <v>0</v>
      </c>
      <c r="G32" s="88" t="n">
        <v>1</v>
      </c>
      <c r="H32" s="24" t="inlineStr">
        <is>
          <t>其他</t>
        </is>
      </c>
      <c r="I32" s="16" t="inlineStr">
        <is>
          <t>合成範例</t>
        </is>
      </c>
      <c r="J32" s="16" t="inlineStr">
        <is>
          <t>合成範例</t>
        </is>
      </c>
      <c r="K32" s="24" t="inlineStr">
        <is>
          <t>合成資料；來源 examples/demo/samples.csv；BH03-soil-2-1</t>
        </is>
      </c>
      <c r="L32" s="32">
        <f>IF(B32="","",IF(COUNTIF(DB_03[監測點],B32)=1,INDEX(DB_03[預設介質],MATCH(B32,DB_03[監測點],0)),""))</f>
        <v/>
      </c>
      <c r="M32" s="32">
        <f>IF(COUNTA(A32:K32)=0,"",IF(A32="","缺樣品編號；","")&amp;IF(AND(A32&lt;&gt;"",N32&gt;1),"樣品編號重複；","")&amp;IF(COUNTIFS(DB_03[監測點],B32,DB_03[預設介質],L32,DB_03[啟用],"是")&lt;&gt;1,"點位或介質待核；","")&amp;IF(NOT(ISNUMBER(C32)),"缺採樣日期；","")&amp;IF(AND(L32="土壤",OR(NOT(ISNUMBER(F32)),NOT(ISNUMBER(G32)))),"缺土壤深度；","")&amp;IF(AND(L32="土壤",ISNUMBER(F32),ISNUMBER(G32),OR(F32&gt;G32,F32&lt;0)),"土壤深度起迄錯誤；","")&amp;IF(AND(L32="地下水",F32&lt;&gt;"",NOT(ISNUMBER(F32))),"水位須為數值；","")&amp;IF(AND(L32="地下水",H32=""),"缺採樣方法；","")&amp;IF(AND(B32&lt;&gt;"",L32=""),"監測點未建或重複；",""))</f>
        <v/>
      </c>
      <c r="N32" s="50">
        <f>IF(A32="","",COUNTIF(Samples[樣品編號],A32))</f>
        <v/>
      </c>
    </row>
    <row r="33">
      <c r="A33" s="16" t="inlineStr">
        <is>
          <t>BH03-W_20260415_01</t>
        </is>
      </c>
      <c r="B33" s="16" t="inlineStr">
        <is>
          <t>BH03-W</t>
        </is>
      </c>
      <c r="C33" s="87" t="n">
        <v>46127</v>
      </c>
      <c r="D33" s="24" t="inlineStr">
        <is>
          <t>Campaign 2</t>
        </is>
      </c>
      <c r="E33" s="88" t="n">
        <v>0.5</v>
      </c>
      <c r="F33" s="88" t="n">
        <v>0.2</v>
      </c>
      <c r="G33" s="88" t="n"/>
      <c r="H33" s="24" t="inlineStr">
        <is>
          <t>微洗井</t>
        </is>
      </c>
      <c r="I33" s="16" t="inlineStr">
        <is>
          <t>合成範例</t>
        </is>
      </c>
      <c r="J33" s="16" t="inlineStr">
        <is>
          <t>合成範例</t>
        </is>
      </c>
      <c r="K33" s="24" t="inlineStr">
        <is>
          <t>合成資料；來源 examples/demo/samples.csv；BH03-groundwater-2-1</t>
        </is>
      </c>
      <c r="L33" s="32">
        <f>IF(B33="","",IF(COUNTIF(DB_03[監測點],B33)=1,INDEX(DB_03[預設介質],MATCH(B33,DB_03[監測點],0)),""))</f>
        <v/>
      </c>
      <c r="M33" s="32">
        <f>IF(COUNTA(A33:K33)=0,"",IF(A33="","缺樣品編號；","")&amp;IF(AND(A33&lt;&gt;"",N33&gt;1),"樣品編號重複；","")&amp;IF(COUNTIFS(DB_03[監測點],B33,DB_03[預設介質],L33,DB_03[啟用],"是")&lt;&gt;1,"點位或介質待核；","")&amp;IF(NOT(ISNUMBER(C33)),"缺採樣日期；","")&amp;IF(AND(L33="土壤",OR(NOT(ISNUMBER(F33)),NOT(ISNUMBER(G33)))),"缺土壤深度；","")&amp;IF(AND(L33="土壤",ISNUMBER(F33),ISNUMBER(G33),OR(F33&gt;G33,F33&lt;0)),"土壤深度起迄錯誤；","")&amp;IF(AND(L33="地下水",F33&lt;&gt;"",NOT(ISNUMBER(F33))),"水位須為數值；","")&amp;IF(AND(L33="地下水",H33=""),"缺採樣方法；","")&amp;IF(AND(B33&lt;&gt;"",L33=""),"監測點未建或重複；",""))</f>
        <v/>
      </c>
      <c r="N33" s="50">
        <f>IF(A33="","",COUNTIF(Samples[樣品編號],A33))</f>
        <v/>
      </c>
    </row>
    <row r="34">
      <c r="A34" s="16" t="inlineStr">
        <is>
          <t>BH03-S_20260415_02</t>
        </is>
      </c>
      <c r="B34" s="16" t="inlineStr">
        <is>
          <t>BH03-S</t>
        </is>
      </c>
      <c r="C34" s="87" t="n">
        <v>46127</v>
      </c>
      <c r="D34" s="24" t="inlineStr">
        <is>
          <t>Campaign 2</t>
        </is>
      </c>
      <c r="E34" s="88" t="n">
        <v>1.5</v>
      </c>
      <c r="F34" s="88" t="n">
        <v>1</v>
      </c>
      <c r="G34" s="88" t="n">
        <v>2</v>
      </c>
      <c r="H34" s="24" t="inlineStr">
        <is>
          <t>其他</t>
        </is>
      </c>
      <c r="I34" s="16" t="inlineStr">
        <is>
          <t>合成範例</t>
        </is>
      </c>
      <c r="J34" s="16" t="inlineStr">
        <is>
          <t>合成範例</t>
        </is>
      </c>
      <c r="K34" s="24" t="inlineStr">
        <is>
          <t>合成資料；來源 examples/demo/samples.csv；BH03-soil-2-2</t>
        </is>
      </c>
      <c r="L34" s="32">
        <f>IF(B34="","",IF(COUNTIF(DB_03[監測點],B34)=1,INDEX(DB_03[預設介質],MATCH(B34,DB_03[監測點],0)),""))</f>
        <v/>
      </c>
      <c r="M34" s="32">
        <f>IF(COUNTA(A34:K34)=0,"",IF(A34="","缺樣品編號；","")&amp;IF(AND(A34&lt;&gt;"",N34&gt;1),"樣品編號重複；","")&amp;IF(COUNTIFS(DB_03[監測點],B34,DB_03[預設介質],L34,DB_03[啟用],"是")&lt;&gt;1,"點位或介質待核；","")&amp;IF(NOT(ISNUMBER(C34)),"缺採樣日期；","")&amp;IF(AND(L34="土壤",OR(NOT(ISNUMBER(F34)),NOT(ISNUMBER(G34)))),"缺土壤深度；","")&amp;IF(AND(L34="土壤",ISNUMBER(F34),ISNUMBER(G34),OR(F34&gt;G34,F34&lt;0)),"土壤深度起迄錯誤；","")&amp;IF(AND(L34="地下水",F34&lt;&gt;"",NOT(ISNUMBER(F34))),"水位須為數值；","")&amp;IF(AND(L34="地下水",H34=""),"缺採樣方法；","")&amp;IF(AND(B34&lt;&gt;"",L34=""),"監測點未建或重複；",""))</f>
        <v/>
      </c>
      <c r="N34" s="50">
        <f>IF(A34="","",COUNTIF(Samples[樣品編號],A34))</f>
        <v/>
      </c>
    </row>
    <row r="35">
      <c r="A35" s="16" t="inlineStr">
        <is>
          <t>BH03-W_20260415_02</t>
        </is>
      </c>
      <c r="B35" s="16" t="inlineStr">
        <is>
          <t>BH03-W</t>
        </is>
      </c>
      <c r="C35" s="87" t="n">
        <v>46127</v>
      </c>
      <c r="D35" s="24" t="inlineStr">
        <is>
          <t>Campaign 2</t>
        </is>
      </c>
      <c r="E35" s="88" t="n">
        <v>1.5</v>
      </c>
      <c r="F35" s="88" t="n"/>
      <c r="G35" s="88" t="n"/>
      <c r="H35" s="24" t="inlineStr">
        <is>
          <t>微洗井</t>
        </is>
      </c>
      <c r="I35" s="16" t="inlineStr">
        <is>
          <t>合成範例</t>
        </is>
      </c>
      <c r="J35" s="16" t="inlineStr">
        <is>
          <t>合成範例</t>
        </is>
      </c>
      <c r="K35" s="24" t="inlineStr">
        <is>
          <t>合成資料；來源 examples/demo/samples.csv；BH03-groundwater-2-2</t>
        </is>
      </c>
      <c r="L35" s="32">
        <f>IF(B35="","",IF(COUNTIF(DB_03[監測點],B35)=1,INDEX(DB_03[預設介質],MATCH(B35,DB_03[監測點],0)),""))</f>
        <v/>
      </c>
      <c r="M35" s="32">
        <f>IF(COUNTA(A35:K35)=0,"",IF(A35="","缺樣品編號；","")&amp;IF(AND(A35&lt;&gt;"",N35&gt;1),"樣品編號重複；","")&amp;IF(COUNTIFS(DB_03[監測點],B35,DB_03[預設介質],L35,DB_03[啟用],"是")&lt;&gt;1,"點位或介質待核；","")&amp;IF(NOT(ISNUMBER(C35)),"缺採樣日期；","")&amp;IF(AND(L35="土壤",OR(NOT(ISNUMBER(F35)),NOT(ISNUMBER(G35)))),"缺土壤深度；","")&amp;IF(AND(L35="土壤",ISNUMBER(F35),ISNUMBER(G35),OR(F35&gt;G35,F35&lt;0)),"土壤深度起迄錯誤；","")&amp;IF(AND(L35="地下水",F35&lt;&gt;"",NOT(ISNUMBER(F35))),"水位須為數值；","")&amp;IF(AND(L35="地下水",H35=""),"缺採樣方法；","")&amp;IF(AND(B35&lt;&gt;"",L35=""),"監測點未建或重複；",""))</f>
        <v/>
      </c>
      <c r="N35" s="50">
        <f>IF(A35="","",COUNTIF(Samples[樣品編號],A35))</f>
        <v/>
      </c>
    </row>
    <row r="36">
      <c r="A36" s="16" t="inlineStr">
        <is>
          <t>BH03-S_20260415_03</t>
        </is>
      </c>
      <c r="B36" s="16" t="inlineStr">
        <is>
          <t>BH03-S</t>
        </is>
      </c>
      <c r="C36" s="87" t="n">
        <v>46127</v>
      </c>
      <c r="D36" s="24" t="inlineStr">
        <is>
          <t>Campaign 2</t>
        </is>
      </c>
      <c r="E36" s="88" t="n">
        <v>2.5</v>
      </c>
      <c r="F36" s="88" t="n">
        <v>2</v>
      </c>
      <c r="G36" s="88" t="n">
        <v>3</v>
      </c>
      <c r="H36" s="24" t="inlineStr">
        <is>
          <t>其他</t>
        </is>
      </c>
      <c r="I36" s="16" t="inlineStr">
        <is>
          <t>合成範例</t>
        </is>
      </c>
      <c r="J36" s="16" t="inlineStr">
        <is>
          <t>合成範例</t>
        </is>
      </c>
      <c r="K36" s="24" t="inlineStr">
        <is>
          <t>合成資料；來源 examples/demo/samples.csv；BH03-soil-2-3</t>
        </is>
      </c>
      <c r="L36" s="32">
        <f>IF(B36="","",IF(COUNTIF(DB_03[監測點],B36)=1,INDEX(DB_03[預設介質],MATCH(B36,DB_03[監測點],0)),""))</f>
        <v/>
      </c>
      <c r="M36" s="32">
        <f>IF(COUNTA(A36:K36)=0,"",IF(A36="","缺樣品編號；","")&amp;IF(AND(A36&lt;&gt;"",N36&gt;1),"樣品編號重複；","")&amp;IF(COUNTIFS(DB_03[監測點],B36,DB_03[預設介質],L36,DB_03[啟用],"是")&lt;&gt;1,"點位或介質待核；","")&amp;IF(NOT(ISNUMBER(C36)),"缺採樣日期；","")&amp;IF(AND(L36="土壤",OR(NOT(ISNUMBER(F36)),NOT(ISNUMBER(G36)))),"缺土壤深度；","")&amp;IF(AND(L36="土壤",ISNUMBER(F36),ISNUMBER(G36),OR(F36&gt;G36,F36&lt;0)),"土壤深度起迄錯誤；","")&amp;IF(AND(L36="地下水",F36&lt;&gt;"",NOT(ISNUMBER(F36))),"水位須為數值；","")&amp;IF(AND(L36="地下水",H36=""),"缺採樣方法；","")&amp;IF(AND(B36&lt;&gt;"",L36=""),"監測點未建或重複；",""))</f>
        <v/>
      </c>
      <c r="N36" s="50">
        <f>IF(A36="","",COUNTIF(Samples[樣品編號],A36))</f>
        <v/>
      </c>
    </row>
    <row r="37">
      <c r="A37" s="16" t="inlineStr">
        <is>
          <t>BH03-W_20260415_03</t>
        </is>
      </c>
      <c r="B37" s="16" t="inlineStr">
        <is>
          <t>BH03-W</t>
        </is>
      </c>
      <c r="C37" s="87" t="n">
        <v>46127</v>
      </c>
      <c r="D37" s="24" t="inlineStr">
        <is>
          <t>Campaign 2</t>
        </is>
      </c>
      <c r="E37" s="88" t="n">
        <v>2.5</v>
      </c>
      <c r="F37" s="88" t="n"/>
      <c r="G37" s="88" t="n"/>
      <c r="H37" s="24" t="inlineStr">
        <is>
          <t>微洗井</t>
        </is>
      </c>
      <c r="I37" s="16" t="inlineStr">
        <is>
          <t>合成範例</t>
        </is>
      </c>
      <c r="J37" s="16" t="inlineStr">
        <is>
          <t>合成範例</t>
        </is>
      </c>
      <c r="K37" s="24" t="inlineStr">
        <is>
          <t>合成資料；來源 examples/demo/samples.csv；BH03-groundwater-2-3</t>
        </is>
      </c>
      <c r="L37" s="32">
        <f>IF(B37="","",IF(COUNTIF(DB_03[監測點],B37)=1,INDEX(DB_03[預設介質],MATCH(B37,DB_03[監測點],0)),""))</f>
        <v/>
      </c>
      <c r="M37" s="32">
        <f>IF(COUNTA(A37:K37)=0,"",IF(A37="","缺樣品編號；","")&amp;IF(AND(A37&lt;&gt;"",N37&gt;1),"樣品編號重複；","")&amp;IF(COUNTIFS(DB_03[監測點],B37,DB_03[預設介質],L37,DB_03[啟用],"是")&lt;&gt;1,"點位或介質待核；","")&amp;IF(NOT(ISNUMBER(C37)),"缺採樣日期；","")&amp;IF(AND(L37="土壤",OR(NOT(ISNUMBER(F37)),NOT(ISNUMBER(G37)))),"缺土壤深度；","")&amp;IF(AND(L37="土壤",ISNUMBER(F37),ISNUMBER(G37),OR(F37&gt;G37,F37&lt;0)),"土壤深度起迄錯誤；","")&amp;IF(AND(L37="地下水",F37&lt;&gt;"",NOT(ISNUMBER(F37))),"水位須為數值；","")&amp;IF(AND(L37="地下水",H37=""),"缺採樣方法；","")&amp;IF(AND(B37&lt;&gt;"",L37=""),"監測點未建或重複；",""))</f>
        <v/>
      </c>
      <c r="N37" s="50">
        <f>IF(A37="","",COUNTIF(Samples[樣品編號],A37))</f>
        <v/>
      </c>
    </row>
    <row r="38">
      <c r="A38" s="16" t="inlineStr">
        <is>
          <t>BH04-S_20260115_01</t>
        </is>
      </c>
      <c r="B38" s="16" t="inlineStr">
        <is>
          <t>BH04-S</t>
        </is>
      </c>
      <c r="C38" s="87" t="n">
        <v>46037</v>
      </c>
      <c r="D38" s="24" t="inlineStr">
        <is>
          <t>Campaign 1</t>
        </is>
      </c>
      <c r="E38" s="88" t="n">
        <v>0.5</v>
      </c>
      <c r="F38" s="88" t="n">
        <v>0</v>
      </c>
      <c r="G38" s="88" t="n">
        <v>1</v>
      </c>
      <c r="H38" s="24" t="inlineStr">
        <is>
          <t>其他</t>
        </is>
      </c>
      <c r="I38" s="16" t="inlineStr">
        <is>
          <t>合成範例</t>
        </is>
      </c>
      <c r="J38" s="16" t="inlineStr">
        <is>
          <t>合成範例</t>
        </is>
      </c>
      <c r="K38" s="24" t="inlineStr">
        <is>
          <t>合成資料；來源 examples/demo/samples.csv；BH04-soil-1-1</t>
        </is>
      </c>
      <c r="L38" s="32">
        <f>IF(B38="","",IF(COUNTIF(DB_03[監測點],B38)=1,INDEX(DB_03[預設介質],MATCH(B38,DB_03[監測點],0)),""))</f>
        <v/>
      </c>
      <c r="M38" s="32">
        <f>IF(COUNTA(A38:K38)=0,"",IF(A38="","缺樣品編號；","")&amp;IF(AND(A38&lt;&gt;"",N38&gt;1),"樣品編號重複；","")&amp;IF(COUNTIFS(DB_03[監測點],B38,DB_03[預設介質],L38,DB_03[啟用],"是")&lt;&gt;1,"點位或介質待核；","")&amp;IF(NOT(ISNUMBER(C38)),"缺採樣日期；","")&amp;IF(AND(L38="土壤",OR(NOT(ISNUMBER(F38)),NOT(ISNUMBER(G38)))),"缺土壤深度；","")&amp;IF(AND(L38="土壤",ISNUMBER(F38),ISNUMBER(G38),OR(F38&gt;G38,F38&lt;0)),"土壤深度起迄錯誤；","")&amp;IF(AND(L38="地下水",F38&lt;&gt;"",NOT(ISNUMBER(F38))),"水位須為數值；","")&amp;IF(AND(L38="地下水",H38=""),"缺採樣方法；","")&amp;IF(AND(B38&lt;&gt;"",L38=""),"監測點未建或重複；",""))</f>
        <v/>
      </c>
      <c r="N38" s="50">
        <f>IF(A38="","",COUNTIF(Samples[樣品編號],A38))</f>
        <v/>
      </c>
    </row>
    <row r="39">
      <c r="A39" s="16" t="inlineStr">
        <is>
          <t>BH04-W_20260115_01</t>
        </is>
      </c>
      <c r="B39" s="16" t="inlineStr">
        <is>
          <t>BH04-W</t>
        </is>
      </c>
      <c r="C39" s="87" t="n">
        <v>46037</v>
      </c>
      <c r="D39" s="24" t="inlineStr">
        <is>
          <t>Campaign 1</t>
        </is>
      </c>
      <c r="E39" s="88" t="n">
        <v>0.5</v>
      </c>
      <c r="F39" s="88" t="n">
        <v>0.2</v>
      </c>
      <c r="G39" s="88" t="n"/>
      <c r="H39" s="24" t="inlineStr">
        <is>
          <t>微洗井</t>
        </is>
      </c>
      <c r="I39" s="16" t="inlineStr">
        <is>
          <t>合成範例</t>
        </is>
      </c>
      <c r="J39" s="16" t="inlineStr">
        <is>
          <t>合成範例</t>
        </is>
      </c>
      <c r="K39" s="24" t="inlineStr">
        <is>
          <t>合成資料；來源 examples/demo/samples.csv；BH04-groundwater-1-1</t>
        </is>
      </c>
      <c r="L39" s="32">
        <f>IF(B39="","",IF(COUNTIF(DB_03[監測點],B39)=1,INDEX(DB_03[預設介質],MATCH(B39,DB_03[監測點],0)),""))</f>
        <v/>
      </c>
      <c r="M39" s="32">
        <f>IF(COUNTA(A39:K39)=0,"",IF(A39="","缺樣品編號；","")&amp;IF(AND(A39&lt;&gt;"",N39&gt;1),"樣品編號重複；","")&amp;IF(COUNTIFS(DB_03[監測點],B39,DB_03[預設介質],L39,DB_03[啟用],"是")&lt;&gt;1,"點位或介質待核；","")&amp;IF(NOT(ISNUMBER(C39)),"缺採樣日期；","")&amp;IF(AND(L39="土壤",OR(NOT(ISNUMBER(F39)),NOT(ISNUMBER(G39)))),"缺土壤深度；","")&amp;IF(AND(L39="土壤",ISNUMBER(F39),ISNUMBER(G39),OR(F39&gt;G39,F39&lt;0)),"土壤深度起迄錯誤；","")&amp;IF(AND(L39="地下水",F39&lt;&gt;"",NOT(ISNUMBER(F39))),"水位須為數值；","")&amp;IF(AND(L39="地下水",H39=""),"缺採樣方法；","")&amp;IF(AND(B39&lt;&gt;"",L39=""),"監測點未建或重複；",""))</f>
        <v/>
      </c>
      <c r="N39" s="50">
        <f>IF(A39="","",COUNTIF(Samples[樣品編號],A39))</f>
        <v/>
      </c>
    </row>
    <row r="40">
      <c r="A40" s="16" t="inlineStr">
        <is>
          <t>BH04-S_20260115_02</t>
        </is>
      </c>
      <c r="B40" s="16" t="inlineStr">
        <is>
          <t>BH04-S</t>
        </is>
      </c>
      <c r="C40" s="87" t="n">
        <v>46037</v>
      </c>
      <c r="D40" s="24" t="inlineStr">
        <is>
          <t>Campaign 1</t>
        </is>
      </c>
      <c r="E40" s="88" t="n">
        <v>1.5</v>
      </c>
      <c r="F40" s="88" t="n">
        <v>1</v>
      </c>
      <c r="G40" s="88" t="n">
        <v>2</v>
      </c>
      <c r="H40" s="24" t="inlineStr">
        <is>
          <t>其他</t>
        </is>
      </c>
      <c r="I40" s="16" t="inlineStr">
        <is>
          <t>合成範例</t>
        </is>
      </c>
      <c r="J40" s="16" t="inlineStr">
        <is>
          <t>合成範例</t>
        </is>
      </c>
      <c r="K40" s="24" t="inlineStr">
        <is>
          <t>合成資料；來源 examples/demo/samples.csv；BH04-soil-1-2</t>
        </is>
      </c>
      <c r="L40" s="32">
        <f>IF(B40="","",IF(COUNTIF(DB_03[監測點],B40)=1,INDEX(DB_03[預設介質],MATCH(B40,DB_03[監測點],0)),""))</f>
        <v/>
      </c>
      <c r="M40" s="32">
        <f>IF(COUNTA(A40:K40)=0,"",IF(A40="","缺樣品編號；","")&amp;IF(AND(A40&lt;&gt;"",N40&gt;1),"樣品編號重複；","")&amp;IF(COUNTIFS(DB_03[監測點],B40,DB_03[預設介質],L40,DB_03[啟用],"是")&lt;&gt;1,"點位或介質待核；","")&amp;IF(NOT(ISNUMBER(C40)),"缺採樣日期；","")&amp;IF(AND(L40="土壤",OR(NOT(ISNUMBER(F40)),NOT(ISNUMBER(G40)))),"缺土壤深度；","")&amp;IF(AND(L40="土壤",ISNUMBER(F40),ISNUMBER(G40),OR(F40&gt;G40,F40&lt;0)),"土壤深度起迄錯誤；","")&amp;IF(AND(L40="地下水",F40&lt;&gt;"",NOT(ISNUMBER(F40))),"水位須為數值；","")&amp;IF(AND(L40="地下水",H40=""),"缺採樣方法；","")&amp;IF(AND(B40&lt;&gt;"",L40=""),"監測點未建或重複；",""))</f>
        <v/>
      </c>
      <c r="N40" s="50">
        <f>IF(A40="","",COUNTIF(Samples[樣品編號],A40))</f>
        <v/>
      </c>
    </row>
    <row r="41">
      <c r="A41" s="16" t="inlineStr">
        <is>
          <t>BH04-W_20260115_02</t>
        </is>
      </c>
      <c r="B41" s="16" t="inlineStr">
        <is>
          <t>BH04-W</t>
        </is>
      </c>
      <c r="C41" s="87" t="n">
        <v>46037</v>
      </c>
      <c r="D41" s="24" t="inlineStr">
        <is>
          <t>Campaign 1</t>
        </is>
      </c>
      <c r="E41" s="88" t="n">
        <v>1.5</v>
      </c>
      <c r="F41" s="88" t="n"/>
      <c r="G41" s="88" t="n"/>
      <c r="H41" s="24" t="inlineStr">
        <is>
          <t>微洗井</t>
        </is>
      </c>
      <c r="I41" s="16" t="inlineStr">
        <is>
          <t>合成範例</t>
        </is>
      </c>
      <c r="J41" s="16" t="inlineStr">
        <is>
          <t>合成範例</t>
        </is>
      </c>
      <c r="K41" s="24" t="inlineStr">
        <is>
          <t>合成資料；來源 examples/demo/samples.csv；BH04-groundwater-1-2</t>
        </is>
      </c>
      <c r="L41" s="32">
        <f>IF(B41="","",IF(COUNTIF(DB_03[監測點],B41)=1,INDEX(DB_03[預設介質],MATCH(B41,DB_03[監測點],0)),""))</f>
        <v/>
      </c>
      <c r="M41" s="32">
        <f>IF(COUNTA(A41:K41)=0,"",IF(A41="","缺樣品編號；","")&amp;IF(AND(A41&lt;&gt;"",N41&gt;1),"樣品編號重複；","")&amp;IF(COUNTIFS(DB_03[監測點],B41,DB_03[預設介質],L41,DB_03[啟用],"是")&lt;&gt;1,"點位或介質待核；","")&amp;IF(NOT(ISNUMBER(C41)),"缺採樣日期；","")&amp;IF(AND(L41="土壤",OR(NOT(ISNUMBER(F41)),NOT(ISNUMBER(G41)))),"缺土壤深度；","")&amp;IF(AND(L41="土壤",ISNUMBER(F41),ISNUMBER(G41),OR(F41&gt;G41,F41&lt;0)),"土壤深度起迄錯誤；","")&amp;IF(AND(L41="地下水",F41&lt;&gt;"",NOT(ISNUMBER(F41))),"水位須為數值；","")&amp;IF(AND(L41="地下水",H41=""),"缺採樣方法；","")&amp;IF(AND(B41&lt;&gt;"",L41=""),"監測點未建或重複；",""))</f>
        <v/>
      </c>
      <c r="N41" s="50">
        <f>IF(A41="","",COUNTIF(Samples[樣品編號],A41))</f>
        <v/>
      </c>
    </row>
    <row r="42">
      <c r="A42" s="16" t="inlineStr">
        <is>
          <t>BH04-S_20260115_03</t>
        </is>
      </c>
      <c r="B42" s="16" t="inlineStr">
        <is>
          <t>BH04-S</t>
        </is>
      </c>
      <c r="C42" s="87" t="n">
        <v>46037</v>
      </c>
      <c r="D42" s="24" t="inlineStr">
        <is>
          <t>Campaign 1</t>
        </is>
      </c>
      <c r="E42" s="88" t="n">
        <v>2.5</v>
      </c>
      <c r="F42" s="88" t="n">
        <v>2</v>
      </c>
      <c r="G42" s="88" t="n">
        <v>3</v>
      </c>
      <c r="H42" s="24" t="inlineStr">
        <is>
          <t>其他</t>
        </is>
      </c>
      <c r="I42" s="16" t="inlineStr">
        <is>
          <t>合成範例</t>
        </is>
      </c>
      <c r="J42" s="16" t="inlineStr">
        <is>
          <t>合成範例</t>
        </is>
      </c>
      <c r="K42" s="24" t="inlineStr">
        <is>
          <t>合成資料；來源 examples/demo/samples.csv；BH04-soil-1-3</t>
        </is>
      </c>
      <c r="L42" s="32">
        <f>IF(B42="","",IF(COUNTIF(DB_03[監測點],B42)=1,INDEX(DB_03[預設介質],MATCH(B42,DB_03[監測點],0)),""))</f>
        <v/>
      </c>
      <c r="M42" s="32">
        <f>IF(COUNTA(A42:K42)=0,"",IF(A42="","缺樣品編號；","")&amp;IF(AND(A42&lt;&gt;"",N42&gt;1),"樣品編號重複；","")&amp;IF(COUNTIFS(DB_03[監測點],B42,DB_03[預設介質],L42,DB_03[啟用],"是")&lt;&gt;1,"點位或介質待核；","")&amp;IF(NOT(ISNUMBER(C42)),"缺採樣日期；","")&amp;IF(AND(L42="土壤",OR(NOT(ISNUMBER(F42)),NOT(ISNUMBER(G42)))),"缺土壤深度；","")&amp;IF(AND(L42="土壤",ISNUMBER(F42),ISNUMBER(G42),OR(F42&gt;G42,F42&lt;0)),"土壤深度起迄錯誤；","")&amp;IF(AND(L42="地下水",F42&lt;&gt;"",NOT(ISNUMBER(F42))),"水位須為數值；","")&amp;IF(AND(L42="地下水",H42=""),"缺採樣方法；","")&amp;IF(AND(B42&lt;&gt;"",L42=""),"監測點未建或重複；",""))</f>
        <v/>
      </c>
      <c r="N42" s="50">
        <f>IF(A42="","",COUNTIF(Samples[樣品編號],A42))</f>
        <v/>
      </c>
    </row>
    <row r="43">
      <c r="A43" s="16" t="inlineStr">
        <is>
          <t>BH04-W_20260115_03</t>
        </is>
      </c>
      <c r="B43" s="16" t="inlineStr">
        <is>
          <t>BH04-W</t>
        </is>
      </c>
      <c r="C43" s="87" t="n">
        <v>46037</v>
      </c>
      <c r="D43" s="24" t="inlineStr">
        <is>
          <t>Campaign 1</t>
        </is>
      </c>
      <c r="E43" s="88" t="n">
        <v>2.5</v>
      </c>
      <c r="F43" s="88" t="n"/>
      <c r="G43" s="88" t="n"/>
      <c r="H43" s="24" t="inlineStr">
        <is>
          <t>微洗井</t>
        </is>
      </c>
      <c r="I43" s="16" t="inlineStr">
        <is>
          <t>合成範例</t>
        </is>
      </c>
      <c r="J43" s="16" t="inlineStr">
        <is>
          <t>合成範例</t>
        </is>
      </c>
      <c r="K43" s="24" t="inlineStr">
        <is>
          <t>合成資料；來源 examples/demo/samples.csv；BH04-groundwater-1-3</t>
        </is>
      </c>
      <c r="L43" s="32">
        <f>IF(B43="","",IF(COUNTIF(DB_03[監測點],B43)=1,INDEX(DB_03[預設介質],MATCH(B43,DB_03[監測點],0)),""))</f>
        <v/>
      </c>
      <c r="M43" s="32">
        <f>IF(COUNTA(A43:K43)=0,"",IF(A43="","缺樣品編號；","")&amp;IF(AND(A43&lt;&gt;"",N43&gt;1),"樣品編號重複；","")&amp;IF(COUNTIFS(DB_03[監測點],B43,DB_03[預設介質],L43,DB_03[啟用],"是")&lt;&gt;1,"點位或介質待核；","")&amp;IF(NOT(ISNUMBER(C43)),"缺採樣日期；","")&amp;IF(AND(L43="土壤",OR(NOT(ISNUMBER(F43)),NOT(ISNUMBER(G43)))),"缺土壤深度；","")&amp;IF(AND(L43="土壤",ISNUMBER(F43),ISNUMBER(G43),OR(F43&gt;G43,F43&lt;0)),"土壤深度起迄錯誤；","")&amp;IF(AND(L43="地下水",F43&lt;&gt;"",NOT(ISNUMBER(F43))),"水位須為數值；","")&amp;IF(AND(L43="地下水",H43=""),"缺採樣方法；","")&amp;IF(AND(B43&lt;&gt;"",L43=""),"監測點未建或重複；",""))</f>
        <v/>
      </c>
      <c r="N43" s="50">
        <f>IF(A43="","",COUNTIF(Samples[樣品編號],A43))</f>
        <v/>
      </c>
    </row>
    <row r="44">
      <c r="A44" s="16" t="inlineStr">
        <is>
          <t>BH04-S_20260415_01</t>
        </is>
      </c>
      <c r="B44" s="16" t="inlineStr">
        <is>
          <t>BH04-S</t>
        </is>
      </c>
      <c r="C44" s="87" t="n">
        <v>46127</v>
      </c>
      <c r="D44" s="24" t="inlineStr">
        <is>
          <t>Campaign 2</t>
        </is>
      </c>
      <c r="E44" s="88" t="n">
        <v>0.5</v>
      </c>
      <c r="F44" s="88" t="n">
        <v>0</v>
      </c>
      <c r="G44" s="88" t="n">
        <v>1</v>
      </c>
      <c r="H44" s="24" t="inlineStr">
        <is>
          <t>其他</t>
        </is>
      </c>
      <c r="I44" s="16" t="inlineStr">
        <is>
          <t>合成範例</t>
        </is>
      </c>
      <c r="J44" s="16" t="inlineStr">
        <is>
          <t>合成範例</t>
        </is>
      </c>
      <c r="K44" s="24" t="inlineStr">
        <is>
          <t>合成資料；來源 examples/demo/samples.csv；BH04-soil-2-1</t>
        </is>
      </c>
      <c r="L44" s="32">
        <f>IF(B44="","",IF(COUNTIF(DB_03[監測點],B44)=1,INDEX(DB_03[預設介質],MATCH(B44,DB_03[監測點],0)),""))</f>
        <v/>
      </c>
      <c r="M44" s="32">
        <f>IF(COUNTA(A44:K44)=0,"",IF(A44="","缺樣品編號；","")&amp;IF(AND(A44&lt;&gt;"",N44&gt;1),"樣品編號重複；","")&amp;IF(COUNTIFS(DB_03[監測點],B44,DB_03[預設介質],L44,DB_03[啟用],"是")&lt;&gt;1,"點位或介質待核；","")&amp;IF(NOT(ISNUMBER(C44)),"缺採樣日期；","")&amp;IF(AND(L44="土壤",OR(NOT(ISNUMBER(F44)),NOT(ISNUMBER(G44)))),"缺土壤深度；","")&amp;IF(AND(L44="土壤",ISNUMBER(F44),ISNUMBER(G44),OR(F44&gt;G44,F44&lt;0)),"土壤深度起迄錯誤；","")&amp;IF(AND(L44="地下水",F44&lt;&gt;"",NOT(ISNUMBER(F44))),"水位須為數值；","")&amp;IF(AND(L44="地下水",H44=""),"缺採樣方法；","")&amp;IF(AND(B44&lt;&gt;"",L44=""),"監測點未建或重複；",""))</f>
        <v/>
      </c>
      <c r="N44" s="50">
        <f>IF(A44="","",COUNTIF(Samples[樣品編號],A44))</f>
        <v/>
      </c>
    </row>
    <row r="45">
      <c r="A45" s="16" t="inlineStr">
        <is>
          <t>BH04-W_20260415_01</t>
        </is>
      </c>
      <c r="B45" s="16" t="inlineStr">
        <is>
          <t>BH04-W</t>
        </is>
      </c>
      <c r="C45" s="87" t="n">
        <v>46127</v>
      </c>
      <c r="D45" s="24" t="inlineStr">
        <is>
          <t>Campaign 2</t>
        </is>
      </c>
      <c r="E45" s="88" t="n">
        <v>0.5</v>
      </c>
      <c r="F45" s="88" t="n">
        <v>0.2</v>
      </c>
      <c r="G45" s="88" t="n"/>
      <c r="H45" s="24" t="inlineStr">
        <is>
          <t>微洗井</t>
        </is>
      </c>
      <c r="I45" s="16" t="inlineStr">
        <is>
          <t>合成範例</t>
        </is>
      </c>
      <c r="J45" s="16" t="inlineStr">
        <is>
          <t>合成範例</t>
        </is>
      </c>
      <c r="K45" s="24" t="inlineStr">
        <is>
          <t>合成資料；來源 examples/demo/samples.csv；BH04-groundwater-2-1</t>
        </is>
      </c>
      <c r="L45" s="32">
        <f>IF(B45="","",IF(COUNTIF(DB_03[監測點],B45)=1,INDEX(DB_03[預設介質],MATCH(B45,DB_03[監測點],0)),""))</f>
        <v/>
      </c>
      <c r="M45" s="32">
        <f>IF(COUNTA(A45:K45)=0,"",IF(A45="","缺樣品編號；","")&amp;IF(AND(A45&lt;&gt;"",N45&gt;1),"樣品編號重複；","")&amp;IF(COUNTIFS(DB_03[監測點],B45,DB_03[預設介質],L45,DB_03[啟用],"是")&lt;&gt;1,"點位或介質待核；","")&amp;IF(NOT(ISNUMBER(C45)),"缺採樣日期；","")&amp;IF(AND(L45="土壤",OR(NOT(ISNUMBER(F45)),NOT(ISNUMBER(G45)))),"缺土壤深度；","")&amp;IF(AND(L45="土壤",ISNUMBER(F45),ISNUMBER(G45),OR(F45&gt;G45,F45&lt;0)),"土壤深度起迄錯誤；","")&amp;IF(AND(L45="地下水",F45&lt;&gt;"",NOT(ISNUMBER(F45))),"水位須為數值；","")&amp;IF(AND(L45="地下水",H45=""),"缺採樣方法；","")&amp;IF(AND(B45&lt;&gt;"",L45=""),"監測點未建或重複；",""))</f>
        <v/>
      </c>
      <c r="N45" s="50">
        <f>IF(A45="","",COUNTIF(Samples[樣品編號],A45))</f>
        <v/>
      </c>
    </row>
    <row r="46">
      <c r="A46" s="16" t="inlineStr">
        <is>
          <t>BH04-S_20260415_02</t>
        </is>
      </c>
      <c r="B46" s="16" t="inlineStr">
        <is>
          <t>BH04-S</t>
        </is>
      </c>
      <c r="C46" s="87" t="n">
        <v>46127</v>
      </c>
      <c r="D46" s="24" t="inlineStr">
        <is>
          <t>Campaign 2</t>
        </is>
      </c>
      <c r="E46" s="88" t="n">
        <v>1.5</v>
      </c>
      <c r="F46" s="88" t="n">
        <v>1</v>
      </c>
      <c r="G46" s="88" t="n">
        <v>2</v>
      </c>
      <c r="H46" s="24" t="inlineStr">
        <is>
          <t>其他</t>
        </is>
      </c>
      <c r="I46" s="16" t="inlineStr">
        <is>
          <t>合成範例</t>
        </is>
      </c>
      <c r="J46" s="16" t="inlineStr">
        <is>
          <t>合成範例</t>
        </is>
      </c>
      <c r="K46" s="24" t="inlineStr">
        <is>
          <t>合成資料；來源 examples/demo/samples.csv；BH04-soil-2-2</t>
        </is>
      </c>
      <c r="L46" s="32">
        <f>IF(B46="","",IF(COUNTIF(DB_03[監測點],B46)=1,INDEX(DB_03[預設介質],MATCH(B46,DB_03[監測點],0)),""))</f>
        <v/>
      </c>
      <c r="M46" s="32">
        <f>IF(COUNTA(A46:K46)=0,"",IF(A46="","缺樣品編號；","")&amp;IF(AND(A46&lt;&gt;"",N46&gt;1),"樣品編號重複；","")&amp;IF(COUNTIFS(DB_03[監測點],B46,DB_03[預設介質],L46,DB_03[啟用],"是")&lt;&gt;1,"點位或介質待核；","")&amp;IF(NOT(ISNUMBER(C46)),"缺採樣日期；","")&amp;IF(AND(L46="土壤",OR(NOT(ISNUMBER(F46)),NOT(ISNUMBER(G46)))),"缺土壤深度；","")&amp;IF(AND(L46="土壤",ISNUMBER(F46),ISNUMBER(G46),OR(F46&gt;G46,F46&lt;0)),"土壤深度起迄錯誤；","")&amp;IF(AND(L46="地下水",F46&lt;&gt;"",NOT(ISNUMBER(F46))),"水位須為數值；","")&amp;IF(AND(L46="地下水",H46=""),"缺採樣方法；","")&amp;IF(AND(B46&lt;&gt;"",L46=""),"監測點未建或重複；",""))</f>
        <v/>
      </c>
      <c r="N46" s="50">
        <f>IF(A46="","",COUNTIF(Samples[樣品編號],A46))</f>
        <v/>
      </c>
    </row>
    <row r="47">
      <c r="A47" s="16" t="inlineStr">
        <is>
          <t>BH04-W_20260415_02</t>
        </is>
      </c>
      <c r="B47" s="16" t="inlineStr">
        <is>
          <t>BH04-W</t>
        </is>
      </c>
      <c r="C47" s="87" t="n">
        <v>46127</v>
      </c>
      <c r="D47" s="24" t="inlineStr">
        <is>
          <t>Campaign 2</t>
        </is>
      </c>
      <c r="E47" s="88" t="n">
        <v>1.5</v>
      </c>
      <c r="F47" s="88" t="n"/>
      <c r="G47" s="88" t="n"/>
      <c r="H47" s="24" t="inlineStr">
        <is>
          <t>微洗井</t>
        </is>
      </c>
      <c r="I47" s="16" t="inlineStr">
        <is>
          <t>合成範例</t>
        </is>
      </c>
      <c r="J47" s="16" t="inlineStr">
        <is>
          <t>合成範例</t>
        </is>
      </c>
      <c r="K47" s="24" t="inlineStr">
        <is>
          <t>合成資料；來源 examples/demo/samples.csv；BH04-groundwater-2-2</t>
        </is>
      </c>
      <c r="L47" s="32">
        <f>IF(B47="","",IF(COUNTIF(DB_03[監測點],B47)=1,INDEX(DB_03[預設介質],MATCH(B47,DB_03[監測點],0)),""))</f>
        <v/>
      </c>
      <c r="M47" s="32">
        <f>IF(COUNTA(A47:K47)=0,"",IF(A47="","缺樣品編號；","")&amp;IF(AND(A47&lt;&gt;"",N47&gt;1),"樣品編號重複；","")&amp;IF(COUNTIFS(DB_03[監測點],B47,DB_03[預設介質],L47,DB_03[啟用],"是")&lt;&gt;1,"點位或介質待核；","")&amp;IF(NOT(ISNUMBER(C47)),"缺採樣日期；","")&amp;IF(AND(L47="土壤",OR(NOT(ISNUMBER(F47)),NOT(ISNUMBER(G47)))),"缺土壤深度；","")&amp;IF(AND(L47="土壤",ISNUMBER(F47),ISNUMBER(G47),OR(F47&gt;G47,F47&lt;0)),"土壤深度起迄錯誤；","")&amp;IF(AND(L47="地下水",F47&lt;&gt;"",NOT(ISNUMBER(F47))),"水位須為數值；","")&amp;IF(AND(L47="地下水",H47=""),"缺採樣方法；","")&amp;IF(AND(B47&lt;&gt;"",L47=""),"監測點未建或重複；",""))</f>
        <v/>
      </c>
      <c r="N47" s="50">
        <f>IF(A47="","",COUNTIF(Samples[樣品編號],A47))</f>
        <v/>
      </c>
    </row>
    <row r="48">
      <c r="A48" s="16" t="inlineStr">
        <is>
          <t>BH04-S_20260415_03</t>
        </is>
      </c>
      <c r="B48" s="16" t="inlineStr">
        <is>
          <t>BH04-S</t>
        </is>
      </c>
      <c r="C48" s="87" t="n">
        <v>46127</v>
      </c>
      <c r="D48" s="24" t="inlineStr">
        <is>
          <t>Campaign 2</t>
        </is>
      </c>
      <c r="E48" s="88" t="n">
        <v>2.5</v>
      </c>
      <c r="F48" s="88" t="n">
        <v>2</v>
      </c>
      <c r="G48" s="88" t="n">
        <v>3</v>
      </c>
      <c r="H48" s="24" t="inlineStr">
        <is>
          <t>其他</t>
        </is>
      </c>
      <c r="I48" s="16" t="inlineStr">
        <is>
          <t>合成範例</t>
        </is>
      </c>
      <c r="J48" s="16" t="inlineStr">
        <is>
          <t>合成範例</t>
        </is>
      </c>
      <c r="K48" s="24" t="inlineStr">
        <is>
          <t>合成資料；來源 examples/demo/samples.csv；BH04-soil-2-3</t>
        </is>
      </c>
      <c r="L48" s="32">
        <f>IF(B48="","",IF(COUNTIF(DB_03[監測點],B48)=1,INDEX(DB_03[預設介質],MATCH(B48,DB_03[監測點],0)),""))</f>
        <v/>
      </c>
      <c r="M48" s="32">
        <f>IF(COUNTA(A48:K48)=0,"",IF(A48="","缺樣品編號；","")&amp;IF(AND(A48&lt;&gt;"",N48&gt;1),"樣品編號重複；","")&amp;IF(COUNTIFS(DB_03[監測點],B48,DB_03[預設介質],L48,DB_03[啟用],"是")&lt;&gt;1,"點位或介質待核；","")&amp;IF(NOT(ISNUMBER(C48)),"缺採樣日期；","")&amp;IF(AND(L48="土壤",OR(NOT(ISNUMBER(F48)),NOT(ISNUMBER(G48)))),"缺土壤深度；","")&amp;IF(AND(L48="土壤",ISNUMBER(F48),ISNUMBER(G48),OR(F48&gt;G48,F48&lt;0)),"土壤深度起迄錯誤；","")&amp;IF(AND(L48="地下水",F48&lt;&gt;"",NOT(ISNUMBER(F48))),"水位須為數值；","")&amp;IF(AND(L48="地下水",H48=""),"缺採樣方法；","")&amp;IF(AND(B48&lt;&gt;"",L48=""),"監測點未建或重複；",""))</f>
        <v/>
      </c>
      <c r="N48" s="50">
        <f>IF(A48="","",COUNTIF(Samples[樣品編號],A48))</f>
        <v/>
      </c>
    </row>
    <row r="49">
      <c r="A49" s="16" t="inlineStr">
        <is>
          <t>BH04-W_20260415_03</t>
        </is>
      </c>
      <c r="B49" s="16" t="inlineStr">
        <is>
          <t>BH04-W</t>
        </is>
      </c>
      <c r="C49" s="87" t="n">
        <v>46127</v>
      </c>
      <c r="D49" s="24" t="inlineStr">
        <is>
          <t>Campaign 2</t>
        </is>
      </c>
      <c r="E49" s="88" t="n">
        <v>2.5</v>
      </c>
      <c r="F49" s="88" t="n"/>
      <c r="G49" s="88" t="n"/>
      <c r="H49" s="24" t="inlineStr">
        <is>
          <t>微洗井</t>
        </is>
      </c>
      <c r="I49" s="16" t="inlineStr">
        <is>
          <t>合成範例</t>
        </is>
      </c>
      <c r="J49" s="16" t="inlineStr">
        <is>
          <t>合成範例</t>
        </is>
      </c>
      <c r="K49" s="24" t="inlineStr">
        <is>
          <t>合成資料；來源 examples/demo/samples.csv；BH04-groundwater-2-3</t>
        </is>
      </c>
      <c r="L49" s="32">
        <f>IF(B49="","",IF(COUNTIF(DB_03[監測點],B49)=1,INDEX(DB_03[預設介質],MATCH(B49,DB_03[監測點],0)),""))</f>
        <v/>
      </c>
      <c r="M49" s="32">
        <f>IF(COUNTA(A49:K49)=0,"",IF(A49="","缺樣品編號；","")&amp;IF(AND(A49&lt;&gt;"",N49&gt;1),"樣品編號重複；","")&amp;IF(COUNTIFS(DB_03[監測點],B49,DB_03[預設介質],L49,DB_03[啟用],"是")&lt;&gt;1,"點位或介質待核；","")&amp;IF(NOT(ISNUMBER(C49)),"缺採樣日期；","")&amp;IF(AND(L49="土壤",OR(NOT(ISNUMBER(F49)),NOT(ISNUMBER(G49)))),"缺土壤深度；","")&amp;IF(AND(L49="土壤",ISNUMBER(F49),ISNUMBER(G49),OR(F49&gt;G49,F49&lt;0)),"土壤深度起迄錯誤；","")&amp;IF(AND(L49="地下水",F49&lt;&gt;"",NOT(ISNUMBER(F49))),"水位須為數值；","")&amp;IF(AND(L49="地下水",H49=""),"缺採樣方法；","")&amp;IF(AND(B49&lt;&gt;"",L49=""),"監測點未建或重複；",""))</f>
        <v/>
      </c>
      <c r="N49" s="50">
        <f>IF(A49="","",COUNTIF(Samples[樣品編號],A49))</f>
        <v/>
      </c>
    </row>
    <row r="50">
      <c r="A50" s="16" t="inlineStr">
        <is>
          <t>BH05-S_20260115_01</t>
        </is>
      </c>
      <c r="B50" s="16" t="inlineStr">
        <is>
          <t>BH05-S</t>
        </is>
      </c>
      <c r="C50" s="87" t="n">
        <v>46037</v>
      </c>
      <c r="D50" s="24" t="inlineStr">
        <is>
          <t>Campaign 1</t>
        </is>
      </c>
      <c r="E50" s="88" t="n">
        <v>0.5</v>
      </c>
      <c r="F50" s="88" t="n">
        <v>0</v>
      </c>
      <c r="G50" s="88" t="n">
        <v>1</v>
      </c>
      <c r="H50" s="24" t="inlineStr">
        <is>
          <t>其他</t>
        </is>
      </c>
      <c r="I50" s="16" t="inlineStr">
        <is>
          <t>合成範例</t>
        </is>
      </c>
      <c r="J50" s="16" t="inlineStr">
        <is>
          <t>合成範例</t>
        </is>
      </c>
      <c r="K50" s="24" t="inlineStr">
        <is>
          <t>合成資料；來源 examples/demo/samples.csv；BH05-soil-1-1</t>
        </is>
      </c>
      <c r="L50" s="32">
        <f>IF(B50="","",IF(COUNTIF(DB_03[監測點],B50)=1,INDEX(DB_03[預設介質],MATCH(B50,DB_03[監測點],0)),""))</f>
        <v/>
      </c>
      <c r="M50" s="32">
        <f>IF(COUNTA(A50:K50)=0,"",IF(A50="","缺樣品編號；","")&amp;IF(AND(A50&lt;&gt;"",N50&gt;1),"樣品編號重複；","")&amp;IF(COUNTIFS(DB_03[監測點],B50,DB_03[預設介質],L50,DB_03[啟用],"是")&lt;&gt;1,"點位或介質待核；","")&amp;IF(NOT(ISNUMBER(C50)),"缺採樣日期；","")&amp;IF(AND(L50="土壤",OR(NOT(ISNUMBER(F50)),NOT(ISNUMBER(G50)))),"缺土壤深度；","")&amp;IF(AND(L50="土壤",ISNUMBER(F50),ISNUMBER(G50),OR(F50&gt;G50,F50&lt;0)),"土壤深度起迄錯誤；","")&amp;IF(AND(L50="地下水",F50&lt;&gt;"",NOT(ISNUMBER(F50))),"水位須為數值；","")&amp;IF(AND(L50="地下水",H50=""),"缺採樣方法；","")&amp;IF(AND(B50&lt;&gt;"",L50=""),"監測點未建或重複；",""))</f>
        <v/>
      </c>
      <c r="N50" s="50">
        <f>IF(A50="","",COUNTIF(Samples[樣品編號],A50))</f>
        <v/>
      </c>
    </row>
    <row r="51">
      <c r="A51" s="16" t="inlineStr">
        <is>
          <t>BH05-W_20260115_01</t>
        </is>
      </c>
      <c r="B51" s="16" t="inlineStr">
        <is>
          <t>BH05-W</t>
        </is>
      </c>
      <c r="C51" s="87" t="n">
        <v>46037</v>
      </c>
      <c r="D51" s="24" t="inlineStr">
        <is>
          <t>Campaign 1</t>
        </is>
      </c>
      <c r="E51" s="88" t="n">
        <v>0.5</v>
      </c>
      <c r="F51" s="88" t="n">
        <v>0.2</v>
      </c>
      <c r="G51" s="88" t="n"/>
      <c r="H51" s="24" t="inlineStr">
        <is>
          <t>微洗井</t>
        </is>
      </c>
      <c r="I51" s="16" t="inlineStr">
        <is>
          <t>合成範例</t>
        </is>
      </c>
      <c r="J51" s="16" t="inlineStr">
        <is>
          <t>合成範例</t>
        </is>
      </c>
      <c r="K51" s="24" t="inlineStr">
        <is>
          <t>合成資料；來源 examples/demo/samples.csv；BH05-groundwater-1-1</t>
        </is>
      </c>
      <c r="L51" s="32">
        <f>IF(B51="","",IF(COUNTIF(DB_03[監測點],B51)=1,INDEX(DB_03[預設介質],MATCH(B51,DB_03[監測點],0)),""))</f>
        <v/>
      </c>
      <c r="M51" s="32">
        <f>IF(COUNTA(A51:K51)=0,"",IF(A51="","缺樣品編號；","")&amp;IF(AND(A51&lt;&gt;"",N51&gt;1),"樣品編號重複；","")&amp;IF(COUNTIFS(DB_03[監測點],B51,DB_03[預設介質],L51,DB_03[啟用],"是")&lt;&gt;1,"點位或介質待核；","")&amp;IF(NOT(ISNUMBER(C51)),"缺採樣日期；","")&amp;IF(AND(L51="土壤",OR(NOT(ISNUMBER(F51)),NOT(ISNUMBER(G51)))),"缺土壤深度；","")&amp;IF(AND(L51="土壤",ISNUMBER(F51),ISNUMBER(G51),OR(F51&gt;G51,F51&lt;0)),"土壤深度起迄錯誤；","")&amp;IF(AND(L51="地下水",F51&lt;&gt;"",NOT(ISNUMBER(F51))),"水位須為數值；","")&amp;IF(AND(L51="地下水",H51=""),"缺採樣方法；","")&amp;IF(AND(B51&lt;&gt;"",L51=""),"監測點未建或重複；",""))</f>
        <v/>
      </c>
      <c r="N51" s="50">
        <f>IF(A51="","",COUNTIF(Samples[樣品編號],A51))</f>
        <v/>
      </c>
    </row>
    <row r="52">
      <c r="A52" s="16" t="inlineStr">
        <is>
          <t>BH05-S_20260115_02</t>
        </is>
      </c>
      <c r="B52" s="16" t="inlineStr">
        <is>
          <t>BH05-S</t>
        </is>
      </c>
      <c r="C52" s="87" t="n">
        <v>46037</v>
      </c>
      <c r="D52" s="24" t="inlineStr">
        <is>
          <t>Campaign 1</t>
        </is>
      </c>
      <c r="E52" s="88" t="n">
        <v>1.5</v>
      </c>
      <c r="F52" s="88" t="n">
        <v>1</v>
      </c>
      <c r="G52" s="88" t="n">
        <v>2</v>
      </c>
      <c r="H52" s="24" t="inlineStr">
        <is>
          <t>其他</t>
        </is>
      </c>
      <c r="I52" s="16" t="inlineStr">
        <is>
          <t>合成範例</t>
        </is>
      </c>
      <c r="J52" s="16" t="inlineStr">
        <is>
          <t>合成範例</t>
        </is>
      </c>
      <c r="K52" s="24" t="inlineStr">
        <is>
          <t>合成資料；來源 examples/demo/samples.csv；BH05-soil-1-2</t>
        </is>
      </c>
      <c r="L52" s="32">
        <f>IF(B52="","",IF(COUNTIF(DB_03[監測點],B52)=1,INDEX(DB_03[預設介質],MATCH(B52,DB_03[監測點],0)),""))</f>
        <v/>
      </c>
      <c r="M52" s="32">
        <f>IF(COUNTA(A52:K52)=0,"",IF(A52="","缺樣品編號；","")&amp;IF(AND(A52&lt;&gt;"",N52&gt;1),"樣品編號重複；","")&amp;IF(COUNTIFS(DB_03[監測點],B52,DB_03[預設介質],L52,DB_03[啟用],"是")&lt;&gt;1,"點位或介質待核；","")&amp;IF(NOT(ISNUMBER(C52)),"缺採樣日期；","")&amp;IF(AND(L52="土壤",OR(NOT(ISNUMBER(F52)),NOT(ISNUMBER(G52)))),"缺土壤深度；","")&amp;IF(AND(L52="土壤",ISNUMBER(F52),ISNUMBER(G52),OR(F52&gt;G52,F52&lt;0)),"土壤深度起迄錯誤；","")&amp;IF(AND(L52="地下水",F52&lt;&gt;"",NOT(ISNUMBER(F52))),"水位須為數值；","")&amp;IF(AND(L52="地下水",H52=""),"缺採樣方法；","")&amp;IF(AND(B52&lt;&gt;"",L52=""),"監測點未建或重複；",""))</f>
        <v/>
      </c>
      <c r="N52" s="50">
        <f>IF(A52="","",COUNTIF(Samples[樣品編號],A52))</f>
        <v/>
      </c>
    </row>
    <row r="53">
      <c r="A53" s="16" t="inlineStr">
        <is>
          <t>BH05-W_20260115_02</t>
        </is>
      </c>
      <c r="B53" s="16" t="inlineStr">
        <is>
          <t>BH05-W</t>
        </is>
      </c>
      <c r="C53" s="87" t="n">
        <v>46037</v>
      </c>
      <c r="D53" s="24" t="inlineStr">
        <is>
          <t>Campaign 1</t>
        </is>
      </c>
      <c r="E53" s="88" t="n">
        <v>1.5</v>
      </c>
      <c r="F53" s="88" t="n"/>
      <c r="G53" s="88" t="n"/>
      <c r="H53" s="24" t="inlineStr">
        <is>
          <t>微洗井</t>
        </is>
      </c>
      <c r="I53" s="16" t="inlineStr">
        <is>
          <t>合成範例</t>
        </is>
      </c>
      <c r="J53" s="16" t="inlineStr">
        <is>
          <t>合成範例</t>
        </is>
      </c>
      <c r="K53" s="24" t="inlineStr">
        <is>
          <t>合成資料；來源 examples/demo/samples.csv；BH05-groundwater-1-2</t>
        </is>
      </c>
      <c r="L53" s="32">
        <f>IF(B53="","",IF(COUNTIF(DB_03[監測點],B53)=1,INDEX(DB_03[預設介質],MATCH(B53,DB_03[監測點],0)),""))</f>
        <v/>
      </c>
      <c r="M53" s="32">
        <f>IF(COUNTA(A53:K53)=0,"",IF(A53="","缺樣品編號；","")&amp;IF(AND(A53&lt;&gt;"",N53&gt;1),"樣品編號重複；","")&amp;IF(COUNTIFS(DB_03[監測點],B53,DB_03[預設介質],L53,DB_03[啟用],"是")&lt;&gt;1,"點位或介質待核；","")&amp;IF(NOT(ISNUMBER(C53)),"缺採樣日期；","")&amp;IF(AND(L53="土壤",OR(NOT(ISNUMBER(F53)),NOT(ISNUMBER(G53)))),"缺土壤深度；","")&amp;IF(AND(L53="土壤",ISNUMBER(F53),ISNUMBER(G53),OR(F53&gt;G53,F53&lt;0)),"土壤深度起迄錯誤；","")&amp;IF(AND(L53="地下水",F53&lt;&gt;"",NOT(ISNUMBER(F53))),"水位須為數值；","")&amp;IF(AND(L53="地下水",H53=""),"缺採樣方法；","")&amp;IF(AND(B53&lt;&gt;"",L53=""),"監測點未建或重複；",""))</f>
        <v/>
      </c>
      <c r="N53" s="50">
        <f>IF(A53="","",COUNTIF(Samples[樣品編號],A53))</f>
        <v/>
      </c>
    </row>
    <row r="54">
      <c r="A54" s="16" t="inlineStr">
        <is>
          <t>BH05-S_20260115_03</t>
        </is>
      </c>
      <c r="B54" s="16" t="inlineStr">
        <is>
          <t>BH05-S</t>
        </is>
      </c>
      <c r="C54" s="87" t="n">
        <v>46037</v>
      </c>
      <c r="D54" s="24" t="inlineStr">
        <is>
          <t>Campaign 1</t>
        </is>
      </c>
      <c r="E54" s="88" t="n">
        <v>2.5</v>
      </c>
      <c r="F54" s="88" t="n">
        <v>2</v>
      </c>
      <c r="G54" s="88" t="n">
        <v>3</v>
      </c>
      <c r="H54" s="24" t="inlineStr">
        <is>
          <t>其他</t>
        </is>
      </c>
      <c r="I54" s="16" t="inlineStr">
        <is>
          <t>合成範例</t>
        </is>
      </c>
      <c r="J54" s="16" t="inlineStr">
        <is>
          <t>合成範例</t>
        </is>
      </c>
      <c r="K54" s="24" t="inlineStr">
        <is>
          <t>合成資料；來源 examples/demo/samples.csv；BH05-soil-1-3</t>
        </is>
      </c>
      <c r="L54" s="32">
        <f>IF(B54="","",IF(COUNTIF(DB_03[監測點],B54)=1,INDEX(DB_03[預設介質],MATCH(B54,DB_03[監測點],0)),""))</f>
        <v/>
      </c>
      <c r="M54" s="32">
        <f>IF(COUNTA(A54:K54)=0,"",IF(A54="","缺樣品編號；","")&amp;IF(AND(A54&lt;&gt;"",N54&gt;1),"樣品編號重複；","")&amp;IF(COUNTIFS(DB_03[監測點],B54,DB_03[預設介質],L54,DB_03[啟用],"是")&lt;&gt;1,"點位或介質待核；","")&amp;IF(NOT(ISNUMBER(C54)),"缺採樣日期；","")&amp;IF(AND(L54="土壤",OR(NOT(ISNUMBER(F54)),NOT(ISNUMBER(G54)))),"缺土壤深度；","")&amp;IF(AND(L54="土壤",ISNUMBER(F54),ISNUMBER(G54),OR(F54&gt;G54,F54&lt;0)),"土壤深度起迄錯誤；","")&amp;IF(AND(L54="地下水",F54&lt;&gt;"",NOT(ISNUMBER(F54))),"水位須為數值；","")&amp;IF(AND(L54="地下水",H54=""),"缺採樣方法；","")&amp;IF(AND(B54&lt;&gt;"",L54=""),"監測點未建或重複；",""))</f>
        <v/>
      </c>
      <c r="N54" s="50">
        <f>IF(A54="","",COUNTIF(Samples[樣品編號],A54))</f>
        <v/>
      </c>
    </row>
    <row r="55">
      <c r="A55" s="16" t="inlineStr">
        <is>
          <t>BH05-W_20260115_03</t>
        </is>
      </c>
      <c r="B55" s="16" t="inlineStr">
        <is>
          <t>BH05-W</t>
        </is>
      </c>
      <c r="C55" s="87" t="n">
        <v>46037</v>
      </c>
      <c r="D55" s="24" t="inlineStr">
        <is>
          <t>Campaign 1</t>
        </is>
      </c>
      <c r="E55" s="88" t="n">
        <v>2.5</v>
      </c>
      <c r="F55" s="88" t="n"/>
      <c r="G55" s="88" t="n"/>
      <c r="H55" s="24" t="inlineStr">
        <is>
          <t>微洗井</t>
        </is>
      </c>
      <c r="I55" s="16" t="inlineStr">
        <is>
          <t>合成範例</t>
        </is>
      </c>
      <c r="J55" s="16" t="inlineStr">
        <is>
          <t>合成範例</t>
        </is>
      </c>
      <c r="K55" s="24" t="inlineStr">
        <is>
          <t>合成資料；來源 examples/demo/samples.csv；BH05-groundwater-1-3</t>
        </is>
      </c>
      <c r="L55" s="32">
        <f>IF(B55="","",IF(COUNTIF(DB_03[監測點],B55)=1,INDEX(DB_03[預設介質],MATCH(B55,DB_03[監測點],0)),""))</f>
        <v/>
      </c>
      <c r="M55" s="32">
        <f>IF(COUNTA(A55:K55)=0,"",IF(A55="","缺樣品編號；","")&amp;IF(AND(A55&lt;&gt;"",N55&gt;1),"樣品編號重複；","")&amp;IF(COUNTIFS(DB_03[監測點],B55,DB_03[預設介質],L55,DB_03[啟用],"是")&lt;&gt;1,"點位或介質待核；","")&amp;IF(NOT(ISNUMBER(C55)),"缺採樣日期；","")&amp;IF(AND(L55="土壤",OR(NOT(ISNUMBER(F55)),NOT(ISNUMBER(G55)))),"缺土壤深度；","")&amp;IF(AND(L55="土壤",ISNUMBER(F55),ISNUMBER(G55),OR(F55&gt;G55,F55&lt;0)),"土壤深度起迄錯誤；","")&amp;IF(AND(L55="地下水",F55&lt;&gt;"",NOT(ISNUMBER(F55))),"水位須為數值；","")&amp;IF(AND(L55="地下水",H55=""),"缺採樣方法；","")&amp;IF(AND(B55&lt;&gt;"",L55=""),"監測點未建或重複；",""))</f>
        <v/>
      </c>
      <c r="N55" s="50">
        <f>IF(A55="","",COUNTIF(Samples[樣品編號],A55))</f>
        <v/>
      </c>
    </row>
    <row r="56">
      <c r="A56" s="16" t="inlineStr">
        <is>
          <t>BH05-S_20260415_01</t>
        </is>
      </c>
      <c r="B56" s="16" t="inlineStr">
        <is>
          <t>BH05-S</t>
        </is>
      </c>
      <c r="C56" s="87" t="n">
        <v>46127</v>
      </c>
      <c r="D56" s="24" t="inlineStr">
        <is>
          <t>Campaign 2</t>
        </is>
      </c>
      <c r="E56" s="88" t="n">
        <v>0.5</v>
      </c>
      <c r="F56" s="88" t="n">
        <v>0</v>
      </c>
      <c r="G56" s="88" t="n">
        <v>1</v>
      </c>
      <c r="H56" s="24" t="inlineStr">
        <is>
          <t>其他</t>
        </is>
      </c>
      <c r="I56" s="16" t="inlineStr">
        <is>
          <t>合成範例</t>
        </is>
      </c>
      <c r="J56" s="16" t="inlineStr">
        <is>
          <t>合成範例</t>
        </is>
      </c>
      <c r="K56" s="24" t="inlineStr">
        <is>
          <t>合成資料；來源 examples/demo/samples.csv；BH05-soil-2-1</t>
        </is>
      </c>
      <c r="L56" s="32">
        <f>IF(B56="","",IF(COUNTIF(DB_03[監測點],B56)=1,INDEX(DB_03[預設介質],MATCH(B56,DB_03[監測點],0)),""))</f>
        <v/>
      </c>
      <c r="M56" s="32">
        <f>IF(COUNTA(A56:K56)=0,"",IF(A56="","缺樣品編號；","")&amp;IF(AND(A56&lt;&gt;"",N56&gt;1),"樣品編號重複；","")&amp;IF(COUNTIFS(DB_03[監測點],B56,DB_03[預設介質],L56,DB_03[啟用],"是")&lt;&gt;1,"點位或介質待核；","")&amp;IF(NOT(ISNUMBER(C56)),"缺採樣日期；","")&amp;IF(AND(L56="土壤",OR(NOT(ISNUMBER(F56)),NOT(ISNUMBER(G56)))),"缺土壤深度；","")&amp;IF(AND(L56="土壤",ISNUMBER(F56),ISNUMBER(G56),OR(F56&gt;G56,F56&lt;0)),"土壤深度起迄錯誤；","")&amp;IF(AND(L56="地下水",F56&lt;&gt;"",NOT(ISNUMBER(F56))),"水位須為數值；","")&amp;IF(AND(L56="地下水",H56=""),"缺採樣方法；","")&amp;IF(AND(B56&lt;&gt;"",L56=""),"監測點未建或重複；",""))</f>
        <v/>
      </c>
      <c r="N56" s="50">
        <f>IF(A56="","",COUNTIF(Samples[樣品編號],A56))</f>
        <v/>
      </c>
    </row>
    <row r="57">
      <c r="A57" s="16" t="inlineStr">
        <is>
          <t>BH05-W_20260415_01</t>
        </is>
      </c>
      <c r="B57" s="16" t="inlineStr">
        <is>
          <t>BH05-W</t>
        </is>
      </c>
      <c r="C57" s="87" t="n">
        <v>46127</v>
      </c>
      <c r="D57" s="24" t="inlineStr">
        <is>
          <t>Campaign 2</t>
        </is>
      </c>
      <c r="E57" s="88" t="n">
        <v>0.5</v>
      </c>
      <c r="F57" s="88" t="n">
        <v>0.2</v>
      </c>
      <c r="G57" s="88" t="n"/>
      <c r="H57" s="24" t="inlineStr">
        <is>
          <t>微洗井</t>
        </is>
      </c>
      <c r="I57" s="16" t="inlineStr">
        <is>
          <t>合成範例</t>
        </is>
      </c>
      <c r="J57" s="16" t="inlineStr">
        <is>
          <t>合成範例</t>
        </is>
      </c>
      <c r="K57" s="24" t="inlineStr">
        <is>
          <t>合成資料；來源 examples/demo/samples.csv；BH05-groundwater-2-1</t>
        </is>
      </c>
      <c r="L57" s="32">
        <f>IF(B57="","",IF(COUNTIF(DB_03[監測點],B57)=1,INDEX(DB_03[預設介質],MATCH(B57,DB_03[監測點],0)),""))</f>
        <v/>
      </c>
      <c r="M57" s="32">
        <f>IF(COUNTA(A57:K57)=0,"",IF(A57="","缺樣品編號；","")&amp;IF(AND(A57&lt;&gt;"",N57&gt;1),"樣品編號重複；","")&amp;IF(COUNTIFS(DB_03[監測點],B57,DB_03[預設介質],L57,DB_03[啟用],"是")&lt;&gt;1,"點位或介質待核；","")&amp;IF(NOT(ISNUMBER(C57)),"缺採樣日期；","")&amp;IF(AND(L57="土壤",OR(NOT(ISNUMBER(F57)),NOT(ISNUMBER(G57)))),"缺土壤深度；","")&amp;IF(AND(L57="土壤",ISNUMBER(F57),ISNUMBER(G57),OR(F57&gt;G57,F57&lt;0)),"土壤深度起迄錯誤；","")&amp;IF(AND(L57="地下水",F57&lt;&gt;"",NOT(ISNUMBER(F57))),"水位須為數值；","")&amp;IF(AND(L57="地下水",H57=""),"缺採樣方法；","")&amp;IF(AND(B57&lt;&gt;"",L57=""),"監測點未建或重複；",""))</f>
        <v/>
      </c>
      <c r="N57" s="50">
        <f>IF(A57="","",COUNTIF(Samples[樣品編號],A57))</f>
        <v/>
      </c>
    </row>
    <row r="58">
      <c r="A58" s="16" t="inlineStr">
        <is>
          <t>BH05-S_20260415_02</t>
        </is>
      </c>
      <c r="B58" s="16" t="inlineStr">
        <is>
          <t>BH05-S</t>
        </is>
      </c>
      <c r="C58" s="87" t="n">
        <v>46127</v>
      </c>
      <c r="D58" s="24" t="inlineStr">
        <is>
          <t>Campaign 2</t>
        </is>
      </c>
      <c r="E58" s="88" t="n">
        <v>1.5</v>
      </c>
      <c r="F58" s="88" t="n">
        <v>1</v>
      </c>
      <c r="G58" s="88" t="n">
        <v>2</v>
      </c>
      <c r="H58" s="24" t="inlineStr">
        <is>
          <t>其他</t>
        </is>
      </c>
      <c r="I58" s="16" t="inlineStr">
        <is>
          <t>合成範例</t>
        </is>
      </c>
      <c r="J58" s="16" t="inlineStr">
        <is>
          <t>合成範例</t>
        </is>
      </c>
      <c r="K58" s="24" t="inlineStr">
        <is>
          <t>合成資料；來源 examples/demo/samples.csv；BH05-soil-2-2</t>
        </is>
      </c>
      <c r="L58" s="32">
        <f>IF(B58="","",IF(COUNTIF(DB_03[監測點],B58)=1,INDEX(DB_03[預設介質],MATCH(B58,DB_03[監測點],0)),""))</f>
        <v/>
      </c>
      <c r="M58" s="32">
        <f>IF(COUNTA(A58:K58)=0,"",IF(A58="","缺樣品編號；","")&amp;IF(AND(A58&lt;&gt;"",N58&gt;1),"樣品編號重複；","")&amp;IF(COUNTIFS(DB_03[監測點],B58,DB_03[預設介質],L58,DB_03[啟用],"是")&lt;&gt;1,"點位或介質待核；","")&amp;IF(NOT(ISNUMBER(C58)),"缺採樣日期；","")&amp;IF(AND(L58="土壤",OR(NOT(ISNUMBER(F58)),NOT(ISNUMBER(G58)))),"缺土壤深度；","")&amp;IF(AND(L58="土壤",ISNUMBER(F58),ISNUMBER(G58),OR(F58&gt;G58,F58&lt;0)),"土壤深度起迄錯誤；","")&amp;IF(AND(L58="地下水",F58&lt;&gt;"",NOT(ISNUMBER(F58))),"水位須為數值；","")&amp;IF(AND(L58="地下水",H58=""),"缺採樣方法；","")&amp;IF(AND(B58&lt;&gt;"",L58=""),"監測點未建或重複；",""))</f>
        <v/>
      </c>
      <c r="N58" s="50">
        <f>IF(A58="","",COUNTIF(Samples[樣品編號],A58))</f>
        <v/>
      </c>
    </row>
    <row r="59">
      <c r="A59" s="16" t="inlineStr">
        <is>
          <t>BH05-W_20260415_02</t>
        </is>
      </c>
      <c r="B59" s="16" t="inlineStr">
        <is>
          <t>BH05-W</t>
        </is>
      </c>
      <c r="C59" s="87" t="n">
        <v>46127</v>
      </c>
      <c r="D59" s="24" t="inlineStr">
        <is>
          <t>Campaign 2</t>
        </is>
      </c>
      <c r="E59" s="88" t="n">
        <v>1.5</v>
      </c>
      <c r="F59" s="88" t="n"/>
      <c r="G59" s="88" t="n"/>
      <c r="H59" s="24" t="inlineStr">
        <is>
          <t>微洗井</t>
        </is>
      </c>
      <c r="I59" s="16" t="inlineStr">
        <is>
          <t>合成範例</t>
        </is>
      </c>
      <c r="J59" s="16" t="inlineStr">
        <is>
          <t>合成範例</t>
        </is>
      </c>
      <c r="K59" s="24" t="inlineStr">
        <is>
          <t>合成資料；來源 examples/demo/samples.csv；BH05-groundwater-2-2</t>
        </is>
      </c>
      <c r="L59" s="32">
        <f>IF(B59="","",IF(COUNTIF(DB_03[監測點],B59)=1,INDEX(DB_03[預設介質],MATCH(B59,DB_03[監測點],0)),""))</f>
        <v/>
      </c>
      <c r="M59" s="32">
        <f>IF(COUNTA(A59:K59)=0,"",IF(A59="","缺樣品編號；","")&amp;IF(AND(A59&lt;&gt;"",N59&gt;1),"樣品編號重複；","")&amp;IF(COUNTIFS(DB_03[監測點],B59,DB_03[預設介質],L59,DB_03[啟用],"是")&lt;&gt;1,"點位或介質待核；","")&amp;IF(NOT(ISNUMBER(C59)),"缺採樣日期；","")&amp;IF(AND(L59="土壤",OR(NOT(ISNUMBER(F59)),NOT(ISNUMBER(G59)))),"缺土壤深度；","")&amp;IF(AND(L59="土壤",ISNUMBER(F59),ISNUMBER(G59),OR(F59&gt;G59,F59&lt;0)),"土壤深度起迄錯誤；","")&amp;IF(AND(L59="地下水",F59&lt;&gt;"",NOT(ISNUMBER(F59))),"水位須為數值；","")&amp;IF(AND(L59="地下水",H59=""),"缺採樣方法；","")&amp;IF(AND(B59&lt;&gt;"",L59=""),"監測點未建或重複；",""))</f>
        <v/>
      </c>
      <c r="N59" s="50">
        <f>IF(A59="","",COUNTIF(Samples[樣品編號],A59))</f>
        <v/>
      </c>
    </row>
    <row r="60">
      <c r="A60" s="16" t="inlineStr">
        <is>
          <t>BH05-S_20260415_03</t>
        </is>
      </c>
      <c r="B60" s="16" t="inlineStr">
        <is>
          <t>BH05-S</t>
        </is>
      </c>
      <c r="C60" s="87" t="n">
        <v>46127</v>
      </c>
      <c r="D60" s="24" t="inlineStr">
        <is>
          <t>Campaign 2</t>
        </is>
      </c>
      <c r="E60" s="88" t="n">
        <v>2.5</v>
      </c>
      <c r="F60" s="88" t="n">
        <v>2</v>
      </c>
      <c r="G60" s="88" t="n">
        <v>3</v>
      </c>
      <c r="H60" s="24" t="inlineStr">
        <is>
          <t>其他</t>
        </is>
      </c>
      <c r="I60" s="16" t="inlineStr">
        <is>
          <t>合成範例</t>
        </is>
      </c>
      <c r="J60" s="16" t="inlineStr">
        <is>
          <t>合成範例</t>
        </is>
      </c>
      <c r="K60" s="24" t="inlineStr">
        <is>
          <t>合成資料；來源 examples/demo/samples.csv；BH05-soil-2-3</t>
        </is>
      </c>
      <c r="L60" s="32">
        <f>IF(B60="","",IF(COUNTIF(DB_03[監測點],B60)=1,INDEX(DB_03[預設介質],MATCH(B60,DB_03[監測點],0)),""))</f>
        <v/>
      </c>
      <c r="M60" s="32">
        <f>IF(COUNTA(A60:K60)=0,"",IF(A60="","缺樣品編號；","")&amp;IF(AND(A60&lt;&gt;"",N60&gt;1),"樣品編號重複；","")&amp;IF(COUNTIFS(DB_03[監測點],B60,DB_03[預設介質],L60,DB_03[啟用],"是")&lt;&gt;1,"點位或介質待核；","")&amp;IF(NOT(ISNUMBER(C60)),"缺採樣日期；","")&amp;IF(AND(L60="土壤",OR(NOT(ISNUMBER(F60)),NOT(ISNUMBER(G60)))),"缺土壤深度；","")&amp;IF(AND(L60="土壤",ISNUMBER(F60),ISNUMBER(G60),OR(F60&gt;G60,F60&lt;0)),"土壤深度起迄錯誤；","")&amp;IF(AND(L60="地下水",F60&lt;&gt;"",NOT(ISNUMBER(F60))),"水位須為數值；","")&amp;IF(AND(L60="地下水",H60=""),"缺採樣方法；","")&amp;IF(AND(B60&lt;&gt;"",L60=""),"監測點未建或重複；",""))</f>
        <v/>
      </c>
      <c r="N60" s="50">
        <f>IF(A60="","",COUNTIF(Samples[樣品編號],A60))</f>
        <v/>
      </c>
    </row>
    <row r="61">
      <c r="A61" s="16" t="inlineStr">
        <is>
          <t>BH05-W_20260415_03</t>
        </is>
      </c>
      <c r="B61" s="16" t="inlineStr">
        <is>
          <t>BH05-W</t>
        </is>
      </c>
      <c r="C61" s="87" t="n">
        <v>46127</v>
      </c>
      <c r="D61" s="24" t="inlineStr">
        <is>
          <t>Campaign 2</t>
        </is>
      </c>
      <c r="E61" s="88" t="n">
        <v>2.5</v>
      </c>
      <c r="F61" s="88" t="n"/>
      <c r="G61" s="88" t="n"/>
      <c r="H61" s="24" t="inlineStr">
        <is>
          <t>微洗井</t>
        </is>
      </c>
      <c r="I61" s="16" t="inlineStr">
        <is>
          <t>合成範例</t>
        </is>
      </c>
      <c r="J61" s="16" t="inlineStr">
        <is>
          <t>合成範例</t>
        </is>
      </c>
      <c r="K61" s="24" t="inlineStr">
        <is>
          <t>合成資料；來源 examples/demo/samples.csv；BH05-groundwater-2-3</t>
        </is>
      </c>
      <c r="L61" s="32">
        <f>IF(B61="","",IF(COUNTIF(DB_03[監測點],B61)=1,INDEX(DB_03[預設介質],MATCH(B61,DB_03[監測點],0)),""))</f>
        <v/>
      </c>
      <c r="M61" s="32">
        <f>IF(COUNTA(A61:K61)=0,"",IF(A61="","缺樣品編號；","")&amp;IF(AND(A61&lt;&gt;"",N61&gt;1),"樣品編號重複；","")&amp;IF(COUNTIFS(DB_03[監測點],B61,DB_03[預設介質],L61,DB_03[啟用],"是")&lt;&gt;1,"點位或介質待核；","")&amp;IF(NOT(ISNUMBER(C61)),"缺採樣日期；","")&amp;IF(AND(L61="土壤",OR(NOT(ISNUMBER(F61)),NOT(ISNUMBER(G61)))),"缺土壤深度；","")&amp;IF(AND(L61="土壤",ISNUMBER(F61),ISNUMBER(G61),OR(F61&gt;G61,F61&lt;0)),"土壤深度起迄錯誤；","")&amp;IF(AND(L61="地下水",F61&lt;&gt;"",NOT(ISNUMBER(F61))),"水位須為數值；","")&amp;IF(AND(L61="地下水",H61=""),"缺採樣方法；","")&amp;IF(AND(B61&lt;&gt;"",L61=""),"監測點未建或重複；",""))</f>
        <v/>
      </c>
      <c r="N61" s="50">
        <f>IF(A61="","",COUNTIF(Samples[樣品編號],A61))</f>
        <v/>
      </c>
    </row>
    <row r="62">
      <c r="A62" s="16" t="inlineStr">
        <is>
          <t>BH06-S_20260115_01</t>
        </is>
      </c>
      <c r="B62" s="16" t="inlineStr">
        <is>
          <t>BH06-S</t>
        </is>
      </c>
      <c r="C62" s="87" t="n">
        <v>46037</v>
      </c>
      <c r="D62" s="24" t="inlineStr">
        <is>
          <t>Campaign 1</t>
        </is>
      </c>
      <c r="E62" s="88" t="n">
        <v>0.5</v>
      </c>
      <c r="F62" s="88" t="n">
        <v>0</v>
      </c>
      <c r="G62" s="88" t="n">
        <v>1</v>
      </c>
      <c r="H62" s="24" t="inlineStr">
        <is>
          <t>其他</t>
        </is>
      </c>
      <c r="I62" s="16" t="inlineStr">
        <is>
          <t>合成範例</t>
        </is>
      </c>
      <c r="J62" s="16" t="inlineStr">
        <is>
          <t>合成範例</t>
        </is>
      </c>
      <c r="K62" s="24" t="inlineStr">
        <is>
          <t>合成資料；來源 examples/demo/samples.csv；BH06-soil-1-1</t>
        </is>
      </c>
      <c r="L62" s="32">
        <f>IF(B62="","",IF(COUNTIF(DB_03[監測點],B62)=1,INDEX(DB_03[預設介質],MATCH(B62,DB_03[監測點],0)),""))</f>
        <v/>
      </c>
      <c r="M62" s="32">
        <f>IF(COUNTA(A62:K62)=0,"",IF(A62="","缺樣品編號；","")&amp;IF(AND(A62&lt;&gt;"",N62&gt;1),"樣品編號重複；","")&amp;IF(COUNTIFS(DB_03[監測點],B62,DB_03[預設介質],L62,DB_03[啟用],"是")&lt;&gt;1,"點位或介質待核；","")&amp;IF(NOT(ISNUMBER(C62)),"缺採樣日期；","")&amp;IF(AND(L62="土壤",OR(NOT(ISNUMBER(F62)),NOT(ISNUMBER(G62)))),"缺土壤深度；","")&amp;IF(AND(L62="土壤",ISNUMBER(F62),ISNUMBER(G62),OR(F62&gt;G62,F62&lt;0)),"土壤深度起迄錯誤；","")&amp;IF(AND(L62="地下水",F62&lt;&gt;"",NOT(ISNUMBER(F62))),"水位須為數值；","")&amp;IF(AND(L62="地下水",H62=""),"缺採樣方法；","")&amp;IF(AND(B62&lt;&gt;"",L62=""),"監測點未建或重複；",""))</f>
        <v/>
      </c>
      <c r="N62" s="50">
        <f>IF(A62="","",COUNTIF(Samples[樣品編號],A62))</f>
        <v/>
      </c>
    </row>
    <row r="63">
      <c r="A63" s="16" t="inlineStr">
        <is>
          <t>BH06-W_20260115_01</t>
        </is>
      </c>
      <c r="B63" s="16" t="inlineStr">
        <is>
          <t>BH06-W</t>
        </is>
      </c>
      <c r="C63" s="87" t="n">
        <v>46037</v>
      </c>
      <c r="D63" s="24" t="inlineStr">
        <is>
          <t>Campaign 1</t>
        </is>
      </c>
      <c r="E63" s="88" t="n">
        <v>0.5</v>
      </c>
      <c r="F63" s="88" t="n">
        <v>0.2</v>
      </c>
      <c r="G63" s="88" t="n"/>
      <c r="H63" s="24" t="inlineStr">
        <is>
          <t>微洗井</t>
        </is>
      </c>
      <c r="I63" s="16" t="inlineStr">
        <is>
          <t>合成範例</t>
        </is>
      </c>
      <c r="J63" s="16" t="inlineStr">
        <is>
          <t>合成範例</t>
        </is>
      </c>
      <c r="K63" s="24" t="inlineStr">
        <is>
          <t>合成資料；來源 examples/demo/samples.csv；BH06-groundwater-1-1</t>
        </is>
      </c>
      <c r="L63" s="32">
        <f>IF(B63="","",IF(COUNTIF(DB_03[監測點],B63)=1,INDEX(DB_03[預設介質],MATCH(B63,DB_03[監測點],0)),""))</f>
        <v/>
      </c>
      <c r="M63" s="32">
        <f>IF(COUNTA(A63:K63)=0,"",IF(A63="","缺樣品編號；","")&amp;IF(AND(A63&lt;&gt;"",N63&gt;1),"樣品編號重複；","")&amp;IF(COUNTIFS(DB_03[監測點],B63,DB_03[預設介質],L63,DB_03[啟用],"是")&lt;&gt;1,"點位或介質待核；","")&amp;IF(NOT(ISNUMBER(C63)),"缺採樣日期；","")&amp;IF(AND(L63="土壤",OR(NOT(ISNUMBER(F63)),NOT(ISNUMBER(G63)))),"缺土壤深度；","")&amp;IF(AND(L63="土壤",ISNUMBER(F63),ISNUMBER(G63),OR(F63&gt;G63,F63&lt;0)),"土壤深度起迄錯誤；","")&amp;IF(AND(L63="地下水",F63&lt;&gt;"",NOT(ISNUMBER(F63))),"水位須為數值；","")&amp;IF(AND(L63="地下水",H63=""),"缺採樣方法；","")&amp;IF(AND(B63&lt;&gt;"",L63=""),"監測點未建或重複；",""))</f>
        <v/>
      </c>
      <c r="N63" s="50">
        <f>IF(A63="","",COUNTIF(Samples[樣品編號],A63))</f>
        <v/>
      </c>
    </row>
    <row r="64">
      <c r="A64" s="16" t="inlineStr">
        <is>
          <t>BH06-S_20260115_02</t>
        </is>
      </c>
      <c r="B64" s="16" t="inlineStr">
        <is>
          <t>BH06-S</t>
        </is>
      </c>
      <c r="C64" s="87" t="n">
        <v>46037</v>
      </c>
      <c r="D64" s="24" t="inlineStr">
        <is>
          <t>Campaign 1</t>
        </is>
      </c>
      <c r="E64" s="88" t="n">
        <v>1.5</v>
      </c>
      <c r="F64" s="88" t="n">
        <v>1</v>
      </c>
      <c r="G64" s="88" t="n">
        <v>2</v>
      </c>
      <c r="H64" s="24" t="inlineStr">
        <is>
          <t>其他</t>
        </is>
      </c>
      <c r="I64" s="16" t="inlineStr">
        <is>
          <t>合成範例</t>
        </is>
      </c>
      <c r="J64" s="16" t="inlineStr">
        <is>
          <t>合成範例</t>
        </is>
      </c>
      <c r="K64" s="24" t="inlineStr">
        <is>
          <t>合成資料；來源 examples/demo/samples.csv；BH06-soil-1-2</t>
        </is>
      </c>
      <c r="L64" s="32">
        <f>IF(B64="","",IF(COUNTIF(DB_03[監測點],B64)=1,INDEX(DB_03[預設介質],MATCH(B64,DB_03[監測點],0)),""))</f>
        <v/>
      </c>
      <c r="M64" s="32">
        <f>IF(COUNTA(A64:K64)=0,"",IF(A64="","缺樣品編號；","")&amp;IF(AND(A64&lt;&gt;"",N64&gt;1),"樣品編號重複；","")&amp;IF(COUNTIFS(DB_03[監測點],B64,DB_03[預設介質],L64,DB_03[啟用],"是")&lt;&gt;1,"點位或介質待核；","")&amp;IF(NOT(ISNUMBER(C64)),"缺採樣日期；","")&amp;IF(AND(L64="土壤",OR(NOT(ISNUMBER(F64)),NOT(ISNUMBER(G64)))),"缺土壤深度；","")&amp;IF(AND(L64="土壤",ISNUMBER(F64),ISNUMBER(G64),OR(F64&gt;G64,F64&lt;0)),"土壤深度起迄錯誤；","")&amp;IF(AND(L64="地下水",F64&lt;&gt;"",NOT(ISNUMBER(F64))),"水位須為數值；","")&amp;IF(AND(L64="地下水",H64=""),"缺採樣方法；","")&amp;IF(AND(B64&lt;&gt;"",L64=""),"監測點未建或重複；",""))</f>
        <v/>
      </c>
      <c r="N64" s="50">
        <f>IF(A64="","",COUNTIF(Samples[樣品編號],A64))</f>
        <v/>
      </c>
    </row>
    <row r="65">
      <c r="A65" s="16" t="inlineStr">
        <is>
          <t>BH06-W_20260115_02</t>
        </is>
      </c>
      <c r="B65" s="16" t="inlineStr">
        <is>
          <t>BH06-W</t>
        </is>
      </c>
      <c r="C65" s="87" t="n">
        <v>46037</v>
      </c>
      <c r="D65" s="24" t="inlineStr">
        <is>
          <t>Campaign 1</t>
        </is>
      </c>
      <c r="E65" s="88" t="n">
        <v>1.5</v>
      </c>
      <c r="F65" s="88" t="n"/>
      <c r="G65" s="88" t="n"/>
      <c r="H65" s="24" t="inlineStr">
        <is>
          <t>微洗井</t>
        </is>
      </c>
      <c r="I65" s="16" t="inlineStr">
        <is>
          <t>合成範例</t>
        </is>
      </c>
      <c r="J65" s="16" t="inlineStr">
        <is>
          <t>合成範例</t>
        </is>
      </c>
      <c r="K65" s="24" t="inlineStr">
        <is>
          <t>合成資料；來源 examples/demo/samples.csv；BH06-groundwater-1-2</t>
        </is>
      </c>
      <c r="L65" s="32">
        <f>IF(B65="","",IF(COUNTIF(DB_03[監測點],B65)=1,INDEX(DB_03[預設介質],MATCH(B65,DB_03[監測點],0)),""))</f>
        <v/>
      </c>
      <c r="M65" s="32">
        <f>IF(COUNTA(A65:K65)=0,"",IF(A65="","缺樣品編號；","")&amp;IF(AND(A65&lt;&gt;"",N65&gt;1),"樣品編號重複；","")&amp;IF(COUNTIFS(DB_03[監測點],B65,DB_03[預設介質],L65,DB_03[啟用],"是")&lt;&gt;1,"點位或介質待核；","")&amp;IF(NOT(ISNUMBER(C65)),"缺採樣日期；","")&amp;IF(AND(L65="土壤",OR(NOT(ISNUMBER(F65)),NOT(ISNUMBER(G65)))),"缺土壤深度；","")&amp;IF(AND(L65="土壤",ISNUMBER(F65),ISNUMBER(G65),OR(F65&gt;G65,F65&lt;0)),"土壤深度起迄錯誤；","")&amp;IF(AND(L65="地下水",F65&lt;&gt;"",NOT(ISNUMBER(F65))),"水位須為數值；","")&amp;IF(AND(L65="地下水",H65=""),"缺採樣方法；","")&amp;IF(AND(B65&lt;&gt;"",L65=""),"監測點未建或重複；",""))</f>
        <v/>
      </c>
      <c r="N65" s="50">
        <f>IF(A65="","",COUNTIF(Samples[樣品編號],A65))</f>
        <v/>
      </c>
    </row>
    <row r="66">
      <c r="A66" s="16" t="inlineStr">
        <is>
          <t>BH06-S_20260115_03</t>
        </is>
      </c>
      <c r="B66" s="16" t="inlineStr">
        <is>
          <t>BH06-S</t>
        </is>
      </c>
      <c r="C66" s="87" t="n">
        <v>46037</v>
      </c>
      <c r="D66" s="24" t="inlineStr">
        <is>
          <t>Campaign 1</t>
        </is>
      </c>
      <c r="E66" s="88" t="n">
        <v>2.5</v>
      </c>
      <c r="F66" s="88" t="n">
        <v>2</v>
      </c>
      <c r="G66" s="88" t="n">
        <v>3</v>
      </c>
      <c r="H66" s="24" t="inlineStr">
        <is>
          <t>其他</t>
        </is>
      </c>
      <c r="I66" s="16" t="inlineStr">
        <is>
          <t>合成範例</t>
        </is>
      </c>
      <c r="J66" s="16" t="inlineStr">
        <is>
          <t>合成範例</t>
        </is>
      </c>
      <c r="K66" s="24" t="inlineStr">
        <is>
          <t>合成資料；來源 examples/demo/samples.csv；BH06-soil-1-3</t>
        </is>
      </c>
      <c r="L66" s="32">
        <f>IF(B66="","",IF(COUNTIF(DB_03[監測點],B66)=1,INDEX(DB_03[預設介質],MATCH(B66,DB_03[監測點],0)),""))</f>
        <v/>
      </c>
      <c r="M66" s="32">
        <f>IF(COUNTA(A66:K66)=0,"",IF(A66="","缺樣品編號；","")&amp;IF(AND(A66&lt;&gt;"",N66&gt;1),"樣品編號重複；","")&amp;IF(COUNTIFS(DB_03[監測點],B66,DB_03[預設介質],L66,DB_03[啟用],"是")&lt;&gt;1,"點位或介質待核；","")&amp;IF(NOT(ISNUMBER(C66)),"缺採樣日期；","")&amp;IF(AND(L66="土壤",OR(NOT(ISNUMBER(F66)),NOT(ISNUMBER(G66)))),"缺土壤深度；","")&amp;IF(AND(L66="土壤",ISNUMBER(F66),ISNUMBER(G66),OR(F66&gt;G66,F66&lt;0)),"土壤深度起迄錯誤；","")&amp;IF(AND(L66="地下水",F66&lt;&gt;"",NOT(ISNUMBER(F66))),"水位須為數值；","")&amp;IF(AND(L66="地下水",H66=""),"缺採樣方法；","")&amp;IF(AND(B66&lt;&gt;"",L66=""),"監測點未建或重複；",""))</f>
        <v/>
      </c>
      <c r="N66" s="50">
        <f>IF(A66="","",COUNTIF(Samples[樣品編號],A66))</f>
        <v/>
      </c>
    </row>
    <row r="67">
      <c r="A67" s="16" t="inlineStr">
        <is>
          <t>BH06-W_20260115_03</t>
        </is>
      </c>
      <c r="B67" s="16" t="inlineStr">
        <is>
          <t>BH06-W</t>
        </is>
      </c>
      <c r="C67" s="87" t="n">
        <v>46037</v>
      </c>
      <c r="D67" s="24" t="inlineStr">
        <is>
          <t>Campaign 1</t>
        </is>
      </c>
      <c r="E67" s="88" t="n">
        <v>2.5</v>
      </c>
      <c r="F67" s="88" t="n"/>
      <c r="G67" s="88" t="n"/>
      <c r="H67" s="24" t="inlineStr">
        <is>
          <t>微洗井</t>
        </is>
      </c>
      <c r="I67" s="16" t="inlineStr">
        <is>
          <t>合成範例</t>
        </is>
      </c>
      <c r="J67" s="16" t="inlineStr">
        <is>
          <t>合成範例</t>
        </is>
      </c>
      <c r="K67" s="24" t="inlineStr">
        <is>
          <t>合成資料；來源 examples/demo/samples.csv；BH06-groundwater-1-3</t>
        </is>
      </c>
      <c r="L67" s="32">
        <f>IF(B67="","",IF(COUNTIF(DB_03[監測點],B67)=1,INDEX(DB_03[預設介質],MATCH(B67,DB_03[監測點],0)),""))</f>
        <v/>
      </c>
      <c r="M67" s="32">
        <f>IF(COUNTA(A67:K67)=0,"",IF(A67="","缺樣品編號；","")&amp;IF(AND(A67&lt;&gt;"",N67&gt;1),"樣品編號重複；","")&amp;IF(COUNTIFS(DB_03[監測點],B67,DB_03[預設介質],L67,DB_03[啟用],"是")&lt;&gt;1,"點位或介質待核；","")&amp;IF(NOT(ISNUMBER(C67)),"缺採樣日期；","")&amp;IF(AND(L67="土壤",OR(NOT(ISNUMBER(F67)),NOT(ISNUMBER(G67)))),"缺土壤深度；","")&amp;IF(AND(L67="土壤",ISNUMBER(F67),ISNUMBER(G67),OR(F67&gt;G67,F67&lt;0)),"土壤深度起迄錯誤；","")&amp;IF(AND(L67="地下水",F67&lt;&gt;"",NOT(ISNUMBER(F67))),"水位須為數值；","")&amp;IF(AND(L67="地下水",H67=""),"缺採樣方法；","")&amp;IF(AND(B67&lt;&gt;"",L67=""),"監測點未建或重複；",""))</f>
        <v/>
      </c>
      <c r="N67" s="50">
        <f>IF(A67="","",COUNTIF(Samples[樣品編號],A67))</f>
        <v/>
      </c>
    </row>
    <row r="68">
      <c r="A68" s="16" t="inlineStr">
        <is>
          <t>BH06-S_20260415_01</t>
        </is>
      </c>
      <c r="B68" s="16" t="inlineStr">
        <is>
          <t>BH06-S</t>
        </is>
      </c>
      <c r="C68" s="87" t="n">
        <v>46127</v>
      </c>
      <c r="D68" s="24" t="inlineStr">
        <is>
          <t>Campaign 2</t>
        </is>
      </c>
      <c r="E68" s="88" t="n">
        <v>0.5</v>
      </c>
      <c r="F68" s="88" t="n">
        <v>0</v>
      </c>
      <c r="G68" s="88" t="n">
        <v>1</v>
      </c>
      <c r="H68" s="24" t="inlineStr">
        <is>
          <t>其他</t>
        </is>
      </c>
      <c r="I68" s="16" t="inlineStr">
        <is>
          <t>合成範例</t>
        </is>
      </c>
      <c r="J68" s="16" t="inlineStr">
        <is>
          <t>合成範例</t>
        </is>
      </c>
      <c r="K68" s="24" t="inlineStr">
        <is>
          <t>合成資料；來源 examples/demo/samples.csv；BH06-soil-2-1</t>
        </is>
      </c>
      <c r="L68" s="32">
        <f>IF(B68="","",IF(COUNTIF(DB_03[監測點],B68)=1,INDEX(DB_03[預設介質],MATCH(B68,DB_03[監測點],0)),""))</f>
        <v/>
      </c>
      <c r="M68" s="32">
        <f>IF(COUNTA(A68:K68)=0,"",IF(A68="","缺樣品編號；","")&amp;IF(AND(A68&lt;&gt;"",N68&gt;1),"樣品編號重複；","")&amp;IF(COUNTIFS(DB_03[監測點],B68,DB_03[預設介質],L68,DB_03[啟用],"是")&lt;&gt;1,"點位或介質待核；","")&amp;IF(NOT(ISNUMBER(C68)),"缺採樣日期；","")&amp;IF(AND(L68="土壤",OR(NOT(ISNUMBER(F68)),NOT(ISNUMBER(G68)))),"缺土壤深度；","")&amp;IF(AND(L68="土壤",ISNUMBER(F68),ISNUMBER(G68),OR(F68&gt;G68,F68&lt;0)),"土壤深度起迄錯誤；","")&amp;IF(AND(L68="地下水",F68&lt;&gt;"",NOT(ISNUMBER(F68))),"水位須為數值；","")&amp;IF(AND(L68="地下水",H68=""),"缺採樣方法；","")&amp;IF(AND(B68&lt;&gt;"",L68=""),"監測點未建或重複；",""))</f>
        <v/>
      </c>
      <c r="N68" s="50">
        <f>IF(A68="","",COUNTIF(Samples[樣品編號],A68))</f>
        <v/>
      </c>
    </row>
    <row r="69">
      <c r="A69" s="16" t="inlineStr">
        <is>
          <t>BH06-W_20260415_01</t>
        </is>
      </c>
      <c r="B69" s="16" t="inlineStr">
        <is>
          <t>BH06-W</t>
        </is>
      </c>
      <c r="C69" s="87" t="n">
        <v>46127</v>
      </c>
      <c r="D69" s="24" t="inlineStr">
        <is>
          <t>Campaign 2</t>
        </is>
      </c>
      <c r="E69" s="88" t="n">
        <v>0.5</v>
      </c>
      <c r="F69" s="88" t="n">
        <v>0.2</v>
      </c>
      <c r="G69" s="88" t="n"/>
      <c r="H69" s="24" t="inlineStr">
        <is>
          <t>微洗井</t>
        </is>
      </c>
      <c r="I69" s="16" t="inlineStr">
        <is>
          <t>合成範例</t>
        </is>
      </c>
      <c r="J69" s="16" t="inlineStr">
        <is>
          <t>合成範例</t>
        </is>
      </c>
      <c r="K69" s="24" t="inlineStr">
        <is>
          <t>合成資料；來源 examples/demo/samples.csv；BH06-groundwater-2-1</t>
        </is>
      </c>
      <c r="L69" s="32">
        <f>IF(B69="","",IF(COUNTIF(DB_03[監測點],B69)=1,INDEX(DB_03[預設介質],MATCH(B69,DB_03[監測點],0)),""))</f>
        <v/>
      </c>
      <c r="M69" s="32">
        <f>IF(COUNTA(A69:K69)=0,"",IF(A69="","缺樣品編號；","")&amp;IF(AND(A69&lt;&gt;"",N69&gt;1),"樣品編號重複；","")&amp;IF(COUNTIFS(DB_03[監測點],B69,DB_03[預設介質],L69,DB_03[啟用],"是")&lt;&gt;1,"點位或介質待核；","")&amp;IF(NOT(ISNUMBER(C69)),"缺採樣日期；","")&amp;IF(AND(L69="土壤",OR(NOT(ISNUMBER(F69)),NOT(ISNUMBER(G69)))),"缺土壤深度；","")&amp;IF(AND(L69="土壤",ISNUMBER(F69),ISNUMBER(G69),OR(F69&gt;G69,F69&lt;0)),"土壤深度起迄錯誤；","")&amp;IF(AND(L69="地下水",F69&lt;&gt;"",NOT(ISNUMBER(F69))),"水位須為數值；","")&amp;IF(AND(L69="地下水",H69=""),"缺採樣方法；","")&amp;IF(AND(B69&lt;&gt;"",L69=""),"監測點未建或重複；",""))</f>
        <v/>
      </c>
      <c r="N69" s="50">
        <f>IF(A69="","",COUNTIF(Samples[樣品編號],A69))</f>
        <v/>
      </c>
    </row>
    <row r="70">
      <c r="A70" s="16" t="inlineStr">
        <is>
          <t>BH06-S_20260415_02</t>
        </is>
      </c>
      <c r="B70" s="16" t="inlineStr">
        <is>
          <t>BH06-S</t>
        </is>
      </c>
      <c r="C70" s="87" t="n">
        <v>46127</v>
      </c>
      <c r="D70" s="24" t="inlineStr">
        <is>
          <t>Campaign 2</t>
        </is>
      </c>
      <c r="E70" s="88" t="n">
        <v>1.5</v>
      </c>
      <c r="F70" s="88" t="n">
        <v>1</v>
      </c>
      <c r="G70" s="88" t="n">
        <v>2</v>
      </c>
      <c r="H70" s="24" t="inlineStr">
        <is>
          <t>其他</t>
        </is>
      </c>
      <c r="I70" s="16" t="inlineStr">
        <is>
          <t>合成範例</t>
        </is>
      </c>
      <c r="J70" s="16" t="inlineStr">
        <is>
          <t>合成範例</t>
        </is>
      </c>
      <c r="K70" s="24" t="inlineStr">
        <is>
          <t>合成資料；來源 examples/demo/samples.csv；BH06-soil-2-2</t>
        </is>
      </c>
      <c r="L70" s="32">
        <f>IF(B70="","",IF(COUNTIF(DB_03[監測點],B70)=1,INDEX(DB_03[預設介質],MATCH(B70,DB_03[監測點],0)),""))</f>
        <v/>
      </c>
      <c r="M70" s="32">
        <f>IF(COUNTA(A70:K70)=0,"",IF(A70="","缺樣品編號；","")&amp;IF(AND(A70&lt;&gt;"",N70&gt;1),"樣品編號重複；","")&amp;IF(COUNTIFS(DB_03[監測點],B70,DB_03[預設介質],L70,DB_03[啟用],"是")&lt;&gt;1,"點位或介質待核；","")&amp;IF(NOT(ISNUMBER(C70)),"缺採樣日期；","")&amp;IF(AND(L70="土壤",OR(NOT(ISNUMBER(F70)),NOT(ISNUMBER(G70)))),"缺土壤深度；","")&amp;IF(AND(L70="土壤",ISNUMBER(F70),ISNUMBER(G70),OR(F70&gt;G70,F70&lt;0)),"土壤深度起迄錯誤；","")&amp;IF(AND(L70="地下水",F70&lt;&gt;"",NOT(ISNUMBER(F70))),"水位須為數值；","")&amp;IF(AND(L70="地下水",H70=""),"缺採樣方法；","")&amp;IF(AND(B70&lt;&gt;"",L70=""),"監測點未建或重複；",""))</f>
        <v/>
      </c>
      <c r="N70" s="50">
        <f>IF(A70="","",COUNTIF(Samples[樣品編號],A70))</f>
        <v/>
      </c>
    </row>
    <row r="71">
      <c r="A71" s="16" t="inlineStr">
        <is>
          <t>BH06-W_20260415_02</t>
        </is>
      </c>
      <c r="B71" s="16" t="inlineStr">
        <is>
          <t>BH06-W</t>
        </is>
      </c>
      <c r="C71" s="87" t="n">
        <v>46127</v>
      </c>
      <c r="D71" s="24" t="inlineStr">
        <is>
          <t>Campaign 2</t>
        </is>
      </c>
      <c r="E71" s="88" t="n">
        <v>1.5</v>
      </c>
      <c r="F71" s="88" t="n"/>
      <c r="G71" s="88" t="n"/>
      <c r="H71" s="24" t="inlineStr">
        <is>
          <t>微洗井</t>
        </is>
      </c>
      <c r="I71" s="16" t="inlineStr">
        <is>
          <t>合成範例</t>
        </is>
      </c>
      <c r="J71" s="16" t="inlineStr">
        <is>
          <t>合成範例</t>
        </is>
      </c>
      <c r="K71" s="24" t="inlineStr">
        <is>
          <t>合成資料；來源 examples/demo/samples.csv；BH06-groundwater-2-2</t>
        </is>
      </c>
      <c r="L71" s="32">
        <f>IF(B71="","",IF(COUNTIF(DB_03[監測點],B71)=1,INDEX(DB_03[預設介質],MATCH(B71,DB_03[監測點],0)),""))</f>
        <v/>
      </c>
      <c r="M71" s="32">
        <f>IF(COUNTA(A71:K71)=0,"",IF(A71="","缺樣品編號；","")&amp;IF(AND(A71&lt;&gt;"",N71&gt;1),"樣品編號重複；","")&amp;IF(COUNTIFS(DB_03[監測點],B71,DB_03[預設介質],L71,DB_03[啟用],"是")&lt;&gt;1,"點位或介質待核；","")&amp;IF(NOT(ISNUMBER(C71)),"缺採樣日期；","")&amp;IF(AND(L71="土壤",OR(NOT(ISNUMBER(F71)),NOT(ISNUMBER(G71)))),"缺土壤深度；","")&amp;IF(AND(L71="土壤",ISNUMBER(F71),ISNUMBER(G71),OR(F71&gt;G71,F71&lt;0)),"土壤深度起迄錯誤；","")&amp;IF(AND(L71="地下水",F71&lt;&gt;"",NOT(ISNUMBER(F71))),"水位須為數值；","")&amp;IF(AND(L71="地下水",H71=""),"缺採樣方法；","")&amp;IF(AND(B71&lt;&gt;"",L71=""),"監測點未建或重複；",""))</f>
        <v/>
      </c>
      <c r="N71" s="50">
        <f>IF(A71="","",COUNTIF(Samples[樣品編號],A71))</f>
        <v/>
      </c>
    </row>
    <row r="72">
      <c r="A72" s="16" t="inlineStr">
        <is>
          <t>BH06-S_20260415_03</t>
        </is>
      </c>
      <c r="B72" s="16" t="inlineStr">
        <is>
          <t>BH06-S</t>
        </is>
      </c>
      <c r="C72" s="87" t="n">
        <v>46127</v>
      </c>
      <c r="D72" s="24" t="inlineStr">
        <is>
          <t>Campaign 2</t>
        </is>
      </c>
      <c r="E72" s="88" t="n">
        <v>2.5</v>
      </c>
      <c r="F72" s="88" t="n">
        <v>2</v>
      </c>
      <c r="G72" s="88" t="n">
        <v>3</v>
      </c>
      <c r="H72" s="24" t="inlineStr">
        <is>
          <t>其他</t>
        </is>
      </c>
      <c r="I72" s="16" t="inlineStr">
        <is>
          <t>合成範例</t>
        </is>
      </c>
      <c r="J72" s="16" t="inlineStr">
        <is>
          <t>合成範例</t>
        </is>
      </c>
      <c r="K72" s="24" t="inlineStr">
        <is>
          <t>合成資料；來源 examples/demo/samples.csv；BH06-soil-2-3</t>
        </is>
      </c>
      <c r="L72" s="32">
        <f>IF(B72="","",IF(COUNTIF(DB_03[監測點],B72)=1,INDEX(DB_03[預設介質],MATCH(B72,DB_03[監測點],0)),""))</f>
        <v/>
      </c>
      <c r="M72" s="32">
        <f>IF(COUNTA(A72:K72)=0,"",IF(A72="","缺樣品編號；","")&amp;IF(AND(A72&lt;&gt;"",N72&gt;1),"樣品編號重複；","")&amp;IF(COUNTIFS(DB_03[監測點],B72,DB_03[預設介質],L72,DB_03[啟用],"是")&lt;&gt;1,"點位或介質待核；","")&amp;IF(NOT(ISNUMBER(C72)),"缺採樣日期；","")&amp;IF(AND(L72="土壤",OR(NOT(ISNUMBER(F72)),NOT(ISNUMBER(G72)))),"缺土壤深度；","")&amp;IF(AND(L72="土壤",ISNUMBER(F72),ISNUMBER(G72),OR(F72&gt;G72,F72&lt;0)),"土壤深度起迄錯誤；","")&amp;IF(AND(L72="地下水",F72&lt;&gt;"",NOT(ISNUMBER(F72))),"水位須為數值；","")&amp;IF(AND(L72="地下水",H72=""),"缺採樣方法；","")&amp;IF(AND(B72&lt;&gt;"",L72=""),"監測點未建或重複；",""))</f>
        <v/>
      </c>
      <c r="N72" s="50">
        <f>IF(A72="","",COUNTIF(Samples[樣品編號],A72))</f>
        <v/>
      </c>
    </row>
    <row r="73">
      <c r="A73" s="16" t="inlineStr">
        <is>
          <t>BH06-W_20260415_03</t>
        </is>
      </c>
      <c r="B73" s="16" t="inlineStr">
        <is>
          <t>BH06-W</t>
        </is>
      </c>
      <c r="C73" s="87" t="n">
        <v>46127</v>
      </c>
      <c r="D73" s="24" t="inlineStr">
        <is>
          <t>Campaign 2</t>
        </is>
      </c>
      <c r="E73" s="88" t="n">
        <v>2.5</v>
      </c>
      <c r="F73" s="88" t="n"/>
      <c r="G73" s="88" t="n"/>
      <c r="H73" s="24" t="inlineStr">
        <is>
          <t>微洗井</t>
        </is>
      </c>
      <c r="I73" s="16" t="inlineStr">
        <is>
          <t>合成範例</t>
        </is>
      </c>
      <c r="J73" s="16" t="inlineStr">
        <is>
          <t>合成範例</t>
        </is>
      </c>
      <c r="K73" s="24" t="inlineStr">
        <is>
          <t>合成資料；來源 examples/demo/samples.csv；BH06-groundwater-2-3</t>
        </is>
      </c>
      <c r="L73" s="32">
        <f>IF(B73="","",IF(COUNTIF(DB_03[監測點],B73)=1,INDEX(DB_03[預設介質],MATCH(B73,DB_03[監測點],0)),""))</f>
        <v/>
      </c>
      <c r="M73" s="32">
        <f>IF(COUNTA(A73:K73)=0,"",IF(A73="","缺樣品編號；","")&amp;IF(AND(A73&lt;&gt;"",N73&gt;1),"樣品編號重複；","")&amp;IF(COUNTIFS(DB_03[監測點],B73,DB_03[預設介質],L73,DB_03[啟用],"是")&lt;&gt;1,"點位或介質待核；","")&amp;IF(NOT(ISNUMBER(C73)),"缺採樣日期；","")&amp;IF(AND(L73="土壤",OR(NOT(ISNUMBER(F73)),NOT(ISNUMBER(G73)))),"缺土壤深度；","")&amp;IF(AND(L73="土壤",ISNUMBER(F73),ISNUMBER(G73),OR(F73&gt;G73,F73&lt;0)),"土壤深度起迄錯誤；","")&amp;IF(AND(L73="地下水",F73&lt;&gt;"",NOT(ISNUMBER(F73))),"水位須為數值；","")&amp;IF(AND(L73="地下水",H73=""),"缺採樣方法；","")&amp;IF(AND(B73&lt;&gt;"",L73=""),"監測點未建或重複；",""))</f>
        <v/>
      </c>
      <c r="N73" s="50">
        <f>IF(A73="","",COUNTIF(Samples[樣品編號],A73))</f>
        <v/>
      </c>
    </row>
  </sheetData>
  <conditionalFormatting sqref="M2:M27">
    <cfRule type="expression" priority="1" dxfId="0" stopIfTrue="1">
      <formula>M2&lt;&gt;""</formula>
    </cfRule>
  </conditionalFormatting>
  <dataValidations count="2">
    <dataValidation sqref="B2:B73" showDropDown="0" showInputMessage="1" showErrorMessage="1" allowBlank="1" errorTitle="請使用清單中的選項" error="先在對應主檔新增表格列，再於此選取。" type="list">
      <formula1>StationList</formula1>
    </dataValidation>
    <dataValidation sqref="H2:H73" showDropDown="0" showInputMessage="1" showErrorMessage="1" allowBlank="1" errorTitle="請使用清單中的選項" error="先在對應主檔新增表格列，再於此選取。" type="list">
      <formula1>SamplingMethodList</formula1>
    </dataValidation>
  </dataValidations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24465A"/>
    <outlinePr summaryBelow="1" summaryRight="1"/>
    <pageSetUpPr/>
  </sheetPr>
  <dimension ref="A1:AI495"/>
  <sheetViews>
    <sheetView showGridLines="0" zoomScale="90" zoomScaleNormal="90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H19" sqref="H19"/>
    </sheetView>
  </sheetViews>
  <sheetFormatPr baseColWidth="8" defaultRowHeight="14.25"/>
  <cols>
    <col width="25.625" customWidth="1" min="1" max="1"/>
    <col width="21.625" customWidth="1" min="2" max="2"/>
    <col width="19.625" customWidth="1" min="3" max="3"/>
    <col width="43.625" customWidth="1" min="4" max="4"/>
    <col width="30.625" customWidth="1" min="5" max="5"/>
    <col width="18.625" customWidth="1" style="85" min="6" max="6"/>
    <col width="21.625" customWidth="1" min="7" max="7"/>
    <col width="30.625" customWidth="1" min="8" max="8"/>
    <col hidden="1" outlineLevel="1" width="17.625" customWidth="1" min="9" max="24"/>
    <col collapsed="1" width="23.625" customWidth="1" min="25" max="25"/>
    <col width="23.625" customWidth="1" min="26" max="32"/>
    <col width="34.625" customWidth="1" min="33" max="33"/>
    <col hidden="1" outlineLevel="1" width="17.625" customWidth="1" min="34" max="35"/>
    <col collapsed="1" width="18.625" customWidth="1" min="36" max="36"/>
    <col width="18.625" customWidth="1" min="37" max="39"/>
    <col collapsed="1" width="18.625" customWidth="1" min="40" max="40"/>
  </cols>
  <sheetData>
    <row r="1" ht="38.1" customHeight="1">
      <c r="A1" s="53" t="inlineStr">
        <is>
          <t>分析項目</t>
        </is>
      </c>
      <c r="B1" s="53" t="inlineStr">
        <is>
          <t>原始值</t>
        </is>
      </c>
      <c r="C1" s="53" t="inlineStr">
        <is>
          <t>結果單位</t>
        </is>
      </c>
      <c r="D1" s="53" t="inlineStr">
        <is>
          <t>備註</t>
        </is>
      </c>
      <c r="E1" s="54" t="inlineStr">
        <is>
          <t>監測點</t>
        </is>
      </c>
      <c r="F1" s="89" t="inlineStr">
        <is>
          <t>採樣日期</t>
        </is>
      </c>
      <c r="G1" s="54" t="inlineStr">
        <is>
          <t>解析值</t>
        </is>
      </c>
      <c r="H1" s="53" t="inlineStr">
        <is>
          <t>關聯鍵</t>
        </is>
      </c>
      <c r="I1" s="54" t="inlineStr">
        <is>
          <t>樣品索引</t>
        </is>
      </c>
      <c r="J1" s="54" t="inlineStr">
        <is>
          <t>介質</t>
        </is>
      </c>
      <c r="K1" s="54" t="inlineStr">
        <is>
          <t>標準單位</t>
        </is>
      </c>
      <c r="L1" s="54" t="inlineStr">
        <is>
          <t>換算係數</t>
        </is>
      </c>
      <c r="M1" s="54" t="inlineStr">
        <is>
          <t>正規字串</t>
        </is>
      </c>
      <c r="N1" s="54" t="inlineStr">
        <is>
          <t>限定符</t>
        </is>
      </c>
      <c r="O1" s="54" t="inlineStr">
        <is>
          <t>數字段</t>
        </is>
      </c>
      <c r="P1" s="54" t="inlineStr">
        <is>
          <t>原始數值或界限</t>
        </is>
      </c>
      <c r="Q1" s="54" t="inlineStr">
        <is>
          <t>原始值(標準單位)</t>
        </is>
      </c>
      <c r="R1" s="54" t="inlineStr">
        <is>
          <t>管制設定值</t>
        </is>
      </c>
      <c r="S1" s="54" t="inlineStr">
        <is>
          <t>監測設定值</t>
        </is>
      </c>
      <c r="T1" s="54" t="inlineStr">
        <is>
          <t>測項索引</t>
        </is>
      </c>
      <c r="U1" s="54" t="inlineStr">
        <is>
          <t>標準索引</t>
        </is>
      </c>
      <c r="V1" s="54" t="inlineStr">
        <is>
          <t>測項鍵</t>
        </is>
      </c>
      <c r="W1" s="54" t="inlineStr">
        <is>
          <t>標準鍵</t>
        </is>
      </c>
      <c r="X1" s="54" t="inlineStr">
        <is>
          <t>結果識別鍵</t>
        </is>
      </c>
      <c r="Y1" s="58" t="inlineStr">
        <is>
          <t>樣品檢查</t>
        </is>
      </c>
      <c r="Z1" s="58" t="inlineStr">
        <is>
          <t>格式檢查</t>
        </is>
      </c>
      <c r="AA1" s="58" t="inlineStr">
        <is>
          <t>重複檢查</t>
        </is>
      </c>
      <c r="AB1" s="58" t="inlineStr">
        <is>
          <t>單位檢查</t>
        </is>
      </c>
      <c r="AC1" s="58" t="inlineStr">
        <is>
          <t>標準檢查</t>
        </is>
      </c>
      <c r="AD1" s="58" t="inlineStr">
        <is>
          <t>管制比較</t>
        </is>
      </c>
      <c r="AE1" s="58" t="inlineStr">
        <is>
          <t>監測比較</t>
        </is>
      </c>
      <c r="AF1" s="58" t="inlineStr">
        <is>
          <t>完整性檢查</t>
        </is>
      </c>
      <c r="AG1" s="58" t="inlineStr">
        <is>
          <t>解析規則</t>
        </is>
      </c>
      <c r="AH1" s="54" t="inlineStr">
        <is>
          <t>原始轉值</t>
        </is>
      </c>
      <c r="AI1" s="54" t="inlineStr">
        <is>
          <t>樣品位置</t>
        </is>
      </c>
    </row>
    <row r="2">
      <c r="A2" s="27" t="inlineStr">
        <is>
          <t>鋅</t>
        </is>
      </c>
      <c r="B2" s="28" t="inlineStr">
        <is>
          <t>74</t>
        </is>
      </c>
      <c r="C2" s="27" t="inlineStr">
        <is>
          <t>mg/kg</t>
        </is>
      </c>
      <c r="D2" s="39" t="inlineStr">
        <is>
          <t>合成資料，非實測；method=XRF; basis=dry</t>
        </is>
      </c>
      <c r="E2" s="29">
        <f>IF(OR(I2="",I2=0),"",IF(INDEX(Samples[監測點],I2)="","",INDEX(Samples[監測點],I2)))</f>
        <v/>
      </c>
      <c r="F2" s="90">
        <f>IF(OR(I2="",I2=0),"",IF(INDEX(Samples[採樣日期],I2)="","",INDEX(Samples[採樣日期],I2)))</f>
        <v/>
      </c>
      <c r="G2" s="91">
        <f>IF(OR(M2="",M2="NA",M2="N/A"),"",IF(OR(M2="ND",M2="N.D."),0,IFERROR(IF(OR(OR(ISNUMBER(SEARCH("%",O2)),ISNUMBER(SEARCH(" ",O2)),ISNUMBER(SEARCH(",",O2))),OR(SUBSTITUTE(SUBSTITUTE(SUBSTITUTE(SUBSTITUTE(SUBSTITUTE(SUBSTITUTE(SUBSTITUTE(SUBSTITUTE(SUBSTITUTE(SUBSTITUTE(SUBSTITUTE(SUBSTITUTE(SUBSTITUTE(SUBSTITUTE(SUBSTITUTE(SUBSTITUTE(SUBSTITUTE(SUBSTITUTE("x"&amp;M2,"0",""),"1",""),"2",""),"3",""),"4",""),"5",""),"6",""),"7",""),"8",""),"9",""),".",""),"E",""),"+",""),"-",""),"&lt;",""),"&gt;",""),"=","")," ","")&lt;&gt;"x",ISNUMBER(SEARCH("-",SUBSTITUTE(SUBSTITUTE("x"&amp;MID(M2,2,99),"E-","E"),"E+","E"))),ISNUMBER(SEARCH("+",SUBSTITUTE(SUBSTITUTE("x"&amp;MID(M2,2,99),"E-","E"),"E+","E"))))),"",IF(AND(OR(LEFT(M2,1)="&lt;",LEFT(M2,1)="&gt;"),IF(O2="",0,IF(ISNUMBER(AH2),AH2,NA()))&lt;0),"",IF(O2="",0,IF(ISNUMBER(AH2),AH2,NA()))/IF(LEFT(M2,1)="&lt;",2,1))),"")))</f>
        <v/>
      </c>
      <c r="H2" s="57" t="inlineStr">
        <is>
          <t>BH01-S_20260115_01</t>
        </is>
      </c>
      <c r="I2" s="92">
        <f>IF(OR(H2="",AI2=0),0,IF(INDEX(Samples[樣品重複筆數],AI2)=1,AI2,0))</f>
        <v/>
      </c>
      <c r="J2" s="92">
        <f>IF(OR(COUNTA($A2:$D2)=0,I2=0),"",IF(INDEX(Samples[介質],I2)="","",INDEX(Samples[介質],I2)))</f>
        <v/>
      </c>
      <c r="K2" s="92">
        <f>IF(OR(COUNTA($A2:$D2)=0,T2=0),"",IF(INDEX(DB_04[標準單位],T2)="","",INDEX(DB_04[標準單位],T2)))</f>
        <v/>
      </c>
      <c r="L2" s="92">
        <f>IF(COUNTA($A2:$D2)=0,"",IF(OR(C2="",K2=""),"",IF(C2=K2,1,IF(COUNTIFS(DB_06[換算鍵],C2&amp;"|"&amp;K2,DB_06[換算檢查],"OK")=1,INDEX(DB_06[乘數],MATCH(C2&amp;"|"&amp;K2,DB_06[換算鍵],0)),""))))</f>
        <v/>
      </c>
      <c r="M2" s="92">
        <f>UPPER(SUBSTITUTE(SUBSTITUTE(SUBSTITUTE(SUBSTITUTE(TRIM(B2&amp;""),"＜","&lt;"),"＞","&gt;"),"≤","&lt;="),"≥","&gt;="))</f>
        <v/>
      </c>
      <c r="N2" s="92">
        <f>IF(M2="","",IF(OR(M2="ND",M2="N.D."),"ND",IF(OR(M2="NA",M2="N/A",M2="N.A."),"NA",IF(OR(LEFT(M2,2)="&lt;=",LEFT(M2,2)="&gt;="),LEFT(M2,2),IF(OR(LEFT(M2,1)="&lt;",LEFT(M2,1)="&gt;"),LEFT(M2,1),"數值")))))</f>
        <v/>
      </c>
      <c r="O2" s="92">
        <f>IF(OR(N2="",N2="ND",N2="NA"),"",IF(N2="數值",M2,TRIM(MID(M2,LEN(N2)+1,99))))</f>
        <v/>
      </c>
      <c r="P2" s="92">
        <f>IF(O2="","",IFERROR(IF(OR(OR(ISNUMBER(SEARCH("%",O2)),ISNUMBER(SEARCH(" ",O2)),ISNUMBER(SEARCH(",",O2))),OR(SUBSTITUTE(SUBSTITUTE(SUBSTITUTE(SUBSTITUTE(SUBSTITUTE(SUBSTITUTE(SUBSTITUTE(SUBSTITUTE(SUBSTITUTE(SUBSTITUTE(SUBSTITUTE(SUBSTITUTE(SUBSTITUTE(SUBSTITUTE(SUBSTITUTE(SUBSTITUTE(SUBSTITUTE(SUBSTITUTE("x"&amp;O2,"0",""),"1",""),"2",""),"3",""),"4",""),"5",""),"6",""),"7",""),"8",""),"9",""),".",""),"E",""),"+",""),"-",""),"&lt;",""),"&gt;",""),"=","")," ","")&lt;&gt;"x",ISNUMBER(SEARCH("-",SUBSTITUTE(SUBSTITUTE("x"&amp;MID(O2,2,99),"E-","E"),"E+","E"))),ISNUMBER(SEARCH("+",SUBSTITUTE(SUBSTITUTE("x"&amp;MID(O2,2,99),"E-","E"),"E+","E"))))),"",IF(ISNUMBER(AH2),AH2,NA())),""))</f>
        <v/>
      </c>
      <c r="Q2" s="92">
        <f>IF(AND(ISNUMBER(L2),ISNUMBER(P2)),L2*P2,"")</f>
        <v/>
      </c>
      <c r="R2" s="92">
        <f>IF(OR(COUNTA($A2:$D2)=0,U2=0),"",IF(INDEX(DB_05[管制設定值],U2)="","",INDEX(DB_05[管制設定值],U2)))</f>
        <v/>
      </c>
      <c r="S2" s="92">
        <f>IF(OR(COUNTA($A2:$D2)=0,U2=0),"",IF(INDEX(DB_05[監測設定值],U2)="","",INDEX(DB_05[監測設定值],U2)))</f>
        <v/>
      </c>
      <c r="T2" s="92">
        <f>IF(COUNTA($A2:$D2)=0,"",IF(COUNTIFS(DB_04[測項鍵],V2)=1,MATCH(V2,DB_04[測項鍵],0),0))</f>
        <v/>
      </c>
      <c r="U2" s="92">
        <f>IF(COUNTA($A2:$D2)=0,"",IF(COUNTIFS(DB_05[標準鍵],W2)=1,MATCH(W2,DB_05[標準鍵],0),0))</f>
        <v/>
      </c>
      <c r="V2" s="92">
        <f>IF(OR(J2="",A2=""),"",J2&amp;"|"&amp;A2)</f>
        <v/>
      </c>
      <c r="W2" s="92">
        <f>IF(OR('07_QAQC'!$C$3="",V2=""),"",'07_QAQC'!$C$3&amp;"|"&amp;V2)</f>
        <v/>
      </c>
      <c r="X2" s="92">
        <f>IF(OR(H2="",A2=""),"",LEN(H2)&amp;":"&amp;H2&amp;LEN(A2)&amp;":"&amp;A2)</f>
        <v/>
      </c>
      <c r="Y2" s="93">
        <f>IF(COUNTA($A2:$D2)=0,"",IF(I2=0,"樣品未建或重複",IF(INDEX(Samples[樣品檢查],I2)="","OK",INDEX(Samples[樣品檢查],I2))))</f>
        <v/>
      </c>
      <c r="Z2" s="93">
        <f>IF(COUNTA($A2:$D2)=0,"",IF(B2="","缺原始值",IF(OR(B2="-",B2="--"),"無資料",IF(N2="NA","不適用",IF(N2="ND","OK",IF(NOT(ISNUMBER(P2)),"格式待核",IF(AND(N2&lt;&gt;"數值",P2&lt;0),"界限不得為負","OK")))))))</f>
        <v/>
      </c>
      <c r="AA2" s="93">
        <f>IF(COUNTA(A2:D2)=0,"",IF(OR(A2="",H2=""),"缺識別欄位",IF(IF(LEN("="&amp;SUBSTITUTE(SUBSTITUTE(SUBSTITUTE(X2,"~","~~"),"*","~*"),"?","~?"))&lt;=255,COUNTIF(Results[結果識別鍵],"="&amp;SUBSTITUTE(SUBSTITUTE(SUBSTITUTE(X2,"~","~~"),"*","~*"),"?","~?")),COUNTIFS(Results[關聯鍵],"="&amp;SUBSTITUTE(SUBSTITUTE(SUBSTITUTE(H2,"~","~~"),"*","~*"),"?","~?"),Results[分析項目],"="&amp;SUBSTITUTE(SUBSTITUTE(SUBSTITUTE(A2,"~","~~"),"*","~*"),"?","~?")))&gt;1,"同關聯鍵測項重複","OK")))</f>
        <v/>
      </c>
      <c r="AB2" s="93">
        <f>IF(COUNTA($A2:$D2)=0,"",IF(OR(C2="",K2=""),"缺單位",IF(NOT(ISNUMBER(L2)),"單位不相容",IF(L2=1,"OK","已換算"))))</f>
        <v/>
      </c>
      <c r="AC2" s="93">
        <f>IF(COUNTA($A2:$D2)=0,"",IF('07_QAQC'!$C$3="","未選比較版本",IF(U2=0,IF(COUNTIFS(DB_05[標準鍵],W2)&gt;1,"標準鍵重複","未訂此介質／測項門檻"),IF(INDEX(DB_05[版本檢查],U2)&lt;&gt;"OK","標準主檔待核",IF(INDEX(DB_05[標準單位],U2)&lt;&gt;K2,"標準單位不符",IF(INDEX(DB_05[核對狀態],U2)="停用","停用",IF(F2="","缺採樣日期",IF(OR(AND(INDEX(DB_05[生效日],U2)&lt;&gt;"",F2&lt;INDEX(DB_05[生效日],U2)),AND(INDEX(DB_05[失效日],U2)&lt;&gt;"",F2&gt;INDEX(DB_05[失效日],U2))),"日期不適用",INDEX(DB_05[核對狀態],U2)))))))))</f>
        <v/>
      </c>
      <c r="AD2" s="93">
        <f>IF(COUNTA($A2:$D2)=0,"",IF(AC2="未訂此介質／測項門檻",AC2,IF(AC2&lt;&gt;"已核對","標準待核",IF(R2="","未訂管制值",IF(NOT(ISNUMBER(L2)),"單位待核",IF(N2="ND","無法判定（ND無界限）",IF(N2="NA","不適用",IF(Z2&lt;&gt;"OK",Z2,IF(N2="數值",IF(Q2&gt;=R2,"達管制值","未達管制值"),IF(OR(N2="&lt;",N2="&lt;="),IF(OR(Q2&lt;R2,AND(N2="&lt;",Q2=R2)),"未達管制值","無法判定"),IF(OR(N2="&gt;",N2="&gt;="),IF(Q2&gt;=R2,"達管制值","無法判定"),"格式待核")))))))))))</f>
        <v/>
      </c>
      <c r="AE2" s="93">
        <f>IF(COUNTA($A2:$D2)=0,"",IF(AC2="未訂此介質／測項門檻",AC2,IF(AC2&lt;&gt;"已核對","標準待核",IF(S2="","未訂監測值",IF(NOT(ISNUMBER(L2)),"單位待核",IF(N2="ND","無法判定（ND無界限）",IF(N2="NA","不適用",IF(Z2&lt;&gt;"OK",Z2,IF(N2="數值",IF(Q2&gt;=S2,"達監測值","未達監測值"),IF(OR(N2="&lt;",N2="&lt;="),IF(OR(Q2&lt;S2,AND(N2="&lt;",Q2=S2)),"未達監測值","無法判定"),IF(OR(N2="&gt;",N2="&gt;="),IF(Q2&gt;=S2,"達監測值","無法判定"),"格式待核")))))))))))</f>
        <v/>
      </c>
      <c r="AF2" s="93">
        <f>IF(COUNTA($A2:$D2)=0,"",IF(OR(E2="",A2="",B2="",C2=""),"缺必要欄位",IF(Y2&lt;&gt;"OK","樣品資料待補",IF(T2=0,"測項未建或重複",IF(INDEX(DB_04[啟用],T2)&lt;&gt;"是","測項停用",IF(AND(Z2&lt;&gt;"OK",Z2&lt;&gt;"不適用"),Z2,IF(AND(AB2&lt;&gt;"OK",AB2&lt;&gt;"已換算"),"單位待核",IF(AA2&lt;&gt;"OK",AA2,"OK"))))))))</f>
        <v/>
      </c>
      <c r="AG2" s="93">
        <f>IF(COUNTA($A2:$D2)=0,"",IF(N2="ND","ND取0",IF(OR(N2="&lt;",N2="&lt;="),"界限除以2",IF(N2="NA","不適用",IF(OR(N2="&gt;",N2="&gt;="),"保留界限數值","保留原數值")))))</f>
        <v/>
      </c>
      <c r="AH2" s="92">
        <f>IF(O2="","",IFERROR(_xlfn.NUMBERVALUE(O2,".",","),""))</f>
        <v/>
      </c>
      <c r="AI2" s="92">
        <f>IF(H2="","",IFERROR(MATCH(H2,Samples[樣品編號],0),0))</f>
        <v/>
      </c>
    </row>
    <row r="3">
      <c r="A3" s="27" t="inlineStr">
        <is>
          <t>總有機碳</t>
        </is>
      </c>
      <c r="B3" s="28" t="inlineStr">
        <is>
          <t>0.26</t>
        </is>
      </c>
      <c r="C3" s="27" t="inlineStr">
        <is>
          <t>%</t>
        </is>
      </c>
      <c r="D3" s="39" t="inlineStr">
        <is>
          <t>合成資料，非實測；method=lab; basis=dry</t>
        </is>
      </c>
      <c r="E3" s="29">
        <f>IF(OR(I3="",I3=0),"",IF(INDEX(Samples[監測點],I3)="","",INDEX(Samples[監測點],I3)))</f>
        <v/>
      </c>
      <c r="F3" s="90">
        <f>IF(OR(I3="",I3=0),"",IF(INDEX(Samples[採樣日期],I3)="","",INDEX(Samples[採樣日期],I3)))</f>
        <v/>
      </c>
      <c r="G3" s="91">
        <f>IF(OR(M3="",M3="NA",M3="N/A"),"",IF(OR(M3="ND",M3="N.D."),0,IFERROR(IF(OR(OR(ISNUMBER(SEARCH("%",O3)),ISNUMBER(SEARCH(" ",O3)),ISNUMBER(SEARCH(",",O3))),OR(SUBSTITUTE(SUBSTITUTE(SUBSTITUTE(SUBSTITUTE(SUBSTITUTE(SUBSTITUTE(SUBSTITUTE(SUBSTITUTE(SUBSTITUTE(SUBSTITUTE(SUBSTITUTE(SUBSTITUTE(SUBSTITUTE(SUBSTITUTE(SUBSTITUTE(SUBSTITUTE(SUBSTITUTE(SUBSTITUTE("x"&amp;M3,"0",""),"1",""),"2",""),"3",""),"4",""),"5",""),"6",""),"7",""),"8",""),"9",""),".",""),"E",""),"+",""),"-",""),"&lt;",""),"&gt;",""),"=","")," ","")&lt;&gt;"x",ISNUMBER(SEARCH("-",SUBSTITUTE(SUBSTITUTE("x"&amp;MID(M3,2,99),"E-","E"),"E+","E"))),ISNUMBER(SEARCH("+",SUBSTITUTE(SUBSTITUTE("x"&amp;MID(M3,2,99),"E-","E"),"E+","E"))))),"",IF(AND(OR(LEFT(M3,1)="&lt;",LEFT(M3,1)="&gt;"),IF(O3="",0,IF(ISNUMBER(AH3),AH3,NA()))&lt;0),"",IF(O3="",0,IF(ISNUMBER(AH3),AH3,NA()))/IF(LEFT(M3,1)="&lt;",2,1))),"")))</f>
        <v/>
      </c>
      <c r="H3" s="57" t="inlineStr">
        <is>
          <t>BH01-S_20260115_01</t>
        </is>
      </c>
      <c r="I3" s="92">
        <f>IF(OR(H3="",AI3=0),0,IF(INDEX(Samples[樣品重複筆數],AI3)=1,AI3,0))</f>
        <v/>
      </c>
      <c r="J3" s="92">
        <f>IF(OR(COUNTA($A3:$D3)=0,I3=0),"",IF(INDEX(Samples[介質],I3)="","",INDEX(Samples[介質],I3)))</f>
        <v/>
      </c>
      <c r="K3" s="92">
        <f>IF(OR(COUNTA($A3:$D3)=0,T3=0),"",IF(INDEX(DB_04[標準單位],T3)="","",INDEX(DB_04[標準單位],T3)))</f>
        <v/>
      </c>
      <c r="L3" s="92">
        <f>IF(COUNTA($A3:$D3)=0,"",IF(OR(C3="",K3=""),"",IF(C3=K3,1,IF(COUNTIFS(DB_06[換算鍵],C3&amp;"|"&amp;K3,DB_06[換算檢查],"OK")=1,INDEX(DB_06[乘數],MATCH(C3&amp;"|"&amp;K3,DB_06[換算鍵],0)),""))))</f>
        <v/>
      </c>
      <c r="M3" s="92">
        <f>UPPER(SUBSTITUTE(SUBSTITUTE(SUBSTITUTE(SUBSTITUTE(TRIM(B3&amp;""),"＜","&lt;"),"＞","&gt;"),"≤","&lt;="),"≥","&gt;="))</f>
        <v/>
      </c>
      <c r="N3" s="92">
        <f>IF(M3="","",IF(OR(M3="ND",M3="N.D."),"ND",IF(OR(M3="NA",M3="N/A",M3="N.A."),"NA",IF(OR(LEFT(M3,2)="&lt;=",LEFT(M3,2)="&gt;="),LEFT(M3,2),IF(OR(LEFT(M3,1)="&lt;",LEFT(M3,1)="&gt;"),LEFT(M3,1),"數值")))))</f>
        <v/>
      </c>
      <c r="O3" s="92">
        <f>IF(OR(N3="",N3="ND",N3="NA"),"",IF(N3="數值",M3,TRIM(MID(M3,LEN(N3)+1,99))))</f>
        <v/>
      </c>
      <c r="P3" s="92">
        <f>IF(O3="","",IFERROR(IF(OR(OR(ISNUMBER(SEARCH("%",O3)),ISNUMBER(SEARCH(" ",O3)),ISNUMBER(SEARCH(",",O3))),OR(SUBSTITUTE(SUBSTITUTE(SUBSTITUTE(SUBSTITUTE(SUBSTITUTE(SUBSTITUTE(SUBSTITUTE(SUBSTITUTE(SUBSTITUTE(SUBSTITUTE(SUBSTITUTE(SUBSTITUTE(SUBSTITUTE(SUBSTITUTE(SUBSTITUTE(SUBSTITUTE(SUBSTITUTE(SUBSTITUTE("x"&amp;O3,"0",""),"1",""),"2",""),"3",""),"4",""),"5",""),"6",""),"7",""),"8",""),"9",""),".",""),"E",""),"+",""),"-",""),"&lt;",""),"&gt;",""),"=","")," ","")&lt;&gt;"x",ISNUMBER(SEARCH("-",SUBSTITUTE(SUBSTITUTE("x"&amp;MID(O3,2,99),"E-","E"),"E+","E"))),ISNUMBER(SEARCH("+",SUBSTITUTE(SUBSTITUTE("x"&amp;MID(O3,2,99),"E-","E"),"E+","E"))))),"",IF(ISNUMBER(AH3),AH3,NA())),""))</f>
        <v/>
      </c>
      <c r="Q3" s="92">
        <f>IF(AND(ISNUMBER(L3),ISNUMBER(P3)),L3*P3,"")</f>
        <v/>
      </c>
      <c r="R3" s="92">
        <f>IF(OR(COUNTA($A3:$D3)=0,U3=0),"",IF(INDEX(DB_05[管制設定值],U3)="","",INDEX(DB_05[管制設定值],U3)))</f>
        <v/>
      </c>
      <c r="S3" s="92">
        <f>IF(OR(COUNTA($A3:$D3)=0,U3=0),"",IF(INDEX(DB_05[監測設定值],U3)="","",INDEX(DB_05[監測設定值],U3)))</f>
        <v/>
      </c>
      <c r="T3" s="92">
        <f>IF(COUNTA($A3:$D3)=0,"",IF(COUNTIFS(DB_04[測項鍵],V3)=1,MATCH(V3,DB_04[測項鍵],0),0))</f>
        <v/>
      </c>
      <c r="U3" s="92">
        <f>IF(COUNTA($A3:$D3)=0,"",IF(COUNTIFS(DB_05[標準鍵],W3)=1,MATCH(W3,DB_05[標準鍵],0),0))</f>
        <v/>
      </c>
      <c r="V3" s="92">
        <f>IF(OR(J3="",A3=""),"",J3&amp;"|"&amp;A3)</f>
        <v/>
      </c>
      <c r="W3" s="92">
        <f>IF(OR('07_QAQC'!$C$3="",V3=""),"",'07_QAQC'!$C$3&amp;"|"&amp;V3)</f>
        <v/>
      </c>
      <c r="X3" s="92">
        <f>IF(OR(H3="",A3=""),"",LEN(H3)&amp;":"&amp;H3&amp;LEN(A3)&amp;":"&amp;A3)</f>
        <v/>
      </c>
      <c r="Y3" s="93">
        <f>IF(COUNTA($A3:$D3)=0,"",IF(I3=0,"樣品未建或重複",IF(INDEX(Samples[樣品檢查],I3)="","OK",INDEX(Samples[樣品檢查],I3))))</f>
        <v/>
      </c>
      <c r="Z3" s="93">
        <f>IF(COUNTA($A3:$D3)=0,"",IF(B3="","缺原始值",IF(OR(B3="-",B3="--"),"無資料",IF(N3="NA","不適用",IF(N3="ND","OK",IF(NOT(ISNUMBER(P3)),"格式待核",IF(AND(N3&lt;&gt;"數值",P3&lt;0),"界限不得為負","OK")))))))</f>
        <v/>
      </c>
      <c r="AA3" s="93">
        <f>IF(COUNTA(A3:D3)=0,"",IF(OR(A3="",H3=""),"缺識別欄位",IF(IF(LEN("="&amp;SUBSTITUTE(SUBSTITUTE(SUBSTITUTE(X3,"~","~~"),"*","~*"),"?","~?"))&lt;=255,COUNTIF(Results[結果識別鍵],"="&amp;SUBSTITUTE(SUBSTITUTE(SUBSTITUTE(X3,"~","~~"),"*","~*"),"?","~?")),COUNTIFS(Results[關聯鍵],"="&amp;SUBSTITUTE(SUBSTITUTE(SUBSTITUTE(H3,"~","~~"),"*","~*"),"?","~?"),Results[分析項目],"="&amp;SUBSTITUTE(SUBSTITUTE(SUBSTITUTE(A3,"~","~~"),"*","~*"),"?","~?")))&gt;1,"同關聯鍵測項重複","OK")))</f>
        <v/>
      </c>
      <c r="AB3" s="93">
        <f>IF(COUNTA($A3:$D3)=0,"",IF(OR(C3="",K3=""),"缺單位",IF(NOT(ISNUMBER(L3)),"單位不相容",IF(L3=1,"OK","已換算"))))</f>
        <v/>
      </c>
      <c r="AC3" s="93">
        <f>IF(COUNTA($A3:$D3)=0,"",IF('07_QAQC'!$C$3="","未選比較版本",IF(U3=0,IF(COUNTIFS(DB_05[標準鍵],W3)&gt;1,"標準鍵重複","未訂此介質／測項門檻"),IF(INDEX(DB_05[版本檢查],U3)&lt;&gt;"OK","標準主檔待核",IF(INDEX(DB_05[標準單位],U3)&lt;&gt;K3,"標準單位不符",IF(INDEX(DB_05[核對狀態],U3)="停用","停用",IF(F3="","缺採樣日期",IF(OR(AND(INDEX(DB_05[生效日],U3)&lt;&gt;"",F3&lt;INDEX(DB_05[生效日],U3)),AND(INDEX(DB_05[失效日],U3)&lt;&gt;"",F3&gt;INDEX(DB_05[失效日],U3))),"日期不適用",INDEX(DB_05[核對狀態],U3)))))))))</f>
        <v/>
      </c>
      <c r="AD3" s="93">
        <f>IF(COUNTA($A3:$D3)=0,"",IF(AC3="未訂此介質／測項門檻",AC3,IF(AC3&lt;&gt;"已核對","標準待核",IF(R3="","未訂管制值",IF(NOT(ISNUMBER(L3)),"單位待核",IF(N3="ND","無法判定（ND無界限）",IF(N3="NA","不適用",IF(Z3&lt;&gt;"OK",Z3,IF(N3="數值",IF(Q3&gt;=R3,"達管制值","未達管制值"),IF(OR(N3="&lt;",N3="&lt;="),IF(OR(Q3&lt;R3,AND(N3="&lt;",Q3=R3)),"未達管制值","無法判定"),IF(OR(N3="&gt;",N3="&gt;="),IF(Q3&gt;=R3,"達管制值","無法判定"),"格式待核")))))))))))</f>
        <v/>
      </c>
      <c r="AE3" s="93">
        <f>IF(COUNTA($A3:$D3)=0,"",IF(AC3="未訂此介質／測項門檻",AC3,IF(AC3&lt;&gt;"已核對","標準待核",IF(S3="","未訂監測值",IF(NOT(ISNUMBER(L3)),"單位待核",IF(N3="ND","無法判定（ND無界限）",IF(N3="NA","不適用",IF(Z3&lt;&gt;"OK",Z3,IF(N3="數值",IF(Q3&gt;=S3,"達監測值","未達監測值"),IF(OR(N3="&lt;",N3="&lt;="),IF(OR(Q3&lt;S3,AND(N3="&lt;",Q3=S3)),"未達監測值","無法判定"),IF(OR(N3="&gt;",N3="&gt;="),IF(Q3&gt;=S3,"達監測值","無法判定"),"格式待核")))))))))))</f>
        <v/>
      </c>
      <c r="AF3" s="93">
        <f>IF(COUNTA($A3:$D3)=0,"",IF(OR(E3="",A3="",B3="",C3=""),"缺必要欄位",IF(Y3&lt;&gt;"OK","樣品資料待補",IF(T3=0,"測項未建或重複",IF(INDEX(DB_04[啟用],T3)&lt;&gt;"是","測項停用",IF(AND(Z3&lt;&gt;"OK",Z3&lt;&gt;"不適用"),Z3,IF(AND(AB3&lt;&gt;"OK",AB3&lt;&gt;"已換算"),"單位待核",IF(AA3&lt;&gt;"OK",AA3,"OK"))))))))</f>
        <v/>
      </c>
      <c r="AG3" s="93">
        <f>IF(COUNTA($A3:$D3)=0,"",IF(N3="ND","ND取0",IF(OR(N3="&lt;",N3="&lt;="),"界限除以2",IF(N3="NA","不適用",IF(OR(N3="&gt;",N3="&gt;="),"保留界限數值","保留原數值")))))</f>
        <v/>
      </c>
      <c r="AH3" s="92">
        <f>IF(O3="","",IFERROR(_xlfn.NUMBERVALUE(O3,".",","),""))</f>
        <v/>
      </c>
      <c r="AI3" s="92">
        <f>IF(H3="","",IFERROR(MATCH(H3,Samples[樣品編號],0),0))</f>
        <v/>
      </c>
    </row>
    <row r="4">
      <c r="A4" s="27" t="inlineStr">
        <is>
          <t>pH</t>
        </is>
      </c>
      <c r="B4" s="28" t="inlineStr">
        <is>
          <t>6.49</t>
        </is>
      </c>
      <c r="C4" s="27" t="inlineStr">
        <is>
          <t>無因次</t>
        </is>
      </c>
      <c r="D4" s="39" t="inlineStr">
        <is>
          <t>合成資料，非實測；method=field</t>
        </is>
      </c>
      <c r="E4" s="29">
        <f>IF(OR(I4="",I4=0),"",IF(INDEX(Samples[監測點],I4)="","",INDEX(Samples[監測點],I4)))</f>
        <v/>
      </c>
      <c r="F4" s="90">
        <f>IF(OR(I4="",I4=0),"",IF(INDEX(Samples[採樣日期],I4)="","",INDEX(Samples[採樣日期],I4)))</f>
        <v/>
      </c>
      <c r="G4" s="91">
        <f>IF(OR(M4="",M4="NA",M4="N/A"),"",IF(OR(M4="ND",M4="N.D."),0,IFERROR(IF(OR(OR(ISNUMBER(SEARCH("%",O4)),ISNUMBER(SEARCH(" ",O4)),ISNUMBER(SEARCH(",",O4))),OR(SUBSTITUTE(SUBSTITUTE(SUBSTITUTE(SUBSTITUTE(SUBSTITUTE(SUBSTITUTE(SUBSTITUTE(SUBSTITUTE(SUBSTITUTE(SUBSTITUTE(SUBSTITUTE(SUBSTITUTE(SUBSTITUTE(SUBSTITUTE(SUBSTITUTE(SUBSTITUTE(SUBSTITUTE(SUBSTITUTE("x"&amp;M4,"0",""),"1",""),"2",""),"3",""),"4",""),"5",""),"6",""),"7",""),"8",""),"9",""),".",""),"E",""),"+",""),"-",""),"&lt;",""),"&gt;",""),"=","")," ","")&lt;&gt;"x",ISNUMBER(SEARCH("-",SUBSTITUTE(SUBSTITUTE("x"&amp;MID(M4,2,99),"E-","E"),"E+","E"))),ISNUMBER(SEARCH("+",SUBSTITUTE(SUBSTITUTE("x"&amp;MID(M4,2,99),"E-","E"),"E+","E"))))),"",IF(AND(OR(LEFT(M4,1)="&lt;",LEFT(M4,1)="&gt;"),IF(O4="",0,IF(ISNUMBER(AH4),AH4,NA()))&lt;0),"",IF(O4="",0,IF(ISNUMBER(AH4),AH4,NA()))/IF(LEFT(M4,1)="&lt;",2,1))),"")))</f>
        <v/>
      </c>
      <c r="H4" s="57" t="inlineStr">
        <is>
          <t>BH01-W_20260115_01</t>
        </is>
      </c>
      <c r="I4" s="92">
        <f>IF(OR(H4="",AI4=0),0,IF(INDEX(Samples[樣品重複筆數],AI4)=1,AI4,0))</f>
        <v/>
      </c>
      <c r="J4" s="92">
        <f>IF(OR(COUNTA($A4:$D4)=0,I4=0),"",IF(INDEX(Samples[介質],I4)="","",INDEX(Samples[介質],I4)))</f>
        <v/>
      </c>
      <c r="K4" s="92">
        <f>IF(OR(COUNTA($A4:$D4)=0,T4=0),"",IF(INDEX(DB_04[標準單位],T4)="","",INDEX(DB_04[標準單位],T4)))</f>
        <v/>
      </c>
      <c r="L4" s="92">
        <f>IF(COUNTA($A4:$D4)=0,"",IF(OR(C4="",K4=""),"",IF(C4=K4,1,IF(COUNTIFS(DB_06[換算鍵],C4&amp;"|"&amp;K4,DB_06[換算檢查],"OK")=1,INDEX(DB_06[乘數],MATCH(C4&amp;"|"&amp;K4,DB_06[換算鍵],0)),""))))</f>
        <v/>
      </c>
      <c r="M4" s="92">
        <f>UPPER(SUBSTITUTE(SUBSTITUTE(SUBSTITUTE(SUBSTITUTE(TRIM(B4&amp;""),"＜","&lt;"),"＞","&gt;"),"≤","&lt;="),"≥","&gt;="))</f>
        <v/>
      </c>
      <c r="N4" s="92">
        <f>IF(M4="","",IF(OR(M4="ND",M4="N.D."),"ND",IF(OR(M4="NA",M4="N/A",M4="N.A."),"NA",IF(OR(LEFT(M4,2)="&lt;=",LEFT(M4,2)="&gt;="),LEFT(M4,2),IF(OR(LEFT(M4,1)="&lt;",LEFT(M4,1)="&gt;"),LEFT(M4,1),"數值")))))</f>
        <v/>
      </c>
      <c r="O4" s="92">
        <f>IF(OR(N4="",N4="ND",N4="NA"),"",IF(N4="數值",M4,TRIM(MID(M4,LEN(N4)+1,99))))</f>
        <v/>
      </c>
      <c r="P4" s="92">
        <f>IF(O4="","",IFERROR(IF(OR(OR(ISNUMBER(SEARCH("%",O4)),ISNUMBER(SEARCH(" ",O4)),ISNUMBER(SEARCH(",",O4))),OR(SUBSTITUTE(SUBSTITUTE(SUBSTITUTE(SUBSTITUTE(SUBSTITUTE(SUBSTITUTE(SUBSTITUTE(SUBSTITUTE(SUBSTITUTE(SUBSTITUTE(SUBSTITUTE(SUBSTITUTE(SUBSTITUTE(SUBSTITUTE(SUBSTITUTE(SUBSTITUTE(SUBSTITUTE(SUBSTITUTE("x"&amp;O4,"0",""),"1",""),"2",""),"3",""),"4",""),"5",""),"6",""),"7",""),"8",""),"9",""),".",""),"E",""),"+",""),"-",""),"&lt;",""),"&gt;",""),"=","")," ","")&lt;&gt;"x",ISNUMBER(SEARCH("-",SUBSTITUTE(SUBSTITUTE("x"&amp;MID(O4,2,99),"E-","E"),"E+","E"))),ISNUMBER(SEARCH("+",SUBSTITUTE(SUBSTITUTE("x"&amp;MID(O4,2,99),"E-","E"),"E+","E"))))),"",IF(ISNUMBER(AH4),AH4,NA())),""))</f>
        <v/>
      </c>
      <c r="Q4" s="92">
        <f>IF(AND(ISNUMBER(L4),ISNUMBER(P4)),L4*P4,"")</f>
        <v/>
      </c>
      <c r="R4" s="92">
        <f>IF(OR(COUNTA($A4:$D4)=0,U4=0),"",IF(INDEX(DB_05[管制設定值],U4)="","",INDEX(DB_05[管制設定值],U4)))</f>
        <v/>
      </c>
      <c r="S4" s="92">
        <f>IF(OR(COUNTA($A4:$D4)=0,U4=0),"",IF(INDEX(DB_05[監測設定值],U4)="","",INDEX(DB_05[監測設定值],U4)))</f>
        <v/>
      </c>
      <c r="T4" s="92">
        <f>IF(COUNTA($A4:$D4)=0,"",IF(COUNTIFS(DB_04[測項鍵],V4)=1,MATCH(V4,DB_04[測項鍵],0),0))</f>
        <v/>
      </c>
      <c r="U4" s="92">
        <f>IF(COUNTA($A4:$D4)=0,"",IF(COUNTIFS(DB_05[標準鍵],W4)=1,MATCH(W4,DB_05[標準鍵],0),0))</f>
        <v/>
      </c>
      <c r="V4" s="92">
        <f>IF(OR(J4="",A4=""),"",J4&amp;"|"&amp;A4)</f>
        <v/>
      </c>
      <c r="W4" s="92">
        <f>IF(OR('07_QAQC'!$C$3="",V4=""),"",'07_QAQC'!$C$3&amp;"|"&amp;V4)</f>
        <v/>
      </c>
      <c r="X4" s="92">
        <f>IF(OR(H4="",A4=""),"",LEN(H4)&amp;":"&amp;H4&amp;LEN(A4)&amp;":"&amp;A4)</f>
        <v/>
      </c>
      <c r="Y4" s="93">
        <f>IF(COUNTA($A4:$D4)=0,"",IF(I4=0,"樣品未建或重複",IF(INDEX(Samples[樣品檢查],I4)="","OK",INDEX(Samples[樣品檢查],I4))))</f>
        <v/>
      </c>
      <c r="Z4" s="93">
        <f>IF(COUNTA($A4:$D4)=0,"",IF(B4="","缺原始值",IF(OR(B4="-",B4="--"),"無資料",IF(N4="NA","不適用",IF(N4="ND","OK",IF(NOT(ISNUMBER(P4)),"格式待核",IF(AND(N4&lt;&gt;"數值",P4&lt;0),"界限不得為負","OK")))))))</f>
        <v/>
      </c>
      <c r="AA4" s="93">
        <f>IF(COUNTA(A4:D4)=0,"",IF(OR(A4="",H4=""),"缺識別欄位",IF(IF(LEN("="&amp;SUBSTITUTE(SUBSTITUTE(SUBSTITUTE(X4,"~","~~"),"*","~*"),"?","~?"))&lt;=255,COUNTIF(Results[結果識別鍵],"="&amp;SUBSTITUTE(SUBSTITUTE(SUBSTITUTE(X4,"~","~~"),"*","~*"),"?","~?")),COUNTIFS(Results[關聯鍵],"="&amp;SUBSTITUTE(SUBSTITUTE(SUBSTITUTE(H4,"~","~~"),"*","~*"),"?","~?"),Results[分析項目],"="&amp;SUBSTITUTE(SUBSTITUTE(SUBSTITUTE(A4,"~","~~"),"*","~*"),"?","~?")))&gt;1,"同關聯鍵測項重複","OK")))</f>
        <v/>
      </c>
      <c r="AB4" s="93">
        <f>IF(COUNTA($A4:$D4)=0,"",IF(OR(C4="",K4=""),"缺單位",IF(NOT(ISNUMBER(L4)),"單位不相容",IF(L4=1,"OK","已換算"))))</f>
        <v/>
      </c>
      <c r="AC4" s="93">
        <f>IF(COUNTA($A4:$D4)=0,"",IF('07_QAQC'!$C$3="","未選比較版本",IF(U4=0,IF(COUNTIFS(DB_05[標準鍵],W4)&gt;1,"標準鍵重複","未訂此介質／測項門檻"),IF(INDEX(DB_05[版本檢查],U4)&lt;&gt;"OK","標準主檔待核",IF(INDEX(DB_05[標準單位],U4)&lt;&gt;K4,"標準單位不符",IF(INDEX(DB_05[核對狀態],U4)="停用","停用",IF(F4="","缺採樣日期",IF(OR(AND(INDEX(DB_05[生效日],U4)&lt;&gt;"",F4&lt;INDEX(DB_05[生效日],U4)),AND(INDEX(DB_05[失效日],U4)&lt;&gt;"",F4&gt;INDEX(DB_05[失效日],U4))),"日期不適用",INDEX(DB_05[核對狀態],U4)))))))))</f>
        <v/>
      </c>
      <c r="AD4" s="93">
        <f>IF(COUNTA($A4:$D4)=0,"",IF(AC4="未訂此介質／測項門檻",AC4,IF(AC4&lt;&gt;"已核對","標準待核",IF(R4="","未訂管制值",IF(NOT(ISNUMBER(L4)),"單位待核",IF(N4="ND","無法判定（ND無界限）",IF(N4="NA","不適用",IF(Z4&lt;&gt;"OK",Z4,IF(N4="數值",IF(Q4&gt;=R4,"達管制值","未達管制值"),IF(OR(N4="&lt;",N4="&lt;="),IF(OR(Q4&lt;R4,AND(N4="&lt;",Q4=R4)),"未達管制值","無法判定"),IF(OR(N4="&gt;",N4="&gt;="),IF(Q4&gt;=R4,"達管制值","無法判定"),"格式待核")))))))))))</f>
        <v/>
      </c>
      <c r="AE4" s="93">
        <f>IF(COUNTA($A4:$D4)=0,"",IF(AC4="未訂此介質／測項門檻",AC4,IF(AC4&lt;&gt;"已核對","標準待核",IF(S4="","未訂監測值",IF(NOT(ISNUMBER(L4)),"單位待核",IF(N4="ND","無法判定（ND無界限）",IF(N4="NA","不適用",IF(Z4&lt;&gt;"OK",Z4,IF(N4="數值",IF(Q4&gt;=S4,"達監測值","未達監測值"),IF(OR(N4="&lt;",N4="&lt;="),IF(OR(Q4&lt;S4,AND(N4="&lt;",Q4=S4)),"未達監測值","無法判定"),IF(OR(N4="&gt;",N4="&gt;="),IF(Q4&gt;=S4,"達監測值","無法判定"),"格式待核")))))))))))</f>
        <v/>
      </c>
      <c r="AF4" s="93">
        <f>IF(COUNTA($A4:$D4)=0,"",IF(OR(E4="",A4="",B4="",C4=""),"缺必要欄位",IF(Y4&lt;&gt;"OK","樣品資料待補",IF(T4=0,"測項未建或重複",IF(INDEX(DB_04[啟用],T4)&lt;&gt;"是","測項停用",IF(AND(Z4&lt;&gt;"OK",Z4&lt;&gt;"不適用"),Z4,IF(AND(AB4&lt;&gt;"OK",AB4&lt;&gt;"已換算"),"單位待核",IF(AA4&lt;&gt;"OK",AA4,"OK"))))))))</f>
        <v/>
      </c>
      <c r="AG4" s="93">
        <f>IF(COUNTA($A4:$D4)=0,"",IF(N4="ND","ND取0",IF(OR(N4="&lt;",N4="&lt;="),"界限除以2",IF(N4="NA","不適用",IF(OR(N4="&gt;",N4="&gt;="),"保留界限數值","保留原數值")))))</f>
        <v/>
      </c>
      <c r="AH4" s="92">
        <f>IF(O4="","",IFERROR(_xlfn.NUMBERVALUE(O4,".",","),""))</f>
        <v/>
      </c>
      <c r="AI4" s="92">
        <f>IF(H4="","",IFERROR(MATCH(H4,Samples[樣品編號],0),0))</f>
        <v/>
      </c>
    </row>
    <row r="5">
      <c r="A5" s="27" t="inlineStr">
        <is>
          <t>EC</t>
        </is>
      </c>
      <c r="B5" s="28" t="inlineStr">
        <is>
          <t>0.43</t>
        </is>
      </c>
      <c r="C5" s="27" t="inlineStr">
        <is>
          <t>mS/cm</t>
        </is>
      </c>
      <c r="D5" s="39" t="inlineStr">
        <is>
          <t>合成資料，非實測；method=field; temperature=25; temperature_compensated=25C; reference_temperature=25</t>
        </is>
      </c>
      <c r="E5" s="29">
        <f>IF(OR(I5="",I5=0),"",IF(INDEX(Samples[監測點],I5)="","",INDEX(Samples[監測點],I5)))</f>
        <v/>
      </c>
      <c r="F5" s="90">
        <f>IF(OR(I5="",I5=0),"",IF(INDEX(Samples[採樣日期],I5)="","",INDEX(Samples[採樣日期],I5)))</f>
        <v/>
      </c>
      <c r="G5" s="91">
        <f>IF(OR(M5="",M5="NA",M5="N/A"),"",IF(OR(M5="ND",M5="N.D."),0,IFERROR(IF(OR(OR(ISNUMBER(SEARCH("%",O5)),ISNUMBER(SEARCH(" ",O5)),ISNUMBER(SEARCH(",",O5))),OR(SUBSTITUTE(SUBSTITUTE(SUBSTITUTE(SUBSTITUTE(SUBSTITUTE(SUBSTITUTE(SUBSTITUTE(SUBSTITUTE(SUBSTITUTE(SUBSTITUTE(SUBSTITUTE(SUBSTITUTE(SUBSTITUTE(SUBSTITUTE(SUBSTITUTE(SUBSTITUTE(SUBSTITUTE(SUBSTITUTE("x"&amp;M5,"0",""),"1",""),"2",""),"3",""),"4",""),"5",""),"6",""),"7",""),"8",""),"9",""),".",""),"E",""),"+",""),"-",""),"&lt;",""),"&gt;",""),"=","")," ","")&lt;&gt;"x",ISNUMBER(SEARCH("-",SUBSTITUTE(SUBSTITUTE("x"&amp;MID(M5,2,99),"E-","E"),"E+","E"))),ISNUMBER(SEARCH("+",SUBSTITUTE(SUBSTITUTE("x"&amp;MID(M5,2,99),"E-","E"),"E+","E"))))),"",IF(AND(OR(LEFT(M5,1)="&lt;",LEFT(M5,1)="&gt;"),IF(O5="",0,IF(ISNUMBER(AH5),AH5,NA()))&lt;0),"",IF(O5="",0,IF(ISNUMBER(AH5),AH5,NA()))/IF(LEFT(M5,1)="&lt;",2,1))),"")))</f>
        <v/>
      </c>
      <c r="H5" s="57" t="inlineStr">
        <is>
          <t>BH01-W_20260115_01</t>
        </is>
      </c>
      <c r="I5" s="92">
        <f>IF(OR(H5="",AI5=0),0,IF(INDEX(Samples[樣品重複筆數],AI5)=1,AI5,0))</f>
        <v/>
      </c>
      <c r="J5" s="92">
        <f>IF(OR(COUNTA($A5:$D5)=0,I5=0),"",IF(INDEX(Samples[介質],I5)="","",INDEX(Samples[介質],I5)))</f>
        <v/>
      </c>
      <c r="K5" s="92">
        <f>IF(OR(COUNTA($A5:$D5)=0,T5=0),"",IF(INDEX(DB_04[標準單位],T5)="","",INDEX(DB_04[標準單位],T5)))</f>
        <v/>
      </c>
      <c r="L5" s="92">
        <f>IF(COUNTA($A5:$D5)=0,"",IF(OR(C5="",K5=""),"",IF(C5=K5,1,IF(COUNTIFS(DB_06[換算鍵],C5&amp;"|"&amp;K5,DB_06[換算檢查],"OK")=1,INDEX(DB_06[乘數],MATCH(C5&amp;"|"&amp;K5,DB_06[換算鍵],0)),""))))</f>
        <v/>
      </c>
      <c r="M5" s="92">
        <f>UPPER(SUBSTITUTE(SUBSTITUTE(SUBSTITUTE(SUBSTITUTE(TRIM(B5&amp;""),"＜","&lt;"),"＞","&gt;"),"≤","&lt;="),"≥","&gt;="))</f>
        <v/>
      </c>
      <c r="N5" s="92">
        <f>IF(M5="","",IF(OR(M5="ND",M5="N.D."),"ND",IF(OR(M5="NA",M5="N/A",M5="N.A."),"NA",IF(OR(LEFT(M5,2)="&lt;=",LEFT(M5,2)="&gt;="),LEFT(M5,2),IF(OR(LEFT(M5,1)="&lt;",LEFT(M5,1)="&gt;"),LEFT(M5,1),"數值")))))</f>
        <v/>
      </c>
      <c r="O5" s="92">
        <f>IF(OR(N5="",N5="ND",N5="NA"),"",IF(N5="數值",M5,TRIM(MID(M5,LEN(N5)+1,99))))</f>
        <v/>
      </c>
      <c r="P5" s="92">
        <f>IF(O5="","",IFERROR(IF(OR(OR(ISNUMBER(SEARCH("%",O5)),ISNUMBER(SEARCH(" ",O5)),ISNUMBER(SEARCH(",",O5))),OR(SUBSTITUTE(SUBSTITUTE(SUBSTITUTE(SUBSTITUTE(SUBSTITUTE(SUBSTITUTE(SUBSTITUTE(SUBSTITUTE(SUBSTITUTE(SUBSTITUTE(SUBSTITUTE(SUBSTITUTE(SUBSTITUTE(SUBSTITUTE(SUBSTITUTE(SUBSTITUTE(SUBSTITUTE(SUBSTITUTE("x"&amp;O5,"0",""),"1",""),"2",""),"3",""),"4",""),"5",""),"6",""),"7",""),"8",""),"9",""),".",""),"E",""),"+",""),"-",""),"&lt;",""),"&gt;",""),"=","")," ","")&lt;&gt;"x",ISNUMBER(SEARCH("-",SUBSTITUTE(SUBSTITUTE("x"&amp;MID(O5,2,99),"E-","E"),"E+","E"))),ISNUMBER(SEARCH("+",SUBSTITUTE(SUBSTITUTE("x"&amp;MID(O5,2,99),"E-","E"),"E+","E"))))),"",IF(ISNUMBER(AH5),AH5,NA())),""))</f>
        <v/>
      </c>
      <c r="Q5" s="92">
        <f>IF(AND(ISNUMBER(L5),ISNUMBER(P5)),L5*P5,"")</f>
        <v/>
      </c>
      <c r="R5" s="92">
        <f>IF(OR(COUNTA($A5:$D5)=0,U5=0),"",IF(INDEX(DB_05[管制設定值],U5)="","",INDEX(DB_05[管制設定值],U5)))</f>
        <v/>
      </c>
      <c r="S5" s="92">
        <f>IF(OR(COUNTA($A5:$D5)=0,U5=0),"",IF(INDEX(DB_05[監測設定值],U5)="","",INDEX(DB_05[監測設定值],U5)))</f>
        <v/>
      </c>
      <c r="T5" s="92">
        <f>IF(COUNTA($A5:$D5)=0,"",IF(COUNTIFS(DB_04[測項鍵],V5)=1,MATCH(V5,DB_04[測項鍵],0),0))</f>
        <v/>
      </c>
      <c r="U5" s="92">
        <f>IF(COUNTA($A5:$D5)=0,"",IF(COUNTIFS(DB_05[標準鍵],W5)=1,MATCH(W5,DB_05[標準鍵],0),0))</f>
        <v/>
      </c>
      <c r="V5" s="92">
        <f>IF(OR(J5="",A5=""),"",J5&amp;"|"&amp;A5)</f>
        <v/>
      </c>
      <c r="W5" s="92">
        <f>IF(OR('07_QAQC'!$C$3="",V5=""),"",'07_QAQC'!$C$3&amp;"|"&amp;V5)</f>
        <v/>
      </c>
      <c r="X5" s="92">
        <f>IF(OR(H5="",A5=""),"",LEN(H5)&amp;":"&amp;H5&amp;LEN(A5)&amp;":"&amp;A5)</f>
        <v/>
      </c>
      <c r="Y5" s="93">
        <f>IF(COUNTA($A5:$D5)=0,"",IF(I5=0,"樣品未建或重複",IF(INDEX(Samples[樣品檢查],I5)="","OK",INDEX(Samples[樣品檢查],I5))))</f>
        <v/>
      </c>
      <c r="Z5" s="93">
        <f>IF(COUNTA($A5:$D5)=0,"",IF(B5="","缺原始值",IF(OR(B5="-",B5="--"),"無資料",IF(N5="NA","不適用",IF(N5="ND","OK",IF(NOT(ISNUMBER(P5)),"格式待核",IF(AND(N5&lt;&gt;"數值",P5&lt;0),"界限不得為負","OK")))))))</f>
        <v/>
      </c>
      <c r="AA5" s="93">
        <f>IF(COUNTA(A5:D5)=0,"",IF(OR(A5="",H5=""),"缺識別欄位",IF(IF(LEN("="&amp;SUBSTITUTE(SUBSTITUTE(SUBSTITUTE(X5,"~","~~"),"*","~*"),"?","~?"))&lt;=255,COUNTIF(Results[結果識別鍵],"="&amp;SUBSTITUTE(SUBSTITUTE(SUBSTITUTE(X5,"~","~~"),"*","~*"),"?","~?")),COUNTIFS(Results[關聯鍵],"="&amp;SUBSTITUTE(SUBSTITUTE(SUBSTITUTE(H5,"~","~~"),"*","~*"),"?","~?"),Results[分析項目],"="&amp;SUBSTITUTE(SUBSTITUTE(SUBSTITUTE(A5,"~","~~"),"*","~*"),"?","~?")))&gt;1,"同關聯鍵測項重複","OK")))</f>
        <v/>
      </c>
      <c r="AB5" s="93">
        <f>IF(COUNTA($A5:$D5)=0,"",IF(OR(C5="",K5=""),"缺單位",IF(NOT(ISNUMBER(L5)),"單位不相容",IF(L5=1,"OK","已換算"))))</f>
        <v/>
      </c>
      <c r="AC5" s="93">
        <f>IF(COUNTA($A5:$D5)=0,"",IF('07_QAQC'!$C$3="","未選比較版本",IF(U5=0,IF(COUNTIFS(DB_05[標準鍵],W5)&gt;1,"標準鍵重複","未訂此介質／測項門檻"),IF(INDEX(DB_05[版本檢查],U5)&lt;&gt;"OK","標準主檔待核",IF(INDEX(DB_05[標準單位],U5)&lt;&gt;K5,"標準單位不符",IF(INDEX(DB_05[核對狀態],U5)="停用","停用",IF(F5="","缺採樣日期",IF(OR(AND(INDEX(DB_05[生效日],U5)&lt;&gt;"",F5&lt;INDEX(DB_05[生效日],U5)),AND(INDEX(DB_05[失效日],U5)&lt;&gt;"",F5&gt;INDEX(DB_05[失效日],U5))),"日期不適用",INDEX(DB_05[核對狀態],U5)))))))))</f>
        <v/>
      </c>
      <c r="AD5" s="93">
        <f>IF(COUNTA($A5:$D5)=0,"",IF(AC5="未訂此介質／測項門檻",AC5,IF(AC5&lt;&gt;"已核對","標準待核",IF(R5="","未訂管制值",IF(NOT(ISNUMBER(L5)),"單位待核",IF(N5="ND","無法判定（ND無界限）",IF(N5="NA","不適用",IF(Z5&lt;&gt;"OK",Z5,IF(N5="數值",IF(Q5&gt;=R5,"達管制值","未達管制值"),IF(OR(N5="&lt;",N5="&lt;="),IF(OR(Q5&lt;R5,AND(N5="&lt;",Q5=R5)),"未達管制值","無法判定"),IF(OR(N5="&gt;",N5="&gt;="),IF(Q5&gt;=R5,"達管制值","無法判定"),"格式待核")))))))))))</f>
        <v/>
      </c>
      <c r="AE5" s="93">
        <f>IF(COUNTA($A5:$D5)=0,"",IF(AC5="未訂此介質／測項門檻",AC5,IF(AC5&lt;&gt;"已核對","標準待核",IF(S5="","未訂監測值",IF(NOT(ISNUMBER(L5)),"單位待核",IF(N5="ND","無法判定（ND無界限）",IF(N5="NA","不適用",IF(Z5&lt;&gt;"OK",Z5,IF(N5="數值",IF(Q5&gt;=S5,"達監測值","未達監測值"),IF(OR(N5="&lt;",N5="&lt;="),IF(OR(Q5&lt;S5,AND(N5="&lt;",Q5=S5)),"未達監測值","無法判定"),IF(OR(N5="&gt;",N5="&gt;="),IF(Q5&gt;=S5,"達監測值","無法判定"),"格式待核")))))))))))</f>
        <v/>
      </c>
      <c r="AF5" s="93">
        <f>IF(COUNTA($A5:$D5)=0,"",IF(OR(E5="",A5="",B5="",C5=""),"缺必要欄位",IF(Y5&lt;&gt;"OK","樣品資料待補",IF(T5=0,"測項未建或重複",IF(INDEX(DB_04[啟用],T5)&lt;&gt;"是","測項停用",IF(AND(Z5&lt;&gt;"OK",Z5&lt;&gt;"不適用"),Z5,IF(AND(AB5&lt;&gt;"OK",AB5&lt;&gt;"已換算"),"單位待核",IF(AA5&lt;&gt;"OK",AA5,"OK"))))))))</f>
        <v/>
      </c>
      <c r="AG5" s="93">
        <f>IF(COUNTA($A5:$D5)=0,"",IF(N5="ND","ND取0",IF(OR(N5="&lt;",N5="&lt;="),"界限除以2",IF(N5="NA","不適用",IF(OR(N5="&gt;",N5="&gt;="),"保留界限數值","保留原數值")))))</f>
        <v/>
      </c>
      <c r="AH5" s="92">
        <f>IF(O5="","",IFERROR(_xlfn.NUMBERVALUE(O5,".",","),""))</f>
        <v/>
      </c>
      <c r="AI5" s="92">
        <f>IF(H5="","",IFERROR(MATCH(H5,Samples[樣品編號],0),0))</f>
        <v/>
      </c>
    </row>
    <row r="6">
      <c r="A6" s="27" t="inlineStr">
        <is>
          <t>DO</t>
        </is>
      </c>
      <c r="B6" s="28" t="inlineStr">
        <is>
          <t>6.5</t>
        </is>
      </c>
      <c r="C6" s="27" t="inlineStr">
        <is>
          <t>mg/L</t>
        </is>
      </c>
      <c r="D6" s="39" t="inlineStr">
        <is>
          <t>合成資料，非實測；method=field</t>
        </is>
      </c>
      <c r="E6" s="29">
        <f>IF(OR(I6="",I6=0),"",IF(INDEX(Samples[監測點],I6)="","",INDEX(Samples[監測點],I6)))</f>
        <v/>
      </c>
      <c r="F6" s="90">
        <f>IF(OR(I6="",I6=0),"",IF(INDEX(Samples[採樣日期],I6)="","",INDEX(Samples[採樣日期],I6)))</f>
        <v/>
      </c>
      <c r="G6" s="91">
        <f>IF(OR(M6="",M6="NA",M6="N/A"),"",IF(OR(M6="ND",M6="N.D."),0,IFERROR(IF(OR(OR(ISNUMBER(SEARCH("%",O6)),ISNUMBER(SEARCH(" ",O6)),ISNUMBER(SEARCH(",",O6))),OR(SUBSTITUTE(SUBSTITUTE(SUBSTITUTE(SUBSTITUTE(SUBSTITUTE(SUBSTITUTE(SUBSTITUTE(SUBSTITUTE(SUBSTITUTE(SUBSTITUTE(SUBSTITUTE(SUBSTITUTE(SUBSTITUTE(SUBSTITUTE(SUBSTITUTE(SUBSTITUTE(SUBSTITUTE(SUBSTITUTE("x"&amp;M6,"0",""),"1",""),"2",""),"3",""),"4",""),"5",""),"6",""),"7",""),"8",""),"9",""),".",""),"E",""),"+",""),"-",""),"&lt;",""),"&gt;",""),"=","")," ","")&lt;&gt;"x",ISNUMBER(SEARCH("-",SUBSTITUTE(SUBSTITUTE("x"&amp;MID(M6,2,99),"E-","E"),"E+","E"))),ISNUMBER(SEARCH("+",SUBSTITUTE(SUBSTITUTE("x"&amp;MID(M6,2,99),"E-","E"),"E+","E"))))),"",IF(AND(OR(LEFT(M6,1)="&lt;",LEFT(M6,1)="&gt;"),IF(O6="",0,IF(ISNUMBER(AH6),AH6,NA()))&lt;0),"",IF(O6="",0,IF(ISNUMBER(AH6),AH6,NA()))/IF(LEFT(M6,1)="&lt;",2,1))),"")))</f>
        <v/>
      </c>
      <c r="H6" s="57" t="inlineStr">
        <is>
          <t>BH01-W_20260115_01</t>
        </is>
      </c>
      <c r="I6" s="92">
        <f>IF(OR(H6="",AI6=0),0,IF(INDEX(Samples[樣品重複筆數],AI6)=1,AI6,0))</f>
        <v/>
      </c>
      <c r="J6" s="92">
        <f>IF(OR(COUNTA($A6:$D6)=0,I6=0),"",IF(INDEX(Samples[介質],I6)="","",INDEX(Samples[介質],I6)))</f>
        <v/>
      </c>
      <c r="K6" s="92">
        <f>IF(OR(COUNTA($A6:$D6)=0,T6=0),"",IF(INDEX(DB_04[標準單位],T6)="","",INDEX(DB_04[標準單位],T6)))</f>
        <v/>
      </c>
      <c r="L6" s="92">
        <f>IF(COUNTA($A6:$D6)=0,"",IF(OR(C6="",K6=""),"",IF(C6=K6,1,IF(COUNTIFS(DB_06[換算鍵],C6&amp;"|"&amp;K6,DB_06[換算檢查],"OK")=1,INDEX(DB_06[乘數],MATCH(C6&amp;"|"&amp;K6,DB_06[換算鍵],0)),""))))</f>
        <v/>
      </c>
      <c r="M6" s="92">
        <f>UPPER(SUBSTITUTE(SUBSTITUTE(SUBSTITUTE(SUBSTITUTE(TRIM(B6&amp;""),"＜","&lt;"),"＞","&gt;"),"≤","&lt;="),"≥","&gt;="))</f>
        <v/>
      </c>
      <c r="N6" s="92">
        <f>IF(M6="","",IF(OR(M6="ND",M6="N.D."),"ND",IF(OR(M6="NA",M6="N/A",M6="N.A."),"NA",IF(OR(LEFT(M6,2)="&lt;=",LEFT(M6,2)="&gt;="),LEFT(M6,2),IF(OR(LEFT(M6,1)="&lt;",LEFT(M6,1)="&gt;"),LEFT(M6,1),"數值")))))</f>
        <v/>
      </c>
      <c r="O6" s="92">
        <f>IF(OR(N6="",N6="ND",N6="NA"),"",IF(N6="數值",M6,TRIM(MID(M6,LEN(N6)+1,99))))</f>
        <v/>
      </c>
      <c r="P6" s="92">
        <f>IF(O6="","",IFERROR(IF(OR(OR(ISNUMBER(SEARCH("%",O6)),ISNUMBER(SEARCH(" ",O6)),ISNUMBER(SEARCH(",",O6))),OR(SUBSTITUTE(SUBSTITUTE(SUBSTITUTE(SUBSTITUTE(SUBSTITUTE(SUBSTITUTE(SUBSTITUTE(SUBSTITUTE(SUBSTITUTE(SUBSTITUTE(SUBSTITUTE(SUBSTITUTE(SUBSTITUTE(SUBSTITUTE(SUBSTITUTE(SUBSTITUTE(SUBSTITUTE(SUBSTITUTE("x"&amp;O6,"0",""),"1",""),"2",""),"3",""),"4",""),"5",""),"6",""),"7",""),"8",""),"9",""),".",""),"E",""),"+",""),"-",""),"&lt;",""),"&gt;",""),"=","")," ","")&lt;&gt;"x",ISNUMBER(SEARCH("-",SUBSTITUTE(SUBSTITUTE("x"&amp;MID(O6,2,99),"E-","E"),"E+","E"))),ISNUMBER(SEARCH("+",SUBSTITUTE(SUBSTITUTE("x"&amp;MID(O6,2,99),"E-","E"),"E+","E"))))),"",IF(ISNUMBER(AH6),AH6,NA())),""))</f>
        <v/>
      </c>
      <c r="Q6" s="92">
        <f>IF(AND(ISNUMBER(L6),ISNUMBER(P6)),L6*P6,"")</f>
        <v/>
      </c>
      <c r="R6" s="92">
        <f>IF(OR(COUNTA($A6:$D6)=0,U6=0),"",IF(INDEX(DB_05[管制設定值],U6)="","",INDEX(DB_05[管制設定值],U6)))</f>
        <v/>
      </c>
      <c r="S6" s="92">
        <f>IF(OR(COUNTA($A6:$D6)=0,U6=0),"",IF(INDEX(DB_05[監測設定值],U6)="","",INDEX(DB_05[監測設定值],U6)))</f>
        <v/>
      </c>
      <c r="T6" s="92">
        <f>IF(COUNTA($A6:$D6)=0,"",IF(COUNTIFS(DB_04[測項鍵],V6)=1,MATCH(V6,DB_04[測項鍵],0),0))</f>
        <v/>
      </c>
      <c r="U6" s="92">
        <f>IF(COUNTA($A6:$D6)=0,"",IF(COUNTIFS(DB_05[標準鍵],W6)=1,MATCH(W6,DB_05[標準鍵],0),0))</f>
        <v/>
      </c>
      <c r="V6" s="92">
        <f>IF(OR(J6="",A6=""),"",J6&amp;"|"&amp;A6)</f>
        <v/>
      </c>
      <c r="W6" s="92">
        <f>IF(OR('07_QAQC'!$C$3="",V6=""),"",'07_QAQC'!$C$3&amp;"|"&amp;V6)</f>
        <v/>
      </c>
      <c r="X6" s="92">
        <f>IF(OR(H6="",A6=""),"",LEN(H6)&amp;":"&amp;H6&amp;LEN(A6)&amp;":"&amp;A6)</f>
        <v/>
      </c>
      <c r="Y6" s="93">
        <f>IF(COUNTA($A6:$D6)=0,"",IF(I6=0,"樣品未建或重複",IF(INDEX(Samples[樣品檢查],I6)="","OK",INDEX(Samples[樣品檢查],I6))))</f>
        <v/>
      </c>
      <c r="Z6" s="93">
        <f>IF(COUNTA($A6:$D6)=0,"",IF(B6="","缺原始值",IF(OR(B6="-",B6="--"),"無資料",IF(N6="NA","不適用",IF(N6="ND","OK",IF(NOT(ISNUMBER(P6)),"格式待核",IF(AND(N6&lt;&gt;"數值",P6&lt;0),"界限不得為負","OK")))))))</f>
        <v/>
      </c>
      <c r="AA6" s="93">
        <f>IF(COUNTA(A6:D6)=0,"",IF(OR(A6="",H6=""),"缺識別欄位",IF(IF(LEN("="&amp;SUBSTITUTE(SUBSTITUTE(SUBSTITUTE(X6,"~","~~"),"*","~*"),"?","~?"))&lt;=255,COUNTIF(Results[結果識別鍵],"="&amp;SUBSTITUTE(SUBSTITUTE(SUBSTITUTE(X6,"~","~~"),"*","~*"),"?","~?")),COUNTIFS(Results[關聯鍵],"="&amp;SUBSTITUTE(SUBSTITUTE(SUBSTITUTE(H6,"~","~~"),"*","~*"),"?","~?"),Results[分析項目],"="&amp;SUBSTITUTE(SUBSTITUTE(SUBSTITUTE(A6,"~","~~"),"*","~*"),"?","~?")))&gt;1,"同關聯鍵測項重複","OK")))</f>
        <v/>
      </c>
      <c r="AB6" s="93">
        <f>IF(COUNTA($A6:$D6)=0,"",IF(OR(C6="",K6=""),"缺單位",IF(NOT(ISNUMBER(L6)),"單位不相容",IF(L6=1,"OK","已換算"))))</f>
        <v/>
      </c>
      <c r="AC6" s="93">
        <f>IF(COUNTA($A6:$D6)=0,"",IF('07_QAQC'!$C$3="","未選比較版本",IF(U6=0,IF(COUNTIFS(DB_05[標準鍵],W6)&gt;1,"標準鍵重複","未訂此介質／測項門檻"),IF(INDEX(DB_05[版本檢查],U6)&lt;&gt;"OK","標準主檔待核",IF(INDEX(DB_05[標準單位],U6)&lt;&gt;K6,"標準單位不符",IF(INDEX(DB_05[核對狀態],U6)="停用","停用",IF(F6="","缺採樣日期",IF(OR(AND(INDEX(DB_05[生效日],U6)&lt;&gt;"",F6&lt;INDEX(DB_05[生效日],U6)),AND(INDEX(DB_05[失效日],U6)&lt;&gt;"",F6&gt;INDEX(DB_05[失效日],U6))),"日期不適用",INDEX(DB_05[核對狀態],U6)))))))))</f>
        <v/>
      </c>
      <c r="AD6" s="93">
        <f>IF(COUNTA($A6:$D6)=0,"",IF(AC6="未訂此介質／測項門檻",AC6,IF(AC6&lt;&gt;"已核對","標準待核",IF(R6="","未訂管制值",IF(NOT(ISNUMBER(L6)),"單位待核",IF(N6="ND","無法判定（ND無界限）",IF(N6="NA","不適用",IF(Z6&lt;&gt;"OK",Z6,IF(N6="數值",IF(Q6&gt;=R6,"達管制值","未達管制值"),IF(OR(N6="&lt;",N6="&lt;="),IF(OR(Q6&lt;R6,AND(N6="&lt;",Q6=R6)),"未達管制值","無法判定"),IF(OR(N6="&gt;",N6="&gt;="),IF(Q6&gt;=R6,"達管制值","無法判定"),"格式待核")))))))))))</f>
        <v/>
      </c>
      <c r="AE6" s="93">
        <f>IF(COUNTA($A6:$D6)=0,"",IF(AC6="未訂此介質／測項門檻",AC6,IF(AC6&lt;&gt;"已核對","標準待核",IF(S6="","未訂監測值",IF(NOT(ISNUMBER(L6)),"單位待核",IF(N6="ND","無法判定（ND無界限）",IF(N6="NA","不適用",IF(Z6&lt;&gt;"OK",Z6,IF(N6="數值",IF(Q6&gt;=S6,"達監測值","未達監測值"),IF(OR(N6="&lt;",N6="&lt;="),IF(OR(Q6&lt;S6,AND(N6="&lt;",Q6=S6)),"未達監測值","無法判定"),IF(OR(N6="&gt;",N6="&gt;="),IF(Q6&gt;=S6,"達監測值","無法判定"),"格式待核")))))))))))</f>
        <v/>
      </c>
      <c r="AF6" s="93">
        <f>IF(COUNTA($A6:$D6)=0,"",IF(OR(E6="",A6="",B6="",C6=""),"缺必要欄位",IF(Y6&lt;&gt;"OK","樣品資料待補",IF(T6=0,"測項未建或重複",IF(INDEX(DB_04[啟用],T6)&lt;&gt;"是","測項停用",IF(AND(Z6&lt;&gt;"OK",Z6&lt;&gt;"不適用"),Z6,IF(AND(AB6&lt;&gt;"OK",AB6&lt;&gt;"已換算"),"單位待核",IF(AA6&lt;&gt;"OK",AA6,"OK"))))))))</f>
        <v/>
      </c>
      <c r="AG6" s="93">
        <f>IF(COUNTA($A6:$D6)=0,"",IF(N6="ND","ND取0",IF(OR(N6="&lt;",N6="&lt;="),"界限除以2",IF(N6="NA","不適用",IF(OR(N6="&gt;",N6="&gt;="),"保留界限數值","保留原數值")))))</f>
        <v/>
      </c>
      <c r="AH6" s="92">
        <f>IF(O6="","",IFERROR(_xlfn.NUMBERVALUE(O6,".",","),""))</f>
        <v/>
      </c>
      <c r="AI6" s="92">
        <f>IF(H6="","",IFERROR(MATCH(H6,Samples[樣品編號],0),0))</f>
        <v/>
      </c>
    </row>
    <row r="7">
      <c r="A7" s="27" t="inlineStr">
        <is>
          <t>溶氧飽和度</t>
        </is>
      </c>
      <c r="B7" s="28" t="inlineStr">
        <is>
          <t>77</t>
        </is>
      </c>
      <c r="C7" s="27" t="inlineStr">
        <is>
          <t>%</t>
        </is>
      </c>
      <c r="D7" s="39" t="inlineStr">
        <is>
          <t>合成資料，非實測；method=field</t>
        </is>
      </c>
      <c r="E7" s="29">
        <f>IF(OR(I7="",I7=0),"",IF(INDEX(Samples[監測點],I7)="","",INDEX(Samples[監測點],I7)))</f>
        <v/>
      </c>
      <c r="F7" s="90">
        <f>IF(OR(I7="",I7=0),"",IF(INDEX(Samples[採樣日期],I7)="","",INDEX(Samples[採樣日期],I7)))</f>
        <v/>
      </c>
      <c r="G7" s="91">
        <f>IF(OR(M7="",M7="NA",M7="N/A"),"",IF(OR(M7="ND",M7="N.D."),0,IFERROR(IF(OR(OR(ISNUMBER(SEARCH("%",O7)),ISNUMBER(SEARCH(" ",O7)),ISNUMBER(SEARCH(",",O7))),OR(SUBSTITUTE(SUBSTITUTE(SUBSTITUTE(SUBSTITUTE(SUBSTITUTE(SUBSTITUTE(SUBSTITUTE(SUBSTITUTE(SUBSTITUTE(SUBSTITUTE(SUBSTITUTE(SUBSTITUTE(SUBSTITUTE(SUBSTITUTE(SUBSTITUTE(SUBSTITUTE(SUBSTITUTE(SUBSTITUTE("x"&amp;M7,"0",""),"1",""),"2",""),"3",""),"4",""),"5",""),"6",""),"7",""),"8",""),"9",""),".",""),"E",""),"+",""),"-",""),"&lt;",""),"&gt;",""),"=","")," ","")&lt;&gt;"x",ISNUMBER(SEARCH("-",SUBSTITUTE(SUBSTITUTE("x"&amp;MID(M7,2,99),"E-","E"),"E+","E"))),ISNUMBER(SEARCH("+",SUBSTITUTE(SUBSTITUTE("x"&amp;MID(M7,2,99),"E-","E"),"E+","E"))))),"",IF(AND(OR(LEFT(M7,1)="&lt;",LEFT(M7,1)="&gt;"),IF(O7="",0,IF(ISNUMBER(AH7),AH7,NA()))&lt;0),"",IF(O7="",0,IF(ISNUMBER(AH7),AH7,NA()))/IF(LEFT(M7,1)="&lt;",2,1))),"")))</f>
        <v/>
      </c>
      <c r="H7" s="57" t="inlineStr">
        <is>
          <t>BH01-W_20260115_01</t>
        </is>
      </c>
      <c r="I7" s="92">
        <f>IF(OR(H7="",AI7=0),0,IF(INDEX(Samples[樣品重複筆數],AI7)=1,AI7,0))</f>
        <v/>
      </c>
      <c r="J7" s="92">
        <f>IF(OR(COUNTA($A7:$D7)=0,I7=0),"",IF(INDEX(Samples[介質],I7)="","",INDEX(Samples[介質],I7)))</f>
        <v/>
      </c>
      <c r="K7" s="92">
        <f>IF(OR(COUNTA($A7:$D7)=0,T7=0),"",IF(INDEX(DB_04[標準單位],T7)="","",INDEX(DB_04[標準單位],T7)))</f>
        <v/>
      </c>
      <c r="L7" s="92">
        <f>IF(COUNTA($A7:$D7)=0,"",IF(OR(C7="",K7=""),"",IF(C7=K7,1,IF(COUNTIFS(DB_06[換算鍵],C7&amp;"|"&amp;K7,DB_06[換算檢查],"OK")=1,INDEX(DB_06[乘數],MATCH(C7&amp;"|"&amp;K7,DB_06[換算鍵],0)),""))))</f>
        <v/>
      </c>
      <c r="M7" s="92">
        <f>UPPER(SUBSTITUTE(SUBSTITUTE(SUBSTITUTE(SUBSTITUTE(TRIM(B7&amp;""),"＜","&lt;"),"＞","&gt;"),"≤","&lt;="),"≥","&gt;="))</f>
        <v/>
      </c>
      <c r="N7" s="92">
        <f>IF(M7="","",IF(OR(M7="ND",M7="N.D."),"ND",IF(OR(M7="NA",M7="N/A",M7="N.A."),"NA",IF(OR(LEFT(M7,2)="&lt;=",LEFT(M7,2)="&gt;="),LEFT(M7,2),IF(OR(LEFT(M7,1)="&lt;",LEFT(M7,1)="&gt;"),LEFT(M7,1),"數值")))))</f>
        <v/>
      </c>
      <c r="O7" s="92">
        <f>IF(OR(N7="",N7="ND",N7="NA"),"",IF(N7="數值",M7,TRIM(MID(M7,LEN(N7)+1,99))))</f>
        <v/>
      </c>
      <c r="P7" s="92">
        <f>IF(O7="","",IFERROR(IF(OR(OR(ISNUMBER(SEARCH("%",O7)),ISNUMBER(SEARCH(" ",O7)),ISNUMBER(SEARCH(",",O7))),OR(SUBSTITUTE(SUBSTITUTE(SUBSTITUTE(SUBSTITUTE(SUBSTITUTE(SUBSTITUTE(SUBSTITUTE(SUBSTITUTE(SUBSTITUTE(SUBSTITUTE(SUBSTITUTE(SUBSTITUTE(SUBSTITUTE(SUBSTITUTE(SUBSTITUTE(SUBSTITUTE(SUBSTITUTE(SUBSTITUTE("x"&amp;O7,"0",""),"1",""),"2",""),"3",""),"4",""),"5",""),"6",""),"7",""),"8",""),"9",""),".",""),"E",""),"+",""),"-",""),"&lt;",""),"&gt;",""),"=","")," ","")&lt;&gt;"x",ISNUMBER(SEARCH("-",SUBSTITUTE(SUBSTITUTE("x"&amp;MID(O7,2,99),"E-","E"),"E+","E"))),ISNUMBER(SEARCH("+",SUBSTITUTE(SUBSTITUTE("x"&amp;MID(O7,2,99),"E-","E"),"E+","E"))))),"",IF(ISNUMBER(AH7),AH7,NA())),""))</f>
        <v/>
      </c>
      <c r="Q7" s="92">
        <f>IF(AND(ISNUMBER(L7),ISNUMBER(P7)),L7*P7,"")</f>
        <v/>
      </c>
      <c r="R7" s="92">
        <f>IF(OR(COUNTA($A7:$D7)=0,U7=0),"",IF(INDEX(DB_05[管制設定值],U7)="","",INDEX(DB_05[管制設定值],U7)))</f>
        <v/>
      </c>
      <c r="S7" s="92">
        <f>IF(OR(COUNTA($A7:$D7)=0,U7=0),"",IF(INDEX(DB_05[監測設定值],U7)="","",INDEX(DB_05[監測設定值],U7)))</f>
        <v/>
      </c>
      <c r="T7" s="92">
        <f>IF(COUNTA($A7:$D7)=0,"",IF(COUNTIFS(DB_04[測項鍵],V7)=1,MATCH(V7,DB_04[測項鍵],0),0))</f>
        <v/>
      </c>
      <c r="U7" s="92">
        <f>IF(COUNTA($A7:$D7)=0,"",IF(COUNTIFS(DB_05[標準鍵],W7)=1,MATCH(W7,DB_05[標準鍵],0),0))</f>
        <v/>
      </c>
      <c r="V7" s="92">
        <f>IF(OR(J7="",A7=""),"",J7&amp;"|"&amp;A7)</f>
        <v/>
      </c>
      <c r="W7" s="92">
        <f>IF(OR('07_QAQC'!$C$3="",V7=""),"",'07_QAQC'!$C$3&amp;"|"&amp;V7)</f>
        <v/>
      </c>
      <c r="X7" s="92">
        <f>IF(OR(H7="",A7=""),"",LEN(H7)&amp;":"&amp;H7&amp;LEN(A7)&amp;":"&amp;A7)</f>
        <v/>
      </c>
      <c r="Y7" s="93">
        <f>IF(COUNTA($A7:$D7)=0,"",IF(I7=0,"樣品未建或重複",IF(INDEX(Samples[樣品檢查],I7)="","OK",INDEX(Samples[樣品檢查],I7))))</f>
        <v/>
      </c>
      <c r="Z7" s="93">
        <f>IF(COUNTA($A7:$D7)=0,"",IF(B7="","缺原始值",IF(OR(B7="-",B7="--"),"無資料",IF(N7="NA","不適用",IF(N7="ND","OK",IF(NOT(ISNUMBER(P7)),"格式待核",IF(AND(N7&lt;&gt;"數值",P7&lt;0),"界限不得為負","OK")))))))</f>
        <v/>
      </c>
      <c r="AA7" s="93">
        <f>IF(COUNTA(A7:D7)=0,"",IF(OR(A7="",H7=""),"缺識別欄位",IF(IF(LEN("="&amp;SUBSTITUTE(SUBSTITUTE(SUBSTITUTE(X7,"~","~~"),"*","~*"),"?","~?"))&lt;=255,COUNTIF(Results[結果識別鍵],"="&amp;SUBSTITUTE(SUBSTITUTE(SUBSTITUTE(X7,"~","~~"),"*","~*"),"?","~?")),COUNTIFS(Results[關聯鍵],"="&amp;SUBSTITUTE(SUBSTITUTE(SUBSTITUTE(H7,"~","~~"),"*","~*"),"?","~?"),Results[分析項目],"="&amp;SUBSTITUTE(SUBSTITUTE(SUBSTITUTE(A7,"~","~~"),"*","~*"),"?","~?")))&gt;1,"同關聯鍵測項重複","OK")))</f>
        <v/>
      </c>
      <c r="AB7" s="93">
        <f>IF(COUNTA($A7:$D7)=0,"",IF(OR(C7="",K7=""),"缺單位",IF(NOT(ISNUMBER(L7)),"單位不相容",IF(L7=1,"OK","已換算"))))</f>
        <v/>
      </c>
      <c r="AC7" s="93">
        <f>IF(COUNTA($A7:$D7)=0,"",IF('07_QAQC'!$C$3="","未選比較版本",IF(U7=0,IF(COUNTIFS(DB_05[標準鍵],W7)&gt;1,"標準鍵重複","未訂此介質／測項門檻"),IF(INDEX(DB_05[版本檢查],U7)&lt;&gt;"OK","標準主檔待核",IF(INDEX(DB_05[標準單位],U7)&lt;&gt;K7,"標準單位不符",IF(INDEX(DB_05[核對狀態],U7)="停用","停用",IF(F7="","缺採樣日期",IF(OR(AND(INDEX(DB_05[生效日],U7)&lt;&gt;"",F7&lt;INDEX(DB_05[生效日],U7)),AND(INDEX(DB_05[失效日],U7)&lt;&gt;"",F7&gt;INDEX(DB_05[失效日],U7))),"日期不適用",INDEX(DB_05[核對狀態],U7)))))))))</f>
        <v/>
      </c>
      <c r="AD7" s="93">
        <f>IF(COUNTA($A7:$D7)=0,"",IF(AC7="未訂此介質／測項門檻",AC7,IF(AC7&lt;&gt;"已核對","標準待核",IF(R7="","未訂管制值",IF(NOT(ISNUMBER(L7)),"單位待核",IF(N7="ND","無法判定（ND無界限）",IF(N7="NA","不適用",IF(Z7&lt;&gt;"OK",Z7,IF(N7="數值",IF(Q7&gt;=R7,"達管制值","未達管制值"),IF(OR(N7="&lt;",N7="&lt;="),IF(OR(Q7&lt;R7,AND(N7="&lt;",Q7=R7)),"未達管制值","無法判定"),IF(OR(N7="&gt;",N7="&gt;="),IF(Q7&gt;=R7,"達管制值","無法判定"),"格式待核")))))))))))</f>
        <v/>
      </c>
      <c r="AE7" s="93">
        <f>IF(COUNTA($A7:$D7)=0,"",IF(AC7="未訂此介質／測項門檻",AC7,IF(AC7&lt;&gt;"已核對","標準待核",IF(S7="","未訂監測值",IF(NOT(ISNUMBER(L7)),"單位待核",IF(N7="ND","無法判定（ND無界限）",IF(N7="NA","不適用",IF(Z7&lt;&gt;"OK",Z7,IF(N7="數值",IF(Q7&gt;=S7,"達監測值","未達監測值"),IF(OR(N7="&lt;",N7="&lt;="),IF(OR(Q7&lt;S7,AND(N7="&lt;",Q7=S7)),"未達監測值","無法判定"),IF(OR(N7="&gt;",N7="&gt;="),IF(Q7&gt;=S7,"達監測值","無法判定"),"格式待核")))))))))))</f>
        <v/>
      </c>
      <c r="AF7" s="93">
        <f>IF(COUNTA($A7:$D7)=0,"",IF(OR(E7="",A7="",B7="",C7=""),"缺必要欄位",IF(Y7&lt;&gt;"OK","樣品資料待補",IF(T7=0,"測項未建或重複",IF(INDEX(DB_04[啟用],T7)&lt;&gt;"是","測項停用",IF(AND(Z7&lt;&gt;"OK",Z7&lt;&gt;"不適用"),Z7,IF(AND(AB7&lt;&gt;"OK",AB7&lt;&gt;"已換算"),"單位待核",IF(AA7&lt;&gt;"OK",AA7,"OK"))))))))</f>
        <v/>
      </c>
      <c r="AG7" s="93">
        <f>IF(COUNTA($A7:$D7)=0,"",IF(N7="ND","ND取0",IF(OR(N7="&lt;",N7="&lt;="),"界限除以2",IF(N7="NA","不適用",IF(OR(N7="&gt;",N7="&gt;="),"保留界限數值","保留原數值")))))</f>
        <v/>
      </c>
      <c r="AH7" s="92">
        <f>IF(O7="","",IFERROR(_xlfn.NUMBERVALUE(O7,".",","),""))</f>
        <v/>
      </c>
      <c r="AI7" s="92">
        <f>IF(H7="","",IFERROR(MATCH(H7,Samples[樣品編號],0),0))</f>
        <v/>
      </c>
    </row>
    <row r="8">
      <c r="A8" s="27" t="inlineStr">
        <is>
          <t>ORP</t>
        </is>
      </c>
      <c r="B8" s="28" t="inlineStr">
        <is>
          <t>70</t>
        </is>
      </c>
      <c r="C8" s="27" t="inlineStr">
        <is>
          <t>mV</t>
        </is>
      </c>
      <c r="D8" s="39" t="inlineStr">
        <is>
          <t>合成資料，非實測；method=field; reference_electrode=Ag/AgCl; calibration=verified</t>
        </is>
      </c>
      <c r="E8" s="29">
        <f>IF(OR(I8="",I8=0),"",IF(INDEX(Samples[監測點],I8)="","",INDEX(Samples[監測點],I8)))</f>
        <v/>
      </c>
      <c r="F8" s="90">
        <f>IF(OR(I8="",I8=0),"",IF(INDEX(Samples[採樣日期],I8)="","",INDEX(Samples[採樣日期],I8)))</f>
        <v/>
      </c>
      <c r="G8" s="91">
        <f>IF(OR(M8="",M8="NA",M8="N/A"),"",IF(OR(M8="ND",M8="N.D."),0,IFERROR(IF(OR(OR(ISNUMBER(SEARCH("%",O8)),ISNUMBER(SEARCH(" ",O8)),ISNUMBER(SEARCH(",",O8))),OR(SUBSTITUTE(SUBSTITUTE(SUBSTITUTE(SUBSTITUTE(SUBSTITUTE(SUBSTITUTE(SUBSTITUTE(SUBSTITUTE(SUBSTITUTE(SUBSTITUTE(SUBSTITUTE(SUBSTITUTE(SUBSTITUTE(SUBSTITUTE(SUBSTITUTE(SUBSTITUTE(SUBSTITUTE(SUBSTITUTE("x"&amp;M8,"0",""),"1",""),"2",""),"3",""),"4",""),"5",""),"6",""),"7",""),"8",""),"9",""),".",""),"E",""),"+",""),"-",""),"&lt;",""),"&gt;",""),"=","")," ","")&lt;&gt;"x",ISNUMBER(SEARCH("-",SUBSTITUTE(SUBSTITUTE("x"&amp;MID(M8,2,99),"E-","E"),"E+","E"))),ISNUMBER(SEARCH("+",SUBSTITUTE(SUBSTITUTE("x"&amp;MID(M8,2,99),"E-","E"),"E+","E"))))),"",IF(AND(OR(LEFT(M8,1)="&lt;",LEFT(M8,1)="&gt;"),IF(O8="",0,IF(ISNUMBER(AH8),AH8,NA()))&lt;0),"",IF(O8="",0,IF(ISNUMBER(AH8),AH8,NA()))/IF(LEFT(M8,1)="&lt;",2,1))),"")))</f>
        <v/>
      </c>
      <c r="H8" s="57" t="inlineStr">
        <is>
          <t>BH01-W_20260115_01</t>
        </is>
      </c>
      <c r="I8" s="92">
        <f>IF(OR(H8="",AI8=0),0,IF(INDEX(Samples[樣品重複筆數],AI8)=1,AI8,0))</f>
        <v/>
      </c>
      <c r="J8" s="92">
        <f>IF(OR(COUNTA($A8:$D8)=0,I8=0),"",IF(INDEX(Samples[介質],I8)="","",INDEX(Samples[介質],I8)))</f>
        <v/>
      </c>
      <c r="K8" s="92">
        <f>IF(OR(COUNTA($A8:$D8)=0,T8=0),"",IF(INDEX(DB_04[標準單位],T8)="","",INDEX(DB_04[標準單位],T8)))</f>
        <v/>
      </c>
      <c r="L8" s="92">
        <f>IF(COUNTA($A8:$D8)=0,"",IF(OR(C8="",K8=""),"",IF(C8=K8,1,IF(COUNTIFS(DB_06[換算鍵],C8&amp;"|"&amp;K8,DB_06[換算檢查],"OK")=1,INDEX(DB_06[乘數],MATCH(C8&amp;"|"&amp;K8,DB_06[換算鍵],0)),""))))</f>
        <v/>
      </c>
      <c r="M8" s="92">
        <f>UPPER(SUBSTITUTE(SUBSTITUTE(SUBSTITUTE(SUBSTITUTE(TRIM(B8&amp;""),"＜","&lt;"),"＞","&gt;"),"≤","&lt;="),"≥","&gt;="))</f>
        <v/>
      </c>
      <c r="N8" s="92">
        <f>IF(M8="","",IF(OR(M8="ND",M8="N.D."),"ND",IF(OR(M8="NA",M8="N/A",M8="N.A."),"NA",IF(OR(LEFT(M8,2)="&lt;=",LEFT(M8,2)="&gt;="),LEFT(M8,2),IF(OR(LEFT(M8,1)="&lt;",LEFT(M8,1)="&gt;"),LEFT(M8,1),"數值")))))</f>
        <v/>
      </c>
      <c r="O8" s="92">
        <f>IF(OR(N8="",N8="ND",N8="NA"),"",IF(N8="數值",M8,TRIM(MID(M8,LEN(N8)+1,99))))</f>
        <v/>
      </c>
      <c r="P8" s="92">
        <f>IF(O8="","",IFERROR(IF(OR(OR(ISNUMBER(SEARCH("%",O8)),ISNUMBER(SEARCH(" ",O8)),ISNUMBER(SEARCH(",",O8))),OR(SUBSTITUTE(SUBSTITUTE(SUBSTITUTE(SUBSTITUTE(SUBSTITUTE(SUBSTITUTE(SUBSTITUTE(SUBSTITUTE(SUBSTITUTE(SUBSTITUTE(SUBSTITUTE(SUBSTITUTE(SUBSTITUTE(SUBSTITUTE(SUBSTITUTE(SUBSTITUTE(SUBSTITUTE(SUBSTITUTE("x"&amp;O8,"0",""),"1",""),"2",""),"3",""),"4",""),"5",""),"6",""),"7",""),"8",""),"9",""),".",""),"E",""),"+",""),"-",""),"&lt;",""),"&gt;",""),"=","")," ","")&lt;&gt;"x",ISNUMBER(SEARCH("-",SUBSTITUTE(SUBSTITUTE("x"&amp;MID(O8,2,99),"E-","E"),"E+","E"))),ISNUMBER(SEARCH("+",SUBSTITUTE(SUBSTITUTE("x"&amp;MID(O8,2,99),"E-","E"),"E+","E"))))),"",IF(ISNUMBER(AH8),AH8,NA())),""))</f>
        <v/>
      </c>
      <c r="Q8" s="92">
        <f>IF(AND(ISNUMBER(L8),ISNUMBER(P8)),L8*P8,"")</f>
        <v/>
      </c>
      <c r="R8" s="92">
        <f>IF(OR(COUNTA($A8:$D8)=0,U8=0),"",IF(INDEX(DB_05[管制設定值],U8)="","",INDEX(DB_05[管制設定值],U8)))</f>
        <v/>
      </c>
      <c r="S8" s="92">
        <f>IF(OR(COUNTA($A8:$D8)=0,U8=0),"",IF(INDEX(DB_05[監測設定值],U8)="","",INDEX(DB_05[監測設定值],U8)))</f>
        <v/>
      </c>
      <c r="T8" s="92">
        <f>IF(COUNTA($A8:$D8)=0,"",IF(COUNTIFS(DB_04[測項鍵],V8)=1,MATCH(V8,DB_04[測項鍵],0),0))</f>
        <v/>
      </c>
      <c r="U8" s="92">
        <f>IF(COUNTA($A8:$D8)=0,"",IF(COUNTIFS(DB_05[標準鍵],W8)=1,MATCH(W8,DB_05[標準鍵],0),0))</f>
        <v/>
      </c>
      <c r="V8" s="92">
        <f>IF(OR(J8="",A8=""),"",J8&amp;"|"&amp;A8)</f>
        <v/>
      </c>
      <c r="W8" s="92">
        <f>IF(OR('07_QAQC'!$C$3="",V8=""),"",'07_QAQC'!$C$3&amp;"|"&amp;V8)</f>
        <v/>
      </c>
      <c r="X8" s="92">
        <f>IF(OR(H8="",A8=""),"",LEN(H8)&amp;":"&amp;H8&amp;LEN(A8)&amp;":"&amp;A8)</f>
        <v/>
      </c>
      <c r="Y8" s="93">
        <f>IF(COUNTA($A8:$D8)=0,"",IF(I8=0,"樣品未建或重複",IF(INDEX(Samples[樣品檢查],I8)="","OK",INDEX(Samples[樣品檢查],I8))))</f>
        <v/>
      </c>
      <c r="Z8" s="93">
        <f>IF(COUNTA($A8:$D8)=0,"",IF(B8="","缺原始值",IF(OR(B8="-",B8="--"),"無資料",IF(N8="NA","不適用",IF(N8="ND","OK",IF(NOT(ISNUMBER(P8)),"格式待核",IF(AND(N8&lt;&gt;"數值",P8&lt;0),"界限不得為負","OK")))))))</f>
        <v/>
      </c>
      <c r="AA8" s="93">
        <f>IF(COUNTA(A8:D8)=0,"",IF(OR(A8="",H8=""),"缺識別欄位",IF(IF(LEN("="&amp;SUBSTITUTE(SUBSTITUTE(SUBSTITUTE(X8,"~","~~"),"*","~*"),"?","~?"))&lt;=255,COUNTIF(Results[結果識別鍵],"="&amp;SUBSTITUTE(SUBSTITUTE(SUBSTITUTE(X8,"~","~~"),"*","~*"),"?","~?")),COUNTIFS(Results[關聯鍵],"="&amp;SUBSTITUTE(SUBSTITUTE(SUBSTITUTE(H8,"~","~~"),"*","~*"),"?","~?"),Results[分析項目],"="&amp;SUBSTITUTE(SUBSTITUTE(SUBSTITUTE(A8,"~","~~"),"*","~*"),"?","~?")))&gt;1,"同關聯鍵測項重複","OK")))</f>
        <v/>
      </c>
      <c r="AB8" s="93">
        <f>IF(COUNTA($A8:$D8)=0,"",IF(OR(C8="",K8=""),"缺單位",IF(NOT(ISNUMBER(L8)),"單位不相容",IF(L8=1,"OK","已換算"))))</f>
        <v/>
      </c>
      <c r="AC8" s="93">
        <f>IF(COUNTA($A8:$D8)=0,"",IF('07_QAQC'!$C$3="","未選比較版本",IF(U8=0,IF(COUNTIFS(DB_05[標準鍵],W8)&gt;1,"標準鍵重複","未訂此介質／測項門檻"),IF(INDEX(DB_05[版本檢查],U8)&lt;&gt;"OK","標準主檔待核",IF(INDEX(DB_05[標準單位],U8)&lt;&gt;K8,"標準單位不符",IF(INDEX(DB_05[核對狀態],U8)="停用","停用",IF(F8="","缺採樣日期",IF(OR(AND(INDEX(DB_05[生效日],U8)&lt;&gt;"",F8&lt;INDEX(DB_05[生效日],U8)),AND(INDEX(DB_05[失效日],U8)&lt;&gt;"",F8&gt;INDEX(DB_05[失效日],U8))),"日期不適用",INDEX(DB_05[核對狀態],U8)))))))))</f>
        <v/>
      </c>
      <c r="AD8" s="93">
        <f>IF(COUNTA($A8:$D8)=0,"",IF(AC8="未訂此介質／測項門檻",AC8,IF(AC8&lt;&gt;"已核對","標準待核",IF(R8="","未訂管制值",IF(NOT(ISNUMBER(L8)),"單位待核",IF(N8="ND","無法判定（ND無界限）",IF(N8="NA","不適用",IF(Z8&lt;&gt;"OK",Z8,IF(N8="數值",IF(Q8&gt;=R8,"達管制值","未達管制值"),IF(OR(N8="&lt;",N8="&lt;="),IF(OR(Q8&lt;R8,AND(N8="&lt;",Q8=R8)),"未達管制值","無法判定"),IF(OR(N8="&gt;",N8="&gt;="),IF(Q8&gt;=R8,"達管制值","無法判定"),"格式待核")))))))))))</f>
        <v/>
      </c>
      <c r="AE8" s="93">
        <f>IF(COUNTA($A8:$D8)=0,"",IF(AC8="未訂此介質／測項門檻",AC8,IF(AC8&lt;&gt;"已核對","標準待核",IF(S8="","未訂監測值",IF(NOT(ISNUMBER(L8)),"單位待核",IF(N8="ND","無法判定（ND無界限）",IF(N8="NA","不適用",IF(Z8&lt;&gt;"OK",Z8,IF(N8="數值",IF(Q8&gt;=S8,"達監測值","未達監測值"),IF(OR(N8="&lt;",N8="&lt;="),IF(OR(Q8&lt;S8,AND(N8="&lt;",Q8=S8)),"未達監測值","無法判定"),IF(OR(N8="&gt;",N8="&gt;="),IF(Q8&gt;=S8,"達監測值","無法判定"),"格式待核")))))))))))</f>
        <v/>
      </c>
      <c r="AF8" s="93">
        <f>IF(COUNTA($A8:$D8)=0,"",IF(OR(E8="",A8="",B8="",C8=""),"缺必要欄位",IF(Y8&lt;&gt;"OK","樣品資料待補",IF(T8=0,"測項未建或重複",IF(INDEX(DB_04[啟用],T8)&lt;&gt;"是","測項停用",IF(AND(Z8&lt;&gt;"OK",Z8&lt;&gt;"不適用"),Z8,IF(AND(AB8&lt;&gt;"OK",AB8&lt;&gt;"已換算"),"單位待核",IF(AA8&lt;&gt;"OK",AA8,"OK"))))))))</f>
        <v/>
      </c>
      <c r="AG8" s="93">
        <f>IF(COUNTA($A8:$D8)=0,"",IF(N8="ND","ND取0",IF(OR(N8="&lt;",N8="&lt;="),"界限除以2",IF(N8="NA","不適用",IF(OR(N8="&gt;",N8="&gt;="),"保留界限數值","保留原數值")))))</f>
        <v/>
      </c>
      <c r="AH8" s="92">
        <f>IF(O8="","",IFERROR(_xlfn.NUMBERVALUE(O8,".",","),""))</f>
        <v/>
      </c>
      <c r="AI8" s="92">
        <f>IF(H8="","",IFERROR(MATCH(H8,Samples[樣品編號],0),0))</f>
        <v/>
      </c>
    </row>
    <row r="9">
      <c r="A9" s="27" t="inlineStr">
        <is>
          <t>總有機碳</t>
        </is>
      </c>
      <c r="B9" s="28" t="inlineStr">
        <is>
          <t>2.2</t>
        </is>
      </c>
      <c r="C9" s="27" t="inlineStr">
        <is>
          <t>mg/L</t>
        </is>
      </c>
      <c r="D9" s="39" t="inlineStr">
        <is>
          <t>合成資料，非實測；method=lab</t>
        </is>
      </c>
      <c r="E9" s="29">
        <f>IF(OR(I9="",I9=0),"",IF(INDEX(Samples[監測點],I9)="","",INDEX(Samples[監測點],I9)))</f>
        <v/>
      </c>
      <c r="F9" s="90">
        <f>IF(OR(I9="",I9=0),"",IF(INDEX(Samples[採樣日期],I9)="","",INDEX(Samples[採樣日期],I9)))</f>
        <v/>
      </c>
      <c r="G9" s="91">
        <f>IF(OR(M9="",M9="NA",M9="N/A"),"",IF(OR(M9="ND",M9="N.D."),0,IFERROR(IF(OR(OR(ISNUMBER(SEARCH("%",O9)),ISNUMBER(SEARCH(" ",O9)),ISNUMBER(SEARCH(",",O9))),OR(SUBSTITUTE(SUBSTITUTE(SUBSTITUTE(SUBSTITUTE(SUBSTITUTE(SUBSTITUTE(SUBSTITUTE(SUBSTITUTE(SUBSTITUTE(SUBSTITUTE(SUBSTITUTE(SUBSTITUTE(SUBSTITUTE(SUBSTITUTE(SUBSTITUTE(SUBSTITUTE(SUBSTITUTE(SUBSTITUTE("x"&amp;M9,"0",""),"1",""),"2",""),"3",""),"4",""),"5",""),"6",""),"7",""),"8",""),"9",""),".",""),"E",""),"+",""),"-",""),"&lt;",""),"&gt;",""),"=","")," ","")&lt;&gt;"x",ISNUMBER(SEARCH("-",SUBSTITUTE(SUBSTITUTE("x"&amp;MID(M9,2,99),"E-","E"),"E+","E"))),ISNUMBER(SEARCH("+",SUBSTITUTE(SUBSTITUTE("x"&amp;MID(M9,2,99),"E-","E"),"E+","E"))))),"",IF(AND(OR(LEFT(M9,1)="&lt;",LEFT(M9,1)="&gt;"),IF(O9="",0,IF(ISNUMBER(AH9),AH9,NA()))&lt;0),"",IF(O9="",0,IF(ISNUMBER(AH9),AH9,NA()))/IF(LEFT(M9,1)="&lt;",2,1))),"")))</f>
        <v/>
      </c>
      <c r="H9" s="57" t="inlineStr">
        <is>
          <t>BH01-W_20260115_01</t>
        </is>
      </c>
      <c r="I9" s="92">
        <f>IF(OR(H9="",AI9=0),0,IF(INDEX(Samples[樣品重複筆數],AI9)=1,AI9,0))</f>
        <v/>
      </c>
      <c r="J9" s="92">
        <f>IF(OR(COUNTA($A9:$D9)=0,I9=0),"",IF(INDEX(Samples[介質],I9)="","",INDEX(Samples[介質],I9)))</f>
        <v/>
      </c>
      <c r="K9" s="92">
        <f>IF(OR(COUNTA($A9:$D9)=0,T9=0),"",IF(INDEX(DB_04[標準單位],T9)="","",INDEX(DB_04[標準單位],T9)))</f>
        <v/>
      </c>
      <c r="L9" s="92">
        <f>IF(COUNTA($A9:$D9)=0,"",IF(OR(C9="",K9=""),"",IF(C9=K9,1,IF(COUNTIFS(DB_06[換算鍵],C9&amp;"|"&amp;K9,DB_06[換算檢查],"OK")=1,INDEX(DB_06[乘數],MATCH(C9&amp;"|"&amp;K9,DB_06[換算鍵],0)),""))))</f>
        <v/>
      </c>
      <c r="M9" s="92">
        <f>UPPER(SUBSTITUTE(SUBSTITUTE(SUBSTITUTE(SUBSTITUTE(TRIM(B9&amp;""),"＜","&lt;"),"＞","&gt;"),"≤","&lt;="),"≥","&gt;="))</f>
        <v/>
      </c>
      <c r="N9" s="92">
        <f>IF(M9="","",IF(OR(M9="ND",M9="N.D."),"ND",IF(OR(M9="NA",M9="N/A",M9="N.A."),"NA",IF(OR(LEFT(M9,2)="&lt;=",LEFT(M9,2)="&gt;="),LEFT(M9,2),IF(OR(LEFT(M9,1)="&lt;",LEFT(M9,1)="&gt;"),LEFT(M9,1),"數值")))))</f>
        <v/>
      </c>
      <c r="O9" s="92">
        <f>IF(OR(N9="",N9="ND",N9="NA"),"",IF(N9="數值",M9,TRIM(MID(M9,LEN(N9)+1,99))))</f>
        <v/>
      </c>
      <c r="P9" s="92">
        <f>IF(O9="","",IFERROR(IF(OR(OR(ISNUMBER(SEARCH("%",O9)),ISNUMBER(SEARCH(" ",O9)),ISNUMBER(SEARCH(",",O9))),OR(SUBSTITUTE(SUBSTITUTE(SUBSTITUTE(SUBSTITUTE(SUBSTITUTE(SUBSTITUTE(SUBSTITUTE(SUBSTITUTE(SUBSTITUTE(SUBSTITUTE(SUBSTITUTE(SUBSTITUTE(SUBSTITUTE(SUBSTITUTE(SUBSTITUTE(SUBSTITUTE(SUBSTITUTE(SUBSTITUTE("x"&amp;O9,"0",""),"1",""),"2",""),"3",""),"4",""),"5",""),"6",""),"7",""),"8",""),"9",""),".",""),"E",""),"+",""),"-",""),"&lt;",""),"&gt;",""),"=","")," ","")&lt;&gt;"x",ISNUMBER(SEARCH("-",SUBSTITUTE(SUBSTITUTE("x"&amp;MID(O9,2,99),"E-","E"),"E+","E"))),ISNUMBER(SEARCH("+",SUBSTITUTE(SUBSTITUTE("x"&amp;MID(O9,2,99),"E-","E"),"E+","E"))))),"",IF(ISNUMBER(AH9),AH9,NA())),""))</f>
        <v/>
      </c>
      <c r="Q9" s="92">
        <f>IF(AND(ISNUMBER(L9),ISNUMBER(P9)),L9*P9,"")</f>
        <v/>
      </c>
      <c r="R9" s="92">
        <f>IF(OR(COUNTA($A9:$D9)=0,U9=0),"",IF(INDEX(DB_05[管制設定值],U9)="","",INDEX(DB_05[管制設定值],U9)))</f>
        <v/>
      </c>
      <c r="S9" s="92">
        <f>IF(OR(COUNTA($A9:$D9)=0,U9=0),"",IF(INDEX(DB_05[監測設定值],U9)="","",INDEX(DB_05[監測設定值],U9)))</f>
        <v/>
      </c>
      <c r="T9" s="92">
        <f>IF(COUNTA($A9:$D9)=0,"",IF(COUNTIFS(DB_04[測項鍵],V9)=1,MATCH(V9,DB_04[測項鍵],0),0))</f>
        <v/>
      </c>
      <c r="U9" s="92">
        <f>IF(COUNTA($A9:$D9)=0,"",IF(COUNTIFS(DB_05[標準鍵],W9)=1,MATCH(W9,DB_05[標準鍵],0),0))</f>
        <v/>
      </c>
      <c r="V9" s="92">
        <f>IF(OR(J9="",A9=""),"",J9&amp;"|"&amp;A9)</f>
        <v/>
      </c>
      <c r="W9" s="92">
        <f>IF(OR('07_QAQC'!$C$3="",V9=""),"",'07_QAQC'!$C$3&amp;"|"&amp;V9)</f>
        <v/>
      </c>
      <c r="X9" s="92">
        <f>IF(OR(H9="",A9=""),"",LEN(H9)&amp;":"&amp;H9&amp;LEN(A9)&amp;":"&amp;A9)</f>
        <v/>
      </c>
      <c r="Y9" s="93">
        <f>IF(COUNTA($A9:$D9)=0,"",IF(I9=0,"樣品未建或重複",IF(INDEX(Samples[樣品檢查],I9)="","OK",INDEX(Samples[樣品檢查],I9))))</f>
        <v/>
      </c>
      <c r="Z9" s="93">
        <f>IF(COUNTA($A9:$D9)=0,"",IF(B9="","缺原始值",IF(OR(B9="-",B9="--"),"無資料",IF(N9="NA","不適用",IF(N9="ND","OK",IF(NOT(ISNUMBER(P9)),"格式待核",IF(AND(N9&lt;&gt;"數值",P9&lt;0),"界限不得為負","OK")))))))</f>
        <v/>
      </c>
      <c r="AA9" s="93">
        <f>IF(COUNTA(A9:D9)=0,"",IF(OR(A9="",H9=""),"缺識別欄位",IF(IF(LEN("="&amp;SUBSTITUTE(SUBSTITUTE(SUBSTITUTE(X9,"~","~~"),"*","~*"),"?","~?"))&lt;=255,COUNTIF(Results[結果識別鍵],"="&amp;SUBSTITUTE(SUBSTITUTE(SUBSTITUTE(X9,"~","~~"),"*","~*"),"?","~?")),COUNTIFS(Results[關聯鍵],"="&amp;SUBSTITUTE(SUBSTITUTE(SUBSTITUTE(H9,"~","~~"),"*","~*"),"?","~?"),Results[分析項目],"="&amp;SUBSTITUTE(SUBSTITUTE(SUBSTITUTE(A9,"~","~~"),"*","~*"),"?","~?")))&gt;1,"同關聯鍵測項重複","OK")))</f>
        <v/>
      </c>
      <c r="AB9" s="93">
        <f>IF(COUNTA($A9:$D9)=0,"",IF(OR(C9="",K9=""),"缺單位",IF(NOT(ISNUMBER(L9)),"單位不相容",IF(L9=1,"OK","已換算"))))</f>
        <v/>
      </c>
      <c r="AC9" s="93">
        <f>IF(COUNTA($A9:$D9)=0,"",IF('07_QAQC'!$C$3="","未選比較版本",IF(U9=0,IF(COUNTIFS(DB_05[標準鍵],W9)&gt;1,"標準鍵重複","未訂此介質／測項門檻"),IF(INDEX(DB_05[版本檢查],U9)&lt;&gt;"OK","標準主檔待核",IF(INDEX(DB_05[標準單位],U9)&lt;&gt;K9,"標準單位不符",IF(INDEX(DB_05[核對狀態],U9)="停用","停用",IF(F9="","缺採樣日期",IF(OR(AND(INDEX(DB_05[生效日],U9)&lt;&gt;"",F9&lt;INDEX(DB_05[生效日],U9)),AND(INDEX(DB_05[失效日],U9)&lt;&gt;"",F9&gt;INDEX(DB_05[失效日],U9))),"日期不適用",INDEX(DB_05[核對狀態],U9)))))))))</f>
        <v/>
      </c>
      <c r="AD9" s="93">
        <f>IF(COUNTA($A9:$D9)=0,"",IF(AC9="未訂此介質／測項門檻",AC9,IF(AC9&lt;&gt;"已核對","標準待核",IF(R9="","未訂管制值",IF(NOT(ISNUMBER(L9)),"單位待核",IF(N9="ND","無法判定（ND無界限）",IF(N9="NA","不適用",IF(Z9&lt;&gt;"OK",Z9,IF(N9="數值",IF(Q9&gt;=R9,"達管制值","未達管制值"),IF(OR(N9="&lt;",N9="&lt;="),IF(OR(Q9&lt;R9,AND(N9="&lt;",Q9=R9)),"未達管制值","無法判定"),IF(OR(N9="&gt;",N9="&gt;="),IF(Q9&gt;=R9,"達管制值","無法判定"),"格式待核")))))))))))</f>
        <v/>
      </c>
      <c r="AE9" s="93">
        <f>IF(COUNTA($A9:$D9)=0,"",IF(AC9="未訂此介質／測項門檻",AC9,IF(AC9&lt;&gt;"已核對","標準待核",IF(S9="","未訂監測值",IF(NOT(ISNUMBER(L9)),"單位待核",IF(N9="ND","無法判定（ND無界限）",IF(N9="NA","不適用",IF(Z9&lt;&gt;"OK",Z9,IF(N9="數值",IF(Q9&gt;=S9,"達監測值","未達監測值"),IF(OR(N9="&lt;",N9="&lt;="),IF(OR(Q9&lt;S9,AND(N9="&lt;",Q9=S9)),"未達監測值","無法判定"),IF(OR(N9="&gt;",N9="&gt;="),IF(Q9&gt;=S9,"達監測值","無法判定"),"格式待核")))))))))))</f>
        <v/>
      </c>
      <c r="AF9" s="93">
        <f>IF(COUNTA($A9:$D9)=0,"",IF(OR(E9="",A9="",B9="",C9=""),"缺必要欄位",IF(Y9&lt;&gt;"OK","樣品資料待補",IF(T9=0,"測項未建或重複",IF(INDEX(DB_04[啟用],T9)&lt;&gt;"是","測項停用",IF(AND(Z9&lt;&gt;"OK",Z9&lt;&gt;"不適用"),Z9,IF(AND(AB9&lt;&gt;"OK",AB9&lt;&gt;"已換算"),"單位待核",IF(AA9&lt;&gt;"OK",AA9,"OK"))))))))</f>
        <v/>
      </c>
      <c r="AG9" s="93">
        <f>IF(COUNTA($A9:$D9)=0,"",IF(N9="ND","ND取0",IF(OR(N9="&lt;",N9="&lt;="),"界限除以2",IF(N9="NA","不適用",IF(OR(N9="&gt;",N9="&gt;="),"保留界限數值","保留原數值")))))</f>
        <v/>
      </c>
      <c r="AH9" s="92">
        <f>IF(O9="","",IFERROR(_xlfn.NUMBERVALUE(O9,".",","),""))</f>
        <v/>
      </c>
      <c r="AI9" s="92">
        <f>IF(H9="","",IFERROR(MATCH(H9,Samples[樣品編號],0),0))</f>
        <v/>
      </c>
    </row>
    <row r="10">
      <c r="A10" s="27" t="inlineStr">
        <is>
          <t>鋅</t>
        </is>
      </c>
      <c r="B10" s="28" t="inlineStr">
        <is>
          <t>96</t>
        </is>
      </c>
      <c r="C10" s="27" t="inlineStr">
        <is>
          <t>mg/kg</t>
        </is>
      </c>
      <c r="D10" s="39" t="inlineStr">
        <is>
          <t>合成資料，非實測；method=XRF; basis=dry</t>
        </is>
      </c>
      <c r="E10" s="29">
        <f>IF(OR(I10="",I10=0),"",IF(INDEX(Samples[監測點],I10)="","",INDEX(Samples[監測點],I10)))</f>
        <v/>
      </c>
      <c r="F10" s="90">
        <f>IF(OR(I10="",I10=0),"",IF(INDEX(Samples[採樣日期],I10)="","",INDEX(Samples[採樣日期],I10)))</f>
        <v/>
      </c>
      <c r="G10" s="91">
        <f>IF(OR(M10="",M10="NA",M10="N/A"),"",IF(OR(M10="ND",M10="N.D."),0,IFERROR(IF(OR(OR(ISNUMBER(SEARCH("%",O10)),ISNUMBER(SEARCH(" ",O10)),ISNUMBER(SEARCH(",",O10))),OR(SUBSTITUTE(SUBSTITUTE(SUBSTITUTE(SUBSTITUTE(SUBSTITUTE(SUBSTITUTE(SUBSTITUTE(SUBSTITUTE(SUBSTITUTE(SUBSTITUTE(SUBSTITUTE(SUBSTITUTE(SUBSTITUTE(SUBSTITUTE(SUBSTITUTE(SUBSTITUTE(SUBSTITUTE(SUBSTITUTE("x"&amp;M10,"0",""),"1",""),"2",""),"3",""),"4",""),"5",""),"6",""),"7",""),"8",""),"9",""),".",""),"E",""),"+",""),"-",""),"&lt;",""),"&gt;",""),"=","")," ","")&lt;&gt;"x",ISNUMBER(SEARCH("-",SUBSTITUTE(SUBSTITUTE("x"&amp;MID(M10,2,99),"E-","E"),"E+","E"))),ISNUMBER(SEARCH("+",SUBSTITUTE(SUBSTITUTE("x"&amp;MID(M10,2,99),"E-","E"),"E+","E"))))),"",IF(AND(OR(LEFT(M10,1)="&lt;",LEFT(M10,1)="&gt;"),IF(O10="",0,IF(ISNUMBER(AH10),AH10,NA()))&lt;0),"",IF(O10="",0,IF(ISNUMBER(AH10),AH10,NA()))/IF(LEFT(M10,1)="&lt;",2,1))),"")))</f>
        <v/>
      </c>
      <c r="H10" s="57" t="inlineStr">
        <is>
          <t>BH01-S_20260115_02</t>
        </is>
      </c>
      <c r="I10" s="92">
        <f>IF(OR(H10="",AI10=0),0,IF(INDEX(Samples[樣品重複筆數],AI10)=1,AI10,0))</f>
        <v/>
      </c>
      <c r="J10" s="92">
        <f>IF(OR(COUNTA($A10:$D10)=0,I10=0),"",IF(INDEX(Samples[介質],I10)="","",INDEX(Samples[介質],I10)))</f>
        <v/>
      </c>
      <c r="K10" s="92">
        <f>IF(OR(COUNTA($A10:$D10)=0,T10=0),"",IF(INDEX(DB_04[標準單位],T10)="","",INDEX(DB_04[標準單位],T10)))</f>
        <v/>
      </c>
      <c r="L10" s="92">
        <f>IF(COUNTA($A10:$D10)=0,"",IF(OR(C10="",K10=""),"",IF(C10=K10,1,IF(COUNTIFS(DB_06[換算鍵],C10&amp;"|"&amp;K10,DB_06[換算檢查],"OK")=1,INDEX(DB_06[乘數],MATCH(C10&amp;"|"&amp;K10,DB_06[換算鍵],0)),""))))</f>
        <v/>
      </c>
      <c r="M10" s="92">
        <f>UPPER(SUBSTITUTE(SUBSTITUTE(SUBSTITUTE(SUBSTITUTE(TRIM(B10&amp;""),"＜","&lt;"),"＞","&gt;"),"≤","&lt;="),"≥","&gt;="))</f>
        <v/>
      </c>
      <c r="N10" s="92">
        <f>IF(M10="","",IF(OR(M10="ND",M10="N.D."),"ND",IF(OR(M10="NA",M10="N/A",M10="N.A."),"NA",IF(OR(LEFT(M10,2)="&lt;=",LEFT(M10,2)="&gt;="),LEFT(M10,2),IF(OR(LEFT(M10,1)="&lt;",LEFT(M10,1)="&gt;"),LEFT(M10,1),"數值")))))</f>
        <v/>
      </c>
      <c r="O10" s="92">
        <f>IF(OR(N10="",N10="ND",N10="NA"),"",IF(N10="數值",M10,TRIM(MID(M10,LEN(N10)+1,99))))</f>
        <v/>
      </c>
      <c r="P10" s="92">
        <f>IF(O10="","",IFERROR(IF(OR(OR(ISNUMBER(SEARCH("%",O10)),ISNUMBER(SEARCH(" ",O10)),ISNUMBER(SEARCH(",",O10))),OR(SUBSTITUTE(SUBSTITUTE(SUBSTITUTE(SUBSTITUTE(SUBSTITUTE(SUBSTITUTE(SUBSTITUTE(SUBSTITUTE(SUBSTITUTE(SUBSTITUTE(SUBSTITUTE(SUBSTITUTE(SUBSTITUTE(SUBSTITUTE(SUBSTITUTE(SUBSTITUTE(SUBSTITUTE(SUBSTITUTE("x"&amp;O10,"0",""),"1",""),"2",""),"3",""),"4",""),"5",""),"6",""),"7",""),"8",""),"9",""),".",""),"E",""),"+",""),"-",""),"&lt;",""),"&gt;",""),"=","")," ","")&lt;&gt;"x",ISNUMBER(SEARCH("-",SUBSTITUTE(SUBSTITUTE("x"&amp;MID(O10,2,99),"E-","E"),"E+","E"))),ISNUMBER(SEARCH("+",SUBSTITUTE(SUBSTITUTE("x"&amp;MID(O10,2,99),"E-","E"),"E+","E"))))),"",IF(ISNUMBER(AH10),AH10,NA())),""))</f>
        <v/>
      </c>
      <c r="Q10" s="92">
        <f>IF(AND(ISNUMBER(L10),ISNUMBER(P10)),L10*P10,"")</f>
        <v/>
      </c>
      <c r="R10" s="92">
        <f>IF(OR(COUNTA($A10:$D10)=0,U10=0),"",IF(INDEX(DB_05[管制設定值],U10)="","",INDEX(DB_05[管制設定值],U10)))</f>
        <v/>
      </c>
      <c r="S10" s="92">
        <f>IF(OR(COUNTA($A10:$D10)=0,U10=0),"",IF(INDEX(DB_05[監測設定值],U10)="","",INDEX(DB_05[監測設定值],U10)))</f>
        <v/>
      </c>
      <c r="T10" s="92">
        <f>IF(COUNTA($A10:$D10)=0,"",IF(COUNTIFS(DB_04[測項鍵],V10)=1,MATCH(V10,DB_04[測項鍵],0),0))</f>
        <v/>
      </c>
      <c r="U10" s="92">
        <f>IF(COUNTA($A10:$D10)=0,"",IF(COUNTIFS(DB_05[標準鍵],W10)=1,MATCH(W10,DB_05[標準鍵],0),0))</f>
        <v/>
      </c>
      <c r="V10" s="92">
        <f>IF(OR(J10="",A10=""),"",J10&amp;"|"&amp;A10)</f>
        <v/>
      </c>
      <c r="W10" s="92">
        <f>IF(OR('07_QAQC'!$C$3="",V10=""),"",'07_QAQC'!$C$3&amp;"|"&amp;V10)</f>
        <v/>
      </c>
      <c r="X10" s="92">
        <f>IF(OR(H10="",A10=""),"",LEN(H10)&amp;":"&amp;H10&amp;LEN(A10)&amp;":"&amp;A10)</f>
        <v/>
      </c>
      <c r="Y10" s="93">
        <f>IF(COUNTA($A10:$D10)=0,"",IF(I10=0,"樣品未建或重複",IF(INDEX(Samples[樣品檢查],I10)="","OK",INDEX(Samples[樣品檢查],I10))))</f>
        <v/>
      </c>
      <c r="Z10" s="93">
        <f>IF(COUNTA($A10:$D10)=0,"",IF(B10="","缺原始值",IF(OR(B10="-",B10="--"),"無資料",IF(N10="NA","不適用",IF(N10="ND","OK",IF(NOT(ISNUMBER(P10)),"格式待核",IF(AND(N10&lt;&gt;"數值",P10&lt;0),"界限不得為負","OK")))))))</f>
        <v/>
      </c>
      <c r="AA10" s="93">
        <f>IF(COUNTA(A10:D10)=0,"",IF(OR(A10="",H10=""),"缺識別欄位",IF(IF(LEN("="&amp;SUBSTITUTE(SUBSTITUTE(SUBSTITUTE(X10,"~","~~"),"*","~*"),"?","~?"))&lt;=255,COUNTIF(Results[結果識別鍵],"="&amp;SUBSTITUTE(SUBSTITUTE(SUBSTITUTE(X10,"~","~~"),"*","~*"),"?","~?")),COUNTIFS(Results[關聯鍵],"="&amp;SUBSTITUTE(SUBSTITUTE(SUBSTITUTE(H10,"~","~~"),"*","~*"),"?","~?"),Results[分析項目],"="&amp;SUBSTITUTE(SUBSTITUTE(SUBSTITUTE(A10,"~","~~"),"*","~*"),"?","~?")))&gt;1,"同關聯鍵測項重複","OK")))</f>
        <v/>
      </c>
      <c r="AB10" s="93">
        <f>IF(COUNTA($A10:$D10)=0,"",IF(OR(C10="",K10=""),"缺單位",IF(NOT(ISNUMBER(L10)),"單位不相容",IF(L10=1,"OK","已換算"))))</f>
        <v/>
      </c>
      <c r="AC10" s="93">
        <f>IF(COUNTA($A10:$D10)=0,"",IF('07_QAQC'!$C$3="","未選比較版本",IF(U10=0,IF(COUNTIFS(DB_05[標準鍵],W10)&gt;1,"標準鍵重複","未訂此介質／測項門檻"),IF(INDEX(DB_05[版本檢查],U10)&lt;&gt;"OK","標準主檔待核",IF(INDEX(DB_05[標準單位],U10)&lt;&gt;K10,"標準單位不符",IF(INDEX(DB_05[核對狀態],U10)="停用","停用",IF(F10="","缺採樣日期",IF(OR(AND(INDEX(DB_05[生效日],U10)&lt;&gt;"",F10&lt;INDEX(DB_05[生效日],U10)),AND(INDEX(DB_05[失效日],U10)&lt;&gt;"",F10&gt;INDEX(DB_05[失效日],U10))),"日期不適用",INDEX(DB_05[核對狀態],U10)))))))))</f>
        <v/>
      </c>
      <c r="AD10" s="93">
        <f>IF(COUNTA($A10:$D10)=0,"",IF(AC10="未訂此介質／測項門檻",AC10,IF(AC10&lt;&gt;"已核對","標準待核",IF(R10="","未訂管制值",IF(NOT(ISNUMBER(L10)),"單位待核",IF(N10="ND","無法判定（ND無界限）",IF(N10="NA","不適用",IF(Z10&lt;&gt;"OK",Z10,IF(N10="數值",IF(Q10&gt;=R10,"達管制值","未達管制值"),IF(OR(N10="&lt;",N10="&lt;="),IF(OR(Q10&lt;R10,AND(N10="&lt;",Q10=R10)),"未達管制值","無法判定"),IF(OR(N10="&gt;",N10="&gt;="),IF(Q10&gt;=R10,"達管制值","無法判定"),"格式待核")))))))))))</f>
        <v/>
      </c>
      <c r="AE10" s="93">
        <f>IF(COUNTA($A10:$D10)=0,"",IF(AC10="未訂此介質／測項門檻",AC10,IF(AC10&lt;&gt;"已核對","標準待核",IF(S10="","未訂監測值",IF(NOT(ISNUMBER(L10)),"單位待核",IF(N10="ND","無法判定（ND無界限）",IF(N10="NA","不適用",IF(Z10&lt;&gt;"OK",Z10,IF(N10="數值",IF(Q10&gt;=S10,"達監測值","未達監測值"),IF(OR(N10="&lt;",N10="&lt;="),IF(OR(Q10&lt;S10,AND(N10="&lt;",Q10=S10)),"未達監測值","無法判定"),IF(OR(N10="&gt;",N10="&gt;="),IF(Q10&gt;=S10,"達監測值","無法判定"),"格式待核")))))))))))</f>
        <v/>
      </c>
      <c r="AF10" s="93">
        <f>IF(COUNTA($A10:$D10)=0,"",IF(OR(E10="",A10="",B10="",C10=""),"缺必要欄位",IF(Y10&lt;&gt;"OK","樣品資料待補",IF(T10=0,"測項未建或重複",IF(INDEX(DB_04[啟用],T10)&lt;&gt;"是","測項停用",IF(AND(Z10&lt;&gt;"OK",Z10&lt;&gt;"不適用"),Z10,IF(AND(AB10&lt;&gt;"OK",AB10&lt;&gt;"已換算"),"單位待核",IF(AA10&lt;&gt;"OK",AA10,"OK"))))))))</f>
        <v/>
      </c>
      <c r="AG10" s="93">
        <f>IF(COUNTA($A10:$D10)=0,"",IF(N10="ND","ND取0",IF(OR(N10="&lt;",N10="&lt;="),"界限除以2",IF(N10="NA","不適用",IF(OR(N10="&gt;",N10="&gt;="),"保留界限數值","保留原數值")))))</f>
        <v/>
      </c>
      <c r="AH10" s="92">
        <f>IF(O10="","",IFERROR(_xlfn.NUMBERVALUE(O10,".",","),""))</f>
        <v/>
      </c>
      <c r="AI10" s="92">
        <f>IF(H10="","",IFERROR(MATCH(H10,Samples[樣品編號],0),0))</f>
        <v/>
      </c>
    </row>
    <row r="11">
      <c r="A11" s="27" t="inlineStr">
        <is>
          <t>總有機碳</t>
        </is>
      </c>
      <c r="B11" s="28" t="inlineStr">
        <is>
          <t>0.29</t>
        </is>
      </c>
      <c r="C11" s="27" t="inlineStr">
        <is>
          <t>%</t>
        </is>
      </c>
      <c r="D11" s="39" t="inlineStr">
        <is>
          <t>合成資料，非實測；method=lab; basis=dry</t>
        </is>
      </c>
      <c r="E11" s="29">
        <f>IF(OR(I11="",I11=0),"",IF(INDEX(Samples[監測點],I11)="","",INDEX(Samples[監測點],I11)))</f>
        <v/>
      </c>
      <c r="F11" s="90">
        <f>IF(OR(I11="",I11=0),"",IF(INDEX(Samples[採樣日期],I11)="","",INDEX(Samples[採樣日期],I11)))</f>
        <v/>
      </c>
      <c r="G11" s="91">
        <f>IF(OR(M11="",M11="NA",M11="N/A"),"",IF(OR(M11="ND",M11="N.D."),0,IFERROR(IF(OR(OR(ISNUMBER(SEARCH("%",O11)),ISNUMBER(SEARCH(" ",O11)),ISNUMBER(SEARCH(",",O11))),OR(SUBSTITUTE(SUBSTITUTE(SUBSTITUTE(SUBSTITUTE(SUBSTITUTE(SUBSTITUTE(SUBSTITUTE(SUBSTITUTE(SUBSTITUTE(SUBSTITUTE(SUBSTITUTE(SUBSTITUTE(SUBSTITUTE(SUBSTITUTE(SUBSTITUTE(SUBSTITUTE(SUBSTITUTE(SUBSTITUTE("x"&amp;M11,"0",""),"1",""),"2",""),"3",""),"4",""),"5",""),"6",""),"7",""),"8",""),"9",""),".",""),"E",""),"+",""),"-",""),"&lt;",""),"&gt;",""),"=","")," ","")&lt;&gt;"x",ISNUMBER(SEARCH("-",SUBSTITUTE(SUBSTITUTE("x"&amp;MID(M11,2,99),"E-","E"),"E+","E"))),ISNUMBER(SEARCH("+",SUBSTITUTE(SUBSTITUTE("x"&amp;MID(M11,2,99),"E-","E"),"E+","E"))))),"",IF(AND(OR(LEFT(M11,1)="&lt;",LEFT(M11,1)="&gt;"),IF(O11="",0,IF(ISNUMBER(AH11),AH11,NA()))&lt;0),"",IF(O11="",0,IF(ISNUMBER(AH11),AH11,NA()))/IF(LEFT(M11,1)="&lt;",2,1))),"")))</f>
        <v/>
      </c>
      <c r="H11" s="57" t="inlineStr">
        <is>
          <t>BH01-S_20260115_02</t>
        </is>
      </c>
      <c r="I11" s="92">
        <f>IF(OR(H11="",AI11=0),0,IF(INDEX(Samples[樣品重複筆數],AI11)=1,AI11,0))</f>
        <v/>
      </c>
      <c r="J11" s="92">
        <f>IF(OR(COUNTA($A11:$D11)=0,I11=0),"",IF(INDEX(Samples[介質],I11)="","",INDEX(Samples[介質],I11)))</f>
        <v/>
      </c>
      <c r="K11" s="92">
        <f>IF(OR(COUNTA($A11:$D11)=0,T11=0),"",IF(INDEX(DB_04[標準單位],T11)="","",INDEX(DB_04[標準單位],T11)))</f>
        <v/>
      </c>
      <c r="L11" s="92">
        <f>IF(COUNTA($A11:$D11)=0,"",IF(OR(C11="",K11=""),"",IF(C11=K11,1,IF(COUNTIFS(DB_06[換算鍵],C11&amp;"|"&amp;K11,DB_06[換算檢查],"OK")=1,INDEX(DB_06[乘數],MATCH(C11&amp;"|"&amp;K11,DB_06[換算鍵],0)),""))))</f>
        <v/>
      </c>
      <c r="M11" s="92">
        <f>UPPER(SUBSTITUTE(SUBSTITUTE(SUBSTITUTE(SUBSTITUTE(TRIM(B11&amp;""),"＜","&lt;"),"＞","&gt;"),"≤","&lt;="),"≥","&gt;="))</f>
        <v/>
      </c>
      <c r="N11" s="92">
        <f>IF(M11="","",IF(OR(M11="ND",M11="N.D."),"ND",IF(OR(M11="NA",M11="N/A",M11="N.A."),"NA",IF(OR(LEFT(M11,2)="&lt;=",LEFT(M11,2)="&gt;="),LEFT(M11,2),IF(OR(LEFT(M11,1)="&lt;",LEFT(M11,1)="&gt;"),LEFT(M11,1),"數值")))))</f>
        <v/>
      </c>
      <c r="O11" s="92">
        <f>IF(OR(N11="",N11="ND",N11="NA"),"",IF(N11="數值",M11,TRIM(MID(M11,LEN(N11)+1,99))))</f>
        <v/>
      </c>
      <c r="P11" s="92">
        <f>IF(O11="","",IFERROR(IF(OR(OR(ISNUMBER(SEARCH("%",O11)),ISNUMBER(SEARCH(" ",O11)),ISNUMBER(SEARCH(",",O11))),OR(SUBSTITUTE(SUBSTITUTE(SUBSTITUTE(SUBSTITUTE(SUBSTITUTE(SUBSTITUTE(SUBSTITUTE(SUBSTITUTE(SUBSTITUTE(SUBSTITUTE(SUBSTITUTE(SUBSTITUTE(SUBSTITUTE(SUBSTITUTE(SUBSTITUTE(SUBSTITUTE(SUBSTITUTE(SUBSTITUTE("x"&amp;O11,"0",""),"1",""),"2",""),"3",""),"4",""),"5",""),"6",""),"7",""),"8",""),"9",""),".",""),"E",""),"+",""),"-",""),"&lt;",""),"&gt;",""),"=","")," ","")&lt;&gt;"x",ISNUMBER(SEARCH("-",SUBSTITUTE(SUBSTITUTE("x"&amp;MID(O11,2,99),"E-","E"),"E+","E"))),ISNUMBER(SEARCH("+",SUBSTITUTE(SUBSTITUTE("x"&amp;MID(O11,2,99),"E-","E"),"E+","E"))))),"",IF(ISNUMBER(AH11),AH11,NA())),""))</f>
        <v/>
      </c>
      <c r="Q11" s="92">
        <f>IF(AND(ISNUMBER(L11),ISNUMBER(P11)),L11*P11,"")</f>
        <v/>
      </c>
      <c r="R11" s="92">
        <f>IF(OR(COUNTA($A11:$D11)=0,U11=0),"",IF(INDEX(DB_05[管制設定值],U11)="","",INDEX(DB_05[管制設定值],U11)))</f>
        <v/>
      </c>
      <c r="S11" s="92">
        <f>IF(OR(COUNTA($A11:$D11)=0,U11=0),"",IF(INDEX(DB_05[監測設定值],U11)="","",INDEX(DB_05[監測設定值],U11)))</f>
        <v/>
      </c>
      <c r="T11" s="92">
        <f>IF(COUNTA($A11:$D11)=0,"",IF(COUNTIFS(DB_04[測項鍵],V11)=1,MATCH(V11,DB_04[測項鍵],0),0))</f>
        <v/>
      </c>
      <c r="U11" s="92">
        <f>IF(COUNTA($A11:$D11)=0,"",IF(COUNTIFS(DB_05[標準鍵],W11)=1,MATCH(W11,DB_05[標準鍵],0),0))</f>
        <v/>
      </c>
      <c r="V11" s="92">
        <f>IF(OR(J11="",A11=""),"",J11&amp;"|"&amp;A11)</f>
        <v/>
      </c>
      <c r="W11" s="92">
        <f>IF(OR('07_QAQC'!$C$3="",V11=""),"",'07_QAQC'!$C$3&amp;"|"&amp;V11)</f>
        <v/>
      </c>
      <c r="X11" s="92">
        <f>IF(OR(H11="",A11=""),"",LEN(H11)&amp;":"&amp;H11&amp;LEN(A11)&amp;":"&amp;A11)</f>
        <v/>
      </c>
      <c r="Y11" s="93">
        <f>IF(COUNTA($A11:$D11)=0,"",IF(I11=0,"樣品未建或重複",IF(INDEX(Samples[樣品檢查],I11)="","OK",INDEX(Samples[樣品檢查],I11))))</f>
        <v/>
      </c>
      <c r="Z11" s="93">
        <f>IF(COUNTA($A11:$D11)=0,"",IF(B11="","缺原始值",IF(OR(B11="-",B11="--"),"無資料",IF(N11="NA","不適用",IF(N11="ND","OK",IF(NOT(ISNUMBER(P11)),"格式待核",IF(AND(N11&lt;&gt;"數值",P11&lt;0),"界限不得為負","OK")))))))</f>
        <v/>
      </c>
      <c r="AA11" s="93">
        <f>IF(COUNTA(A11:D11)=0,"",IF(OR(A11="",H11=""),"缺識別欄位",IF(IF(LEN("="&amp;SUBSTITUTE(SUBSTITUTE(SUBSTITUTE(X11,"~","~~"),"*","~*"),"?","~?"))&lt;=255,COUNTIF(Results[結果識別鍵],"="&amp;SUBSTITUTE(SUBSTITUTE(SUBSTITUTE(X11,"~","~~"),"*","~*"),"?","~?")),COUNTIFS(Results[關聯鍵],"="&amp;SUBSTITUTE(SUBSTITUTE(SUBSTITUTE(H11,"~","~~"),"*","~*"),"?","~?"),Results[分析項目],"="&amp;SUBSTITUTE(SUBSTITUTE(SUBSTITUTE(A11,"~","~~"),"*","~*"),"?","~?")))&gt;1,"同關聯鍵測項重複","OK")))</f>
        <v/>
      </c>
      <c r="AB11" s="93">
        <f>IF(COUNTA($A11:$D11)=0,"",IF(OR(C11="",K11=""),"缺單位",IF(NOT(ISNUMBER(L11)),"單位不相容",IF(L11=1,"OK","已換算"))))</f>
        <v/>
      </c>
      <c r="AC11" s="93">
        <f>IF(COUNTA($A11:$D11)=0,"",IF('07_QAQC'!$C$3="","未選比較版本",IF(U11=0,IF(COUNTIFS(DB_05[標準鍵],W11)&gt;1,"標準鍵重複","未訂此介質／測項門檻"),IF(INDEX(DB_05[版本檢查],U11)&lt;&gt;"OK","標準主檔待核",IF(INDEX(DB_05[標準單位],U11)&lt;&gt;K11,"標準單位不符",IF(INDEX(DB_05[核對狀態],U11)="停用","停用",IF(F11="","缺採樣日期",IF(OR(AND(INDEX(DB_05[生效日],U11)&lt;&gt;"",F11&lt;INDEX(DB_05[生效日],U11)),AND(INDEX(DB_05[失效日],U11)&lt;&gt;"",F11&gt;INDEX(DB_05[失效日],U11))),"日期不適用",INDEX(DB_05[核對狀態],U11)))))))))</f>
        <v/>
      </c>
      <c r="AD11" s="93">
        <f>IF(COUNTA($A11:$D11)=0,"",IF(AC11="未訂此介質／測項門檻",AC11,IF(AC11&lt;&gt;"已核對","標準待核",IF(R11="","未訂管制值",IF(NOT(ISNUMBER(L11)),"單位待核",IF(N11="ND","無法判定（ND無界限）",IF(N11="NA","不適用",IF(Z11&lt;&gt;"OK",Z11,IF(N11="數值",IF(Q11&gt;=R11,"達管制值","未達管制值"),IF(OR(N11="&lt;",N11="&lt;="),IF(OR(Q11&lt;R11,AND(N11="&lt;",Q11=R11)),"未達管制值","無法判定"),IF(OR(N11="&gt;",N11="&gt;="),IF(Q11&gt;=R11,"達管制值","無法判定"),"格式待核")))))))))))</f>
        <v/>
      </c>
      <c r="AE11" s="93">
        <f>IF(COUNTA($A11:$D11)=0,"",IF(AC11="未訂此介質／測項門檻",AC11,IF(AC11&lt;&gt;"已核對","標準待核",IF(S11="","未訂監測值",IF(NOT(ISNUMBER(L11)),"單位待核",IF(N11="ND","無法判定（ND無界限）",IF(N11="NA","不適用",IF(Z11&lt;&gt;"OK",Z11,IF(N11="數值",IF(Q11&gt;=S11,"達監測值","未達監測值"),IF(OR(N11="&lt;",N11="&lt;="),IF(OR(Q11&lt;S11,AND(N11="&lt;",Q11=S11)),"未達監測值","無法判定"),IF(OR(N11="&gt;",N11="&gt;="),IF(Q11&gt;=S11,"達監測值","無法判定"),"格式待核")))))))))))</f>
        <v/>
      </c>
      <c r="AF11" s="93">
        <f>IF(COUNTA($A11:$D11)=0,"",IF(OR(E11="",A11="",B11="",C11=""),"缺必要欄位",IF(Y11&lt;&gt;"OK","樣品資料待補",IF(T11=0,"測項未建或重複",IF(INDEX(DB_04[啟用],T11)&lt;&gt;"是","測項停用",IF(AND(Z11&lt;&gt;"OK",Z11&lt;&gt;"不適用"),Z11,IF(AND(AB11&lt;&gt;"OK",AB11&lt;&gt;"已換算"),"單位待核",IF(AA11&lt;&gt;"OK",AA11,"OK"))))))))</f>
        <v/>
      </c>
      <c r="AG11" s="93">
        <f>IF(COUNTA($A11:$D11)=0,"",IF(N11="ND","ND取0",IF(OR(N11="&lt;",N11="&lt;="),"界限除以2",IF(N11="NA","不適用",IF(OR(N11="&gt;",N11="&gt;="),"保留界限數值","保留原數值")))))</f>
        <v/>
      </c>
      <c r="AH11" s="92">
        <f>IF(O11="","",IFERROR(_xlfn.NUMBERVALUE(O11,".",","),""))</f>
        <v/>
      </c>
      <c r="AI11" s="92">
        <f>IF(H11="","",IFERROR(MATCH(H11,Samples[樣品編號],0),0))</f>
        <v/>
      </c>
    </row>
    <row r="12">
      <c r="A12" s="27" t="inlineStr">
        <is>
          <t>pH</t>
        </is>
      </c>
      <c r="B12" s="28" t="inlineStr">
        <is>
          <t>6.53</t>
        </is>
      </c>
      <c r="C12" s="27" t="inlineStr">
        <is>
          <t>無因次</t>
        </is>
      </c>
      <c r="D12" s="39" t="inlineStr">
        <is>
          <t>合成資料，非實測；method=field</t>
        </is>
      </c>
      <c r="E12" s="29">
        <f>IF(OR(I12="",I12=0),"",IF(INDEX(Samples[監測點],I12)="","",INDEX(Samples[監測點],I12)))</f>
        <v/>
      </c>
      <c r="F12" s="90">
        <f>IF(OR(I12="",I12=0),"",IF(INDEX(Samples[採樣日期],I12)="","",INDEX(Samples[採樣日期],I12)))</f>
        <v/>
      </c>
      <c r="G12" s="91">
        <f>IF(OR(M12="",M12="NA",M12="N/A"),"",IF(OR(M12="ND",M12="N.D."),0,IFERROR(IF(OR(OR(ISNUMBER(SEARCH("%",O12)),ISNUMBER(SEARCH(" ",O12)),ISNUMBER(SEARCH(",",O12))),OR(SUBSTITUTE(SUBSTITUTE(SUBSTITUTE(SUBSTITUTE(SUBSTITUTE(SUBSTITUTE(SUBSTITUTE(SUBSTITUTE(SUBSTITUTE(SUBSTITUTE(SUBSTITUTE(SUBSTITUTE(SUBSTITUTE(SUBSTITUTE(SUBSTITUTE(SUBSTITUTE(SUBSTITUTE(SUBSTITUTE("x"&amp;M12,"0",""),"1",""),"2",""),"3",""),"4",""),"5",""),"6",""),"7",""),"8",""),"9",""),".",""),"E",""),"+",""),"-",""),"&lt;",""),"&gt;",""),"=","")," ","")&lt;&gt;"x",ISNUMBER(SEARCH("-",SUBSTITUTE(SUBSTITUTE("x"&amp;MID(M12,2,99),"E-","E"),"E+","E"))),ISNUMBER(SEARCH("+",SUBSTITUTE(SUBSTITUTE("x"&amp;MID(M12,2,99),"E-","E"),"E+","E"))))),"",IF(AND(OR(LEFT(M12,1)="&lt;",LEFT(M12,1)="&gt;"),IF(O12="",0,IF(ISNUMBER(AH12),AH12,NA()))&lt;0),"",IF(O12="",0,IF(ISNUMBER(AH12),AH12,NA()))/IF(LEFT(M12,1)="&lt;",2,1))),"")))</f>
        <v/>
      </c>
      <c r="H12" s="57" t="inlineStr">
        <is>
          <t>BH01-W_20260115_02</t>
        </is>
      </c>
      <c r="I12" s="92">
        <f>IF(OR(H12="",AI12=0),0,IF(INDEX(Samples[樣品重複筆數],AI12)=1,AI12,0))</f>
        <v/>
      </c>
      <c r="J12" s="92">
        <f>IF(OR(COUNTA($A12:$D12)=0,I12=0),"",IF(INDEX(Samples[介質],I12)="","",INDEX(Samples[介質],I12)))</f>
        <v/>
      </c>
      <c r="K12" s="92">
        <f>IF(OR(COUNTA($A12:$D12)=0,T12=0),"",IF(INDEX(DB_04[標準單位],T12)="","",INDEX(DB_04[標準單位],T12)))</f>
        <v/>
      </c>
      <c r="L12" s="92">
        <f>IF(COUNTA($A12:$D12)=0,"",IF(OR(C12="",K12=""),"",IF(C12=K12,1,IF(COUNTIFS(DB_06[換算鍵],C12&amp;"|"&amp;K12,DB_06[換算檢查],"OK")=1,INDEX(DB_06[乘數],MATCH(C12&amp;"|"&amp;K12,DB_06[換算鍵],0)),""))))</f>
        <v/>
      </c>
      <c r="M12" s="92">
        <f>UPPER(SUBSTITUTE(SUBSTITUTE(SUBSTITUTE(SUBSTITUTE(TRIM(B12&amp;""),"＜","&lt;"),"＞","&gt;"),"≤","&lt;="),"≥","&gt;="))</f>
        <v/>
      </c>
      <c r="N12" s="92">
        <f>IF(M12="","",IF(OR(M12="ND",M12="N.D."),"ND",IF(OR(M12="NA",M12="N/A",M12="N.A."),"NA",IF(OR(LEFT(M12,2)="&lt;=",LEFT(M12,2)="&gt;="),LEFT(M12,2),IF(OR(LEFT(M12,1)="&lt;",LEFT(M12,1)="&gt;"),LEFT(M12,1),"數值")))))</f>
        <v/>
      </c>
      <c r="O12" s="92">
        <f>IF(OR(N12="",N12="ND",N12="NA"),"",IF(N12="數值",M12,TRIM(MID(M12,LEN(N12)+1,99))))</f>
        <v/>
      </c>
      <c r="P12" s="92">
        <f>IF(O12="","",IFERROR(IF(OR(OR(ISNUMBER(SEARCH("%",O12)),ISNUMBER(SEARCH(" ",O12)),ISNUMBER(SEARCH(",",O12))),OR(SUBSTITUTE(SUBSTITUTE(SUBSTITUTE(SUBSTITUTE(SUBSTITUTE(SUBSTITUTE(SUBSTITUTE(SUBSTITUTE(SUBSTITUTE(SUBSTITUTE(SUBSTITUTE(SUBSTITUTE(SUBSTITUTE(SUBSTITUTE(SUBSTITUTE(SUBSTITUTE(SUBSTITUTE(SUBSTITUTE("x"&amp;O12,"0",""),"1",""),"2",""),"3",""),"4",""),"5",""),"6",""),"7",""),"8",""),"9",""),".",""),"E",""),"+",""),"-",""),"&lt;",""),"&gt;",""),"=","")," ","")&lt;&gt;"x",ISNUMBER(SEARCH("-",SUBSTITUTE(SUBSTITUTE("x"&amp;MID(O12,2,99),"E-","E"),"E+","E"))),ISNUMBER(SEARCH("+",SUBSTITUTE(SUBSTITUTE("x"&amp;MID(O12,2,99),"E-","E"),"E+","E"))))),"",IF(ISNUMBER(AH12),AH12,NA())),""))</f>
        <v/>
      </c>
      <c r="Q12" s="92">
        <f>IF(AND(ISNUMBER(L12),ISNUMBER(P12)),L12*P12,"")</f>
        <v/>
      </c>
      <c r="R12" s="92">
        <f>IF(OR(COUNTA($A12:$D12)=0,U12=0),"",IF(INDEX(DB_05[管制設定值],U12)="","",INDEX(DB_05[管制設定值],U12)))</f>
        <v/>
      </c>
      <c r="S12" s="92">
        <f>IF(OR(COUNTA($A12:$D12)=0,U12=0),"",IF(INDEX(DB_05[監測設定值],U12)="","",INDEX(DB_05[監測設定值],U12)))</f>
        <v/>
      </c>
      <c r="T12" s="92">
        <f>IF(COUNTA($A12:$D12)=0,"",IF(COUNTIFS(DB_04[測項鍵],V12)=1,MATCH(V12,DB_04[測項鍵],0),0))</f>
        <v/>
      </c>
      <c r="U12" s="92">
        <f>IF(COUNTA($A12:$D12)=0,"",IF(COUNTIFS(DB_05[標準鍵],W12)=1,MATCH(W12,DB_05[標準鍵],0),0))</f>
        <v/>
      </c>
      <c r="V12" s="92">
        <f>IF(OR(J12="",A12=""),"",J12&amp;"|"&amp;A12)</f>
        <v/>
      </c>
      <c r="W12" s="92">
        <f>IF(OR('07_QAQC'!$C$3="",V12=""),"",'07_QAQC'!$C$3&amp;"|"&amp;V12)</f>
        <v/>
      </c>
      <c r="X12" s="92">
        <f>IF(OR(H12="",A12=""),"",LEN(H12)&amp;":"&amp;H12&amp;LEN(A12)&amp;":"&amp;A12)</f>
        <v/>
      </c>
      <c r="Y12" s="93">
        <f>IF(COUNTA($A12:$D12)=0,"",IF(I12=0,"樣品未建或重複",IF(INDEX(Samples[樣品檢查],I12)="","OK",INDEX(Samples[樣品檢查],I12))))</f>
        <v/>
      </c>
      <c r="Z12" s="93">
        <f>IF(COUNTA($A12:$D12)=0,"",IF(B12="","缺原始值",IF(OR(B12="-",B12="--"),"無資料",IF(N12="NA","不適用",IF(N12="ND","OK",IF(NOT(ISNUMBER(P12)),"格式待核",IF(AND(N12&lt;&gt;"數值",P12&lt;0),"界限不得為負","OK")))))))</f>
        <v/>
      </c>
      <c r="AA12" s="93">
        <f>IF(COUNTA(A12:D12)=0,"",IF(OR(A12="",H12=""),"缺識別欄位",IF(IF(LEN("="&amp;SUBSTITUTE(SUBSTITUTE(SUBSTITUTE(X12,"~","~~"),"*","~*"),"?","~?"))&lt;=255,COUNTIF(Results[結果識別鍵],"="&amp;SUBSTITUTE(SUBSTITUTE(SUBSTITUTE(X12,"~","~~"),"*","~*"),"?","~?")),COUNTIFS(Results[關聯鍵],"="&amp;SUBSTITUTE(SUBSTITUTE(SUBSTITUTE(H12,"~","~~"),"*","~*"),"?","~?"),Results[分析項目],"="&amp;SUBSTITUTE(SUBSTITUTE(SUBSTITUTE(A12,"~","~~"),"*","~*"),"?","~?")))&gt;1,"同關聯鍵測項重複","OK")))</f>
        <v/>
      </c>
      <c r="AB12" s="93">
        <f>IF(COUNTA($A12:$D12)=0,"",IF(OR(C12="",K12=""),"缺單位",IF(NOT(ISNUMBER(L12)),"單位不相容",IF(L12=1,"OK","已換算"))))</f>
        <v/>
      </c>
      <c r="AC12" s="93">
        <f>IF(COUNTA($A12:$D12)=0,"",IF('07_QAQC'!$C$3="","未選比較版本",IF(U12=0,IF(COUNTIFS(DB_05[標準鍵],W12)&gt;1,"標準鍵重複","未訂此介質／測項門檻"),IF(INDEX(DB_05[版本檢查],U12)&lt;&gt;"OK","標準主檔待核",IF(INDEX(DB_05[標準單位],U12)&lt;&gt;K12,"標準單位不符",IF(INDEX(DB_05[核對狀態],U12)="停用","停用",IF(F12="","缺採樣日期",IF(OR(AND(INDEX(DB_05[生效日],U12)&lt;&gt;"",F12&lt;INDEX(DB_05[生效日],U12)),AND(INDEX(DB_05[失效日],U12)&lt;&gt;"",F12&gt;INDEX(DB_05[失效日],U12))),"日期不適用",INDEX(DB_05[核對狀態],U12)))))))))</f>
        <v/>
      </c>
      <c r="AD12" s="93">
        <f>IF(COUNTA($A12:$D12)=0,"",IF(AC12="未訂此介質／測項門檻",AC12,IF(AC12&lt;&gt;"已核對","標準待核",IF(R12="","未訂管制值",IF(NOT(ISNUMBER(L12)),"單位待核",IF(N12="ND","無法判定（ND無界限）",IF(N12="NA","不適用",IF(Z12&lt;&gt;"OK",Z12,IF(N12="數值",IF(Q12&gt;=R12,"達管制值","未達管制值"),IF(OR(N12="&lt;",N12="&lt;="),IF(OR(Q12&lt;R12,AND(N12="&lt;",Q12=R12)),"未達管制值","無法判定"),IF(OR(N12="&gt;",N12="&gt;="),IF(Q12&gt;=R12,"達管制值","無法判定"),"格式待核")))))))))))</f>
        <v/>
      </c>
      <c r="AE12" s="93">
        <f>IF(COUNTA($A12:$D12)=0,"",IF(AC12="未訂此介質／測項門檻",AC12,IF(AC12&lt;&gt;"已核對","標準待核",IF(S12="","未訂監測值",IF(NOT(ISNUMBER(L12)),"單位待核",IF(N12="ND","無法判定（ND無界限）",IF(N12="NA","不適用",IF(Z12&lt;&gt;"OK",Z12,IF(N12="數值",IF(Q12&gt;=S12,"達監測值","未達監測值"),IF(OR(N12="&lt;",N12="&lt;="),IF(OR(Q12&lt;S12,AND(N12="&lt;",Q12=S12)),"未達監測值","無法判定"),IF(OR(N12="&gt;",N12="&gt;="),IF(Q12&gt;=S12,"達監測值","無法判定"),"格式待核")))))))))))</f>
        <v/>
      </c>
      <c r="AF12" s="93">
        <f>IF(COUNTA($A12:$D12)=0,"",IF(OR(E12="",A12="",B12="",C12=""),"缺必要欄位",IF(Y12&lt;&gt;"OK","樣品資料待補",IF(T12=0,"測項未建或重複",IF(INDEX(DB_04[啟用],T12)&lt;&gt;"是","測項停用",IF(AND(Z12&lt;&gt;"OK",Z12&lt;&gt;"不適用"),Z12,IF(AND(AB12&lt;&gt;"OK",AB12&lt;&gt;"已換算"),"單位待核",IF(AA12&lt;&gt;"OK",AA12,"OK"))))))))</f>
        <v/>
      </c>
      <c r="AG12" s="93">
        <f>IF(COUNTA($A12:$D12)=0,"",IF(N12="ND","ND取0",IF(OR(N12="&lt;",N12="&lt;="),"界限除以2",IF(N12="NA","不適用",IF(OR(N12="&gt;",N12="&gt;="),"保留界限數值","保留原數值")))))</f>
        <v/>
      </c>
      <c r="AH12" s="92">
        <f>IF(O12="","",IFERROR(_xlfn.NUMBERVALUE(O12,".",","),""))</f>
        <v/>
      </c>
      <c r="AI12" s="92">
        <f>IF(H12="","",IFERROR(MATCH(H12,Samples[樣品編號],0),0))</f>
        <v/>
      </c>
    </row>
    <row r="13">
      <c r="A13" s="27" t="inlineStr">
        <is>
          <t>EC</t>
        </is>
      </c>
      <c r="B13" s="28" t="inlineStr">
        <is>
          <t>0.53</t>
        </is>
      </c>
      <c r="C13" s="27" t="inlineStr">
        <is>
          <t>mS/cm</t>
        </is>
      </c>
      <c r="D13" s="39" t="inlineStr">
        <is>
          <t>合成資料，非實測；method=field; temperature=25; temperature_compensated=25C; reference_temperature=25</t>
        </is>
      </c>
      <c r="E13" s="29">
        <f>IF(OR(I13="",I13=0),"",IF(INDEX(Samples[監測點],I13)="","",INDEX(Samples[監測點],I13)))</f>
        <v/>
      </c>
      <c r="F13" s="90">
        <f>IF(OR(I13="",I13=0),"",IF(INDEX(Samples[採樣日期],I13)="","",INDEX(Samples[採樣日期],I13)))</f>
        <v/>
      </c>
      <c r="G13" s="91">
        <f>IF(OR(M13="",M13="NA",M13="N/A"),"",IF(OR(M13="ND",M13="N.D."),0,IFERROR(IF(OR(OR(ISNUMBER(SEARCH("%",O13)),ISNUMBER(SEARCH(" ",O13)),ISNUMBER(SEARCH(",",O13))),OR(SUBSTITUTE(SUBSTITUTE(SUBSTITUTE(SUBSTITUTE(SUBSTITUTE(SUBSTITUTE(SUBSTITUTE(SUBSTITUTE(SUBSTITUTE(SUBSTITUTE(SUBSTITUTE(SUBSTITUTE(SUBSTITUTE(SUBSTITUTE(SUBSTITUTE(SUBSTITUTE(SUBSTITUTE(SUBSTITUTE("x"&amp;M13,"0",""),"1",""),"2",""),"3",""),"4",""),"5",""),"6",""),"7",""),"8",""),"9",""),".",""),"E",""),"+",""),"-",""),"&lt;",""),"&gt;",""),"=","")," ","")&lt;&gt;"x",ISNUMBER(SEARCH("-",SUBSTITUTE(SUBSTITUTE("x"&amp;MID(M13,2,99),"E-","E"),"E+","E"))),ISNUMBER(SEARCH("+",SUBSTITUTE(SUBSTITUTE("x"&amp;MID(M13,2,99),"E-","E"),"E+","E"))))),"",IF(AND(OR(LEFT(M13,1)="&lt;",LEFT(M13,1)="&gt;"),IF(O13="",0,IF(ISNUMBER(AH13),AH13,NA()))&lt;0),"",IF(O13="",0,IF(ISNUMBER(AH13),AH13,NA()))/IF(LEFT(M13,1)="&lt;",2,1))),"")))</f>
        <v/>
      </c>
      <c r="H13" s="57" t="inlineStr">
        <is>
          <t>BH01-W_20260115_02</t>
        </is>
      </c>
      <c r="I13" s="92">
        <f>IF(OR(H13="",AI13=0),0,IF(INDEX(Samples[樣品重複筆數],AI13)=1,AI13,0))</f>
        <v/>
      </c>
      <c r="J13" s="92">
        <f>IF(OR(COUNTA($A13:$D13)=0,I13=0),"",IF(INDEX(Samples[介質],I13)="","",INDEX(Samples[介質],I13)))</f>
        <v/>
      </c>
      <c r="K13" s="92">
        <f>IF(OR(COUNTA($A13:$D13)=0,T13=0),"",IF(INDEX(DB_04[標準單位],T13)="","",INDEX(DB_04[標準單位],T13)))</f>
        <v/>
      </c>
      <c r="L13" s="92">
        <f>IF(COUNTA($A13:$D13)=0,"",IF(OR(C13="",K13=""),"",IF(C13=K13,1,IF(COUNTIFS(DB_06[換算鍵],C13&amp;"|"&amp;K13,DB_06[換算檢查],"OK")=1,INDEX(DB_06[乘數],MATCH(C13&amp;"|"&amp;K13,DB_06[換算鍵],0)),""))))</f>
        <v/>
      </c>
      <c r="M13" s="92">
        <f>UPPER(SUBSTITUTE(SUBSTITUTE(SUBSTITUTE(SUBSTITUTE(TRIM(B13&amp;""),"＜","&lt;"),"＞","&gt;"),"≤","&lt;="),"≥","&gt;="))</f>
        <v/>
      </c>
      <c r="N13" s="92">
        <f>IF(M13="","",IF(OR(M13="ND",M13="N.D."),"ND",IF(OR(M13="NA",M13="N/A",M13="N.A."),"NA",IF(OR(LEFT(M13,2)="&lt;=",LEFT(M13,2)="&gt;="),LEFT(M13,2),IF(OR(LEFT(M13,1)="&lt;",LEFT(M13,1)="&gt;"),LEFT(M13,1),"數值")))))</f>
        <v/>
      </c>
      <c r="O13" s="92">
        <f>IF(OR(N13="",N13="ND",N13="NA"),"",IF(N13="數值",M13,TRIM(MID(M13,LEN(N13)+1,99))))</f>
        <v/>
      </c>
      <c r="P13" s="92">
        <f>IF(O13="","",IFERROR(IF(OR(OR(ISNUMBER(SEARCH("%",O13)),ISNUMBER(SEARCH(" ",O13)),ISNUMBER(SEARCH(",",O13))),OR(SUBSTITUTE(SUBSTITUTE(SUBSTITUTE(SUBSTITUTE(SUBSTITUTE(SUBSTITUTE(SUBSTITUTE(SUBSTITUTE(SUBSTITUTE(SUBSTITUTE(SUBSTITUTE(SUBSTITUTE(SUBSTITUTE(SUBSTITUTE(SUBSTITUTE(SUBSTITUTE(SUBSTITUTE(SUBSTITUTE("x"&amp;O13,"0",""),"1",""),"2",""),"3",""),"4",""),"5",""),"6",""),"7",""),"8",""),"9",""),".",""),"E",""),"+",""),"-",""),"&lt;",""),"&gt;",""),"=","")," ","")&lt;&gt;"x",ISNUMBER(SEARCH("-",SUBSTITUTE(SUBSTITUTE("x"&amp;MID(O13,2,99),"E-","E"),"E+","E"))),ISNUMBER(SEARCH("+",SUBSTITUTE(SUBSTITUTE("x"&amp;MID(O13,2,99),"E-","E"),"E+","E"))))),"",IF(ISNUMBER(AH13),AH13,NA())),""))</f>
        <v/>
      </c>
      <c r="Q13" s="92">
        <f>IF(AND(ISNUMBER(L13),ISNUMBER(P13)),L13*P13,"")</f>
        <v/>
      </c>
      <c r="R13" s="92">
        <f>IF(OR(COUNTA($A13:$D13)=0,U13=0),"",IF(INDEX(DB_05[管制設定值],U13)="","",INDEX(DB_05[管制設定值],U13)))</f>
        <v/>
      </c>
      <c r="S13" s="92">
        <f>IF(OR(COUNTA($A13:$D13)=0,U13=0),"",IF(INDEX(DB_05[監測設定值],U13)="","",INDEX(DB_05[監測設定值],U13)))</f>
        <v/>
      </c>
      <c r="T13" s="92">
        <f>IF(COUNTA($A13:$D13)=0,"",IF(COUNTIFS(DB_04[測項鍵],V13)=1,MATCH(V13,DB_04[測項鍵],0),0))</f>
        <v/>
      </c>
      <c r="U13" s="92">
        <f>IF(COUNTA($A13:$D13)=0,"",IF(COUNTIFS(DB_05[標準鍵],W13)=1,MATCH(W13,DB_05[標準鍵],0),0))</f>
        <v/>
      </c>
      <c r="V13" s="92">
        <f>IF(OR(J13="",A13=""),"",J13&amp;"|"&amp;A13)</f>
        <v/>
      </c>
      <c r="W13" s="92">
        <f>IF(OR('07_QAQC'!$C$3="",V13=""),"",'07_QAQC'!$C$3&amp;"|"&amp;V13)</f>
        <v/>
      </c>
      <c r="X13" s="92">
        <f>IF(OR(H13="",A13=""),"",LEN(H13)&amp;":"&amp;H13&amp;LEN(A13)&amp;":"&amp;A13)</f>
        <v/>
      </c>
      <c r="Y13" s="93">
        <f>IF(COUNTA($A13:$D13)=0,"",IF(I13=0,"樣品未建或重複",IF(INDEX(Samples[樣品檢查],I13)="","OK",INDEX(Samples[樣品檢查],I13))))</f>
        <v/>
      </c>
      <c r="Z13" s="93">
        <f>IF(COUNTA($A13:$D13)=0,"",IF(B13="","缺原始值",IF(OR(B13="-",B13="--"),"無資料",IF(N13="NA","不適用",IF(N13="ND","OK",IF(NOT(ISNUMBER(P13)),"格式待核",IF(AND(N13&lt;&gt;"數值",P13&lt;0),"界限不得為負","OK")))))))</f>
        <v/>
      </c>
      <c r="AA13" s="93">
        <f>IF(COUNTA(A13:D13)=0,"",IF(OR(A13="",H13=""),"缺識別欄位",IF(IF(LEN("="&amp;SUBSTITUTE(SUBSTITUTE(SUBSTITUTE(X13,"~","~~"),"*","~*"),"?","~?"))&lt;=255,COUNTIF(Results[結果識別鍵],"="&amp;SUBSTITUTE(SUBSTITUTE(SUBSTITUTE(X13,"~","~~"),"*","~*"),"?","~?")),COUNTIFS(Results[關聯鍵],"="&amp;SUBSTITUTE(SUBSTITUTE(SUBSTITUTE(H13,"~","~~"),"*","~*"),"?","~?"),Results[分析項目],"="&amp;SUBSTITUTE(SUBSTITUTE(SUBSTITUTE(A13,"~","~~"),"*","~*"),"?","~?")))&gt;1,"同關聯鍵測項重複","OK")))</f>
        <v/>
      </c>
      <c r="AB13" s="93">
        <f>IF(COUNTA($A13:$D13)=0,"",IF(OR(C13="",K13=""),"缺單位",IF(NOT(ISNUMBER(L13)),"單位不相容",IF(L13=1,"OK","已換算"))))</f>
        <v/>
      </c>
      <c r="AC13" s="93">
        <f>IF(COUNTA($A13:$D13)=0,"",IF('07_QAQC'!$C$3="","未選比較版本",IF(U13=0,IF(COUNTIFS(DB_05[標準鍵],W13)&gt;1,"標準鍵重複","未訂此介質／測項門檻"),IF(INDEX(DB_05[版本檢查],U13)&lt;&gt;"OK","標準主檔待核",IF(INDEX(DB_05[標準單位],U13)&lt;&gt;K13,"標準單位不符",IF(INDEX(DB_05[核對狀態],U13)="停用","停用",IF(F13="","缺採樣日期",IF(OR(AND(INDEX(DB_05[生效日],U13)&lt;&gt;"",F13&lt;INDEX(DB_05[生效日],U13)),AND(INDEX(DB_05[失效日],U13)&lt;&gt;"",F13&gt;INDEX(DB_05[失效日],U13))),"日期不適用",INDEX(DB_05[核對狀態],U13)))))))))</f>
        <v/>
      </c>
      <c r="AD13" s="93">
        <f>IF(COUNTA($A13:$D13)=0,"",IF(AC13="未訂此介質／測項門檻",AC13,IF(AC13&lt;&gt;"已核對","標準待核",IF(R13="","未訂管制值",IF(NOT(ISNUMBER(L13)),"單位待核",IF(N13="ND","無法判定（ND無界限）",IF(N13="NA","不適用",IF(Z13&lt;&gt;"OK",Z13,IF(N13="數值",IF(Q13&gt;=R13,"達管制值","未達管制值"),IF(OR(N13="&lt;",N13="&lt;="),IF(OR(Q13&lt;R13,AND(N13="&lt;",Q13=R13)),"未達管制值","無法判定"),IF(OR(N13="&gt;",N13="&gt;="),IF(Q13&gt;=R13,"達管制值","無法判定"),"格式待核")))))))))))</f>
        <v/>
      </c>
      <c r="AE13" s="93">
        <f>IF(COUNTA($A13:$D13)=0,"",IF(AC13="未訂此介質／測項門檻",AC13,IF(AC13&lt;&gt;"已核對","標準待核",IF(S13="","未訂監測值",IF(NOT(ISNUMBER(L13)),"單位待核",IF(N13="ND","無法判定（ND無界限）",IF(N13="NA","不適用",IF(Z13&lt;&gt;"OK",Z13,IF(N13="數值",IF(Q13&gt;=S13,"達監測值","未達監測值"),IF(OR(N13="&lt;",N13="&lt;="),IF(OR(Q13&lt;S13,AND(N13="&lt;",Q13=S13)),"未達監測值","無法判定"),IF(OR(N13="&gt;",N13="&gt;="),IF(Q13&gt;=S13,"達監測值","無法判定"),"格式待核")))))))))))</f>
        <v/>
      </c>
      <c r="AF13" s="93">
        <f>IF(COUNTA($A13:$D13)=0,"",IF(OR(E13="",A13="",B13="",C13=""),"缺必要欄位",IF(Y13&lt;&gt;"OK","樣品資料待補",IF(T13=0,"測項未建或重複",IF(INDEX(DB_04[啟用],T13)&lt;&gt;"是","測項停用",IF(AND(Z13&lt;&gt;"OK",Z13&lt;&gt;"不適用"),Z13,IF(AND(AB13&lt;&gt;"OK",AB13&lt;&gt;"已換算"),"單位待核",IF(AA13&lt;&gt;"OK",AA13,"OK"))))))))</f>
        <v/>
      </c>
      <c r="AG13" s="93">
        <f>IF(COUNTA($A13:$D13)=0,"",IF(N13="ND","ND取0",IF(OR(N13="&lt;",N13="&lt;="),"界限除以2",IF(N13="NA","不適用",IF(OR(N13="&gt;",N13="&gt;="),"保留界限數值","保留原數值")))))</f>
        <v/>
      </c>
      <c r="AH13" s="92">
        <f>IF(O13="","",IFERROR(_xlfn.NUMBERVALUE(O13,".",","),""))</f>
        <v/>
      </c>
      <c r="AI13" s="92">
        <f>IF(H13="","",IFERROR(MATCH(H13,Samples[樣品編號],0),0))</f>
        <v/>
      </c>
    </row>
    <row r="14">
      <c r="A14" s="27" t="inlineStr">
        <is>
          <t>DO</t>
        </is>
      </c>
      <c r="B14" s="28" t="inlineStr">
        <is>
          <t>5.7</t>
        </is>
      </c>
      <c r="C14" s="27" t="inlineStr">
        <is>
          <t>mg/L</t>
        </is>
      </c>
      <c r="D14" s="39" t="inlineStr">
        <is>
          <t>合成資料，非實測；method=field</t>
        </is>
      </c>
      <c r="E14" s="29">
        <f>IF(OR(I14="",I14=0),"",IF(INDEX(Samples[監測點],I14)="","",INDEX(Samples[監測點],I14)))</f>
        <v/>
      </c>
      <c r="F14" s="90">
        <f>IF(OR(I14="",I14=0),"",IF(INDEX(Samples[採樣日期],I14)="","",INDEX(Samples[採樣日期],I14)))</f>
        <v/>
      </c>
      <c r="G14" s="91">
        <f>IF(OR(M14="",M14="NA",M14="N/A"),"",IF(OR(M14="ND",M14="N.D."),0,IFERROR(IF(OR(OR(ISNUMBER(SEARCH("%",O14)),ISNUMBER(SEARCH(" ",O14)),ISNUMBER(SEARCH(",",O14))),OR(SUBSTITUTE(SUBSTITUTE(SUBSTITUTE(SUBSTITUTE(SUBSTITUTE(SUBSTITUTE(SUBSTITUTE(SUBSTITUTE(SUBSTITUTE(SUBSTITUTE(SUBSTITUTE(SUBSTITUTE(SUBSTITUTE(SUBSTITUTE(SUBSTITUTE(SUBSTITUTE(SUBSTITUTE(SUBSTITUTE("x"&amp;M14,"0",""),"1",""),"2",""),"3",""),"4",""),"5",""),"6",""),"7",""),"8",""),"9",""),".",""),"E",""),"+",""),"-",""),"&lt;",""),"&gt;",""),"=","")," ","")&lt;&gt;"x",ISNUMBER(SEARCH("-",SUBSTITUTE(SUBSTITUTE("x"&amp;MID(M14,2,99),"E-","E"),"E+","E"))),ISNUMBER(SEARCH("+",SUBSTITUTE(SUBSTITUTE("x"&amp;MID(M14,2,99),"E-","E"),"E+","E"))))),"",IF(AND(OR(LEFT(M14,1)="&lt;",LEFT(M14,1)="&gt;"),IF(O14="",0,IF(ISNUMBER(AH14),AH14,NA()))&lt;0),"",IF(O14="",0,IF(ISNUMBER(AH14),AH14,NA()))/IF(LEFT(M14,1)="&lt;",2,1))),"")))</f>
        <v/>
      </c>
      <c r="H14" s="57" t="inlineStr">
        <is>
          <t>BH01-W_20260115_02</t>
        </is>
      </c>
      <c r="I14" s="92">
        <f>IF(OR(H14="",AI14=0),0,IF(INDEX(Samples[樣品重複筆數],AI14)=1,AI14,0))</f>
        <v/>
      </c>
      <c r="J14" s="92">
        <f>IF(OR(COUNTA($A14:$D14)=0,I14=0),"",IF(INDEX(Samples[介質],I14)="","",INDEX(Samples[介質],I14)))</f>
        <v/>
      </c>
      <c r="K14" s="92">
        <f>IF(OR(COUNTA($A14:$D14)=0,T14=0),"",IF(INDEX(DB_04[標準單位],T14)="","",INDEX(DB_04[標準單位],T14)))</f>
        <v/>
      </c>
      <c r="L14" s="92">
        <f>IF(COUNTA($A14:$D14)=0,"",IF(OR(C14="",K14=""),"",IF(C14=K14,1,IF(COUNTIFS(DB_06[換算鍵],C14&amp;"|"&amp;K14,DB_06[換算檢查],"OK")=1,INDEX(DB_06[乘數],MATCH(C14&amp;"|"&amp;K14,DB_06[換算鍵],0)),""))))</f>
        <v/>
      </c>
      <c r="M14" s="92">
        <f>UPPER(SUBSTITUTE(SUBSTITUTE(SUBSTITUTE(SUBSTITUTE(TRIM(B14&amp;""),"＜","&lt;"),"＞","&gt;"),"≤","&lt;="),"≥","&gt;="))</f>
        <v/>
      </c>
      <c r="N14" s="92">
        <f>IF(M14="","",IF(OR(M14="ND",M14="N.D."),"ND",IF(OR(M14="NA",M14="N/A",M14="N.A."),"NA",IF(OR(LEFT(M14,2)="&lt;=",LEFT(M14,2)="&gt;="),LEFT(M14,2),IF(OR(LEFT(M14,1)="&lt;",LEFT(M14,1)="&gt;"),LEFT(M14,1),"數值")))))</f>
        <v/>
      </c>
      <c r="O14" s="92">
        <f>IF(OR(N14="",N14="ND",N14="NA"),"",IF(N14="數值",M14,TRIM(MID(M14,LEN(N14)+1,99))))</f>
        <v/>
      </c>
      <c r="P14" s="92">
        <f>IF(O14="","",IFERROR(IF(OR(OR(ISNUMBER(SEARCH("%",O14)),ISNUMBER(SEARCH(" ",O14)),ISNUMBER(SEARCH(",",O14))),OR(SUBSTITUTE(SUBSTITUTE(SUBSTITUTE(SUBSTITUTE(SUBSTITUTE(SUBSTITUTE(SUBSTITUTE(SUBSTITUTE(SUBSTITUTE(SUBSTITUTE(SUBSTITUTE(SUBSTITUTE(SUBSTITUTE(SUBSTITUTE(SUBSTITUTE(SUBSTITUTE(SUBSTITUTE(SUBSTITUTE("x"&amp;O14,"0",""),"1",""),"2",""),"3",""),"4",""),"5",""),"6",""),"7",""),"8",""),"9",""),".",""),"E",""),"+",""),"-",""),"&lt;",""),"&gt;",""),"=","")," ","")&lt;&gt;"x",ISNUMBER(SEARCH("-",SUBSTITUTE(SUBSTITUTE("x"&amp;MID(O14,2,99),"E-","E"),"E+","E"))),ISNUMBER(SEARCH("+",SUBSTITUTE(SUBSTITUTE("x"&amp;MID(O14,2,99),"E-","E"),"E+","E"))))),"",IF(ISNUMBER(AH14),AH14,NA())),""))</f>
        <v/>
      </c>
      <c r="Q14" s="92">
        <f>IF(AND(ISNUMBER(L14),ISNUMBER(P14)),L14*P14,"")</f>
        <v/>
      </c>
      <c r="R14" s="92">
        <f>IF(OR(COUNTA($A14:$D14)=0,U14=0),"",IF(INDEX(DB_05[管制設定值],U14)="","",INDEX(DB_05[管制設定值],U14)))</f>
        <v/>
      </c>
      <c r="S14" s="92">
        <f>IF(OR(COUNTA($A14:$D14)=0,U14=0),"",IF(INDEX(DB_05[監測設定值],U14)="","",INDEX(DB_05[監測設定值],U14)))</f>
        <v/>
      </c>
      <c r="T14" s="92">
        <f>IF(COUNTA($A14:$D14)=0,"",IF(COUNTIFS(DB_04[測項鍵],V14)=1,MATCH(V14,DB_04[測項鍵],0),0))</f>
        <v/>
      </c>
      <c r="U14" s="92">
        <f>IF(COUNTA($A14:$D14)=0,"",IF(COUNTIFS(DB_05[標準鍵],W14)=1,MATCH(W14,DB_05[標準鍵],0),0))</f>
        <v/>
      </c>
      <c r="V14" s="92">
        <f>IF(OR(J14="",A14=""),"",J14&amp;"|"&amp;A14)</f>
        <v/>
      </c>
      <c r="W14" s="92">
        <f>IF(OR('07_QAQC'!$C$3="",V14=""),"",'07_QAQC'!$C$3&amp;"|"&amp;V14)</f>
        <v/>
      </c>
      <c r="X14" s="92">
        <f>IF(OR(H14="",A14=""),"",LEN(H14)&amp;":"&amp;H14&amp;LEN(A14)&amp;":"&amp;A14)</f>
        <v/>
      </c>
      <c r="Y14" s="93">
        <f>IF(COUNTA($A14:$D14)=0,"",IF(I14=0,"樣品未建或重複",IF(INDEX(Samples[樣品檢查],I14)="","OK",INDEX(Samples[樣品檢查],I14))))</f>
        <v/>
      </c>
      <c r="Z14" s="93">
        <f>IF(COUNTA($A14:$D14)=0,"",IF(B14="","缺原始值",IF(OR(B14="-",B14="--"),"無資料",IF(N14="NA","不適用",IF(N14="ND","OK",IF(NOT(ISNUMBER(P14)),"格式待核",IF(AND(N14&lt;&gt;"數值",P14&lt;0),"界限不得為負","OK")))))))</f>
        <v/>
      </c>
      <c r="AA14" s="93">
        <f>IF(COUNTA(A14:D14)=0,"",IF(OR(A14="",H14=""),"缺識別欄位",IF(IF(LEN("="&amp;SUBSTITUTE(SUBSTITUTE(SUBSTITUTE(X14,"~","~~"),"*","~*"),"?","~?"))&lt;=255,COUNTIF(Results[結果識別鍵],"="&amp;SUBSTITUTE(SUBSTITUTE(SUBSTITUTE(X14,"~","~~"),"*","~*"),"?","~?")),COUNTIFS(Results[關聯鍵],"="&amp;SUBSTITUTE(SUBSTITUTE(SUBSTITUTE(H14,"~","~~"),"*","~*"),"?","~?"),Results[分析項目],"="&amp;SUBSTITUTE(SUBSTITUTE(SUBSTITUTE(A14,"~","~~"),"*","~*"),"?","~?")))&gt;1,"同關聯鍵測項重複","OK")))</f>
        <v/>
      </c>
      <c r="AB14" s="93">
        <f>IF(COUNTA($A14:$D14)=0,"",IF(OR(C14="",K14=""),"缺單位",IF(NOT(ISNUMBER(L14)),"單位不相容",IF(L14=1,"OK","已換算"))))</f>
        <v/>
      </c>
      <c r="AC14" s="93">
        <f>IF(COUNTA($A14:$D14)=0,"",IF('07_QAQC'!$C$3="","未選比較版本",IF(U14=0,IF(COUNTIFS(DB_05[標準鍵],W14)&gt;1,"標準鍵重複","未訂此介質／測項門檻"),IF(INDEX(DB_05[版本檢查],U14)&lt;&gt;"OK","標準主檔待核",IF(INDEX(DB_05[標準單位],U14)&lt;&gt;K14,"標準單位不符",IF(INDEX(DB_05[核對狀態],U14)="停用","停用",IF(F14="","缺採樣日期",IF(OR(AND(INDEX(DB_05[生效日],U14)&lt;&gt;"",F14&lt;INDEX(DB_05[生效日],U14)),AND(INDEX(DB_05[失效日],U14)&lt;&gt;"",F14&gt;INDEX(DB_05[失效日],U14))),"日期不適用",INDEX(DB_05[核對狀態],U14)))))))))</f>
        <v/>
      </c>
      <c r="AD14" s="93">
        <f>IF(COUNTA($A14:$D14)=0,"",IF(AC14="未訂此介質／測項門檻",AC14,IF(AC14&lt;&gt;"已核對","標準待核",IF(R14="","未訂管制值",IF(NOT(ISNUMBER(L14)),"單位待核",IF(N14="ND","無法判定（ND無界限）",IF(N14="NA","不適用",IF(Z14&lt;&gt;"OK",Z14,IF(N14="數值",IF(Q14&gt;=R14,"達管制值","未達管制值"),IF(OR(N14="&lt;",N14="&lt;="),IF(OR(Q14&lt;R14,AND(N14="&lt;",Q14=R14)),"未達管制值","無法判定"),IF(OR(N14="&gt;",N14="&gt;="),IF(Q14&gt;=R14,"達管制值","無法判定"),"格式待核")))))))))))</f>
        <v/>
      </c>
      <c r="AE14" s="93">
        <f>IF(COUNTA($A14:$D14)=0,"",IF(AC14="未訂此介質／測項門檻",AC14,IF(AC14&lt;&gt;"已核對","標準待核",IF(S14="","未訂監測值",IF(NOT(ISNUMBER(L14)),"單位待核",IF(N14="ND","無法判定（ND無界限）",IF(N14="NA","不適用",IF(Z14&lt;&gt;"OK",Z14,IF(N14="數值",IF(Q14&gt;=S14,"達監測值","未達監測值"),IF(OR(N14="&lt;",N14="&lt;="),IF(OR(Q14&lt;S14,AND(N14="&lt;",Q14=S14)),"未達監測值","無法判定"),IF(OR(N14="&gt;",N14="&gt;="),IF(Q14&gt;=S14,"達監測值","無法判定"),"格式待核")))))))))))</f>
        <v/>
      </c>
      <c r="AF14" s="93">
        <f>IF(COUNTA($A14:$D14)=0,"",IF(OR(E14="",A14="",B14="",C14=""),"缺必要欄位",IF(Y14&lt;&gt;"OK","樣品資料待補",IF(T14=0,"測項未建或重複",IF(INDEX(DB_04[啟用],T14)&lt;&gt;"是","測項停用",IF(AND(Z14&lt;&gt;"OK",Z14&lt;&gt;"不適用"),Z14,IF(AND(AB14&lt;&gt;"OK",AB14&lt;&gt;"已換算"),"單位待核",IF(AA14&lt;&gt;"OK",AA14,"OK"))))))))</f>
        <v/>
      </c>
      <c r="AG14" s="93">
        <f>IF(COUNTA($A14:$D14)=0,"",IF(N14="ND","ND取0",IF(OR(N14="&lt;",N14="&lt;="),"界限除以2",IF(N14="NA","不適用",IF(OR(N14="&gt;",N14="&gt;="),"保留界限數值","保留原數值")))))</f>
        <v/>
      </c>
      <c r="AH14" s="92">
        <f>IF(O14="","",IFERROR(_xlfn.NUMBERVALUE(O14,".",","),""))</f>
        <v/>
      </c>
      <c r="AI14" s="92">
        <f>IF(H14="","",IFERROR(MATCH(H14,Samples[樣品編號],0),0))</f>
        <v/>
      </c>
    </row>
    <row r="15">
      <c r="A15" s="27" t="inlineStr">
        <is>
          <t>溶氧飽和度</t>
        </is>
      </c>
      <c r="B15" s="28" t="inlineStr">
        <is>
          <t>69</t>
        </is>
      </c>
      <c r="C15" s="27" t="inlineStr">
        <is>
          <t>%</t>
        </is>
      </c>
      <c r="D15" s="39" t="inlineStr">
        <is>
          <t>合成資料，非實測；method=field</t>
        </is>
      </c>
      <c r="E15" s="29">
        <f>IF(OR(I15="",I15=0),"",IF(INDEX(Samples[監測點],I15)="","",INDEX(Samples[監測點],I15)))</f>
        <v/>
      </c>
      <c r="F15" s="90">
        <f>IF(OR(I15="",I15=0),"",IF(INDEX(Samples[採樣日期],I15)="","",INDEX(Samples[採樣日期],I15)))</f>
        <v/>
      </c>
      <c r="G15" s="91">
        <f>IF(OR(M15="",M15="NA",M15="N/A"),"",IF(OR(M15="ND",M15="N.D."),0,IFERROR(IF(OR(OR(ISNUMBER(SEARCH("%",O15)),ISNUMBER(SEARCH(" ",O15)),ISNUMBER(SEARCH(",",O15))),OR(SUBSTITUTE(SUBSTITUTE(SUBSTITUTE(SUBSTITUTE(SUBSTITUTE(SUBSTITUTE(SUBSTITUTE(SUBSTITUTE(SUBSTITUTE(SUBSTITUTE(SUBSTITUTE(SUBSTITUTE(SUBSTITUTE(SUBSTITUTE(SUBSTITUTE(SUBSTITUTE(SUBSTITUTE(SUBSTITUTE("x"&amp;M15,"0",""),"1",""),"2",""),"3",""),"4",""),"5",""),"6",""),"7",""),"8",""),"9",""),".",""),"E",""),"+",""),"-",""),"&lt;",""),"&gt;",""),"=","")," ","")&lt;&gt;"x",ISNUMBER(SEARCH("-",SUBSTITUTE(SUBSTITUTE("x"&amp;MID(M15,2,99),"E-","E"),"E+","E"))),ISNUMBER(SEARCH("+",SUBSTITUTE(SUBSTITUTE("x"&amp;MID(M15,2,99),"E-","E"),"E+","E"))))),"",IF(AND(OR(LEFT(M15,1)="&lt;",LEFT(M15,1)="&gt;"),IF(O15="",0,IF(ISNUMBER(AH15),AH15,NA()))&lt;0),"",IF(O15="",0,IF(ISNUMBER(AH15),AH15,NA()))/IF(LEFT(M15,1)="&lt;",2,1))),"")))</f>
        <v/>
      </c>
      <c r="H15" s="57" t="inlineStr">
        <is>
          <t>BH01-W_20260115_02</t>
        </is>
      </c>
      <c r="I15" s="92">
        <f>IF(OR(H15="",AI15=0),0,IF(INDEX(Samples[樣品重複筆數],AI15)=1,AI15,0))</f>
        <v/>
      </c>
      <c r="J15" s="92">
        <f>IF(OR(COUNTA($A15:$D15)=0,I15=0),"",IF(INDEX(Samples[介質],I15)="","",INDEX(Samples[介質],I15)))</f>
        <v/>
      </c>
      <c r="K15" s="92">
        <f>IF(OR(COUNTA($A15:$D15)=0,T15=0),"",IF(INDEX(DB_04[標準單位],T15)="","",INDEX(DB_04[標準單位],T15)))</f>
        <v/>
      </c>
      <c r="L15" s="92">
        <f>IF(COUNTA($A15:$D15)=0,"",IF(OR(C15="",K15=""),"",IF(C15=K15,1,IF(COUNTIFS(DB_06[換算鍵],C15&amp;"|"&amp;K15,DB_06[換算檢查],"OK")=1,INDEX(DB_06[乘數],MATCH(C15&amp;"|"&amp;K15,DB_06[換算鍵],0)),""))))</f>
        <v/>
      </c>
      <c r="M15" s="92">
        <f>UPPER(SUBSTITUTE(SUBSTITUTE(SUBSTITUTE(SUBSTITUTE(TRIM(B15&amp;""),"＜","&lt;"),"＞","&gt;"),"≤","&lt;="),"≥","&gt;="))</f>
        <v/>
      </c>
      <c r="N15" s="92">
        <f>IF(M15="","",IF(OR(M15="ND",M15="N.D."),"ND",IF(OR(M15="NA",M15="N/A",M15="N.A."),"NA",IF(OR(LEFT(M15,2)="&lt;=",LEFT(M15,2)="&gt;="),LEFT(M15,2),IF(OR(LEFT(M15,1)="&lt;",LEFT(M15,1)="&gt;"),LEFT(M15,1),"數值")))))</f>
        <v/>
      </c>
      <c r="O15" s="92">
        <f>IF(OR(N15="",N15="ND",N15="NA"),"",IF(N15="數值",M15,TRIM(MID(M15,LEN(N15)+1,99))))</f>
        <v/>
      </c>
      <c r="P15" s="92">
        <f>IF(O15="","",IFERROR(IF(OR(OR(ISNUMBER(SEARCH("%",O15)),ISNUMBER(SEARCH(" ",O15)),ISNUMBER(SEARCH(",",O15))),OR(SUBSTITUTE(SUBSTITUTE(SUBSTITUTE(SUBSTITUTE(SUBSTITUTE(SUBSTITUTE(SUBSTITUTE(SUBSTITUTE(SUBSTITUTE(SUBSTITUTE(SUBSTITUTE(SUBSTITUTE(SUBSTITUTE(SUBSTITUTE(SUBSTITUTE(SUBSTITUTE(SUBSTITUTE(SUBSTITUTE("x"&amp;O15,"0",""),"1",""),"2",""),"3",""),"4",""),"5",""),"6",""),"7",""),"8",""),"9",""),".",""),"E",""),"+",""),"-",""),"&lt;",""),"&gt;",""),"=","")," ","")&lt;&gt;"x",ISNUMBER(SEARCH("-",SUBSTITUTE(SUBSTITUTE("x"&amp;MID(O15,2,99),"E-","E"),"E+","E"))),ISNUMBER(SEARCH("+",SUBSTITUTE(SUBSTITUTE("x"&amp;MID(O15,2,99),"E-","E"),"E+","E"))))),"",IF(ISNUMBER(AH15),AH15,NA())),""))</f>
        <v/>
      </c>
      <c r="Q15" s="92">
        <f>IF(AND(ISNUMBER(L15),ISNUMBER(P15)),L15*P15,"")</f>
        <v/>
      </c>
      <c r="R15" s="92">
        <f>IF(OR(COUNTA($A15:$D15)=0,U15=0),"",IF(INDEX(DB_05[管制設定值],U15)="","",INDEX(DB_05[管制設定值],U15)))</f>
        <v/>
      </c>
      <c r="S15" s="92">
        <f>IF(OR(COUNTA($A15:$D15)=0,U15=0),"",IF(INDEX(DB_05[監測設定值],U15)="","",INDEX(DB_05[監測設定值],U15)))</f>
        <v/>
      </c>
      <c r="T15" s="92">
        <f>IF(COUNTA($A15:$D15)=0,"",IF(COUNTIFS(DB_04[測項鍵],V15)=1,MATCH(V15,DB_04[測項鍵],0),0))</f>
        <v/>
      </c>
      <c r="U15" s="92">
        <f>IF(COUNTA($A15:$D15)=0,"",IF(COUNTIFS(DB_05[標準鍵],W15)=1,MATCH(W15,DB_05[標準鍵],0),0))</f>
        <v/>
      </c>
      <c r="V15" s="92">
        <f>IF(OR(J15="",A15=""),"",J15&amp;"|"&amp;A15)</f>
        <v/>
      </c>
      <c r="W15" s="92">
        <f>IF(OR('07_QAQC'!$C$3="",V15=""),"",'07_QAQC'!$C$3&amp;"|"&amp;V15)</f>
        <v/>
      </c>
      <c r="X15" s="92">
        <f>IF(OR(H15="",A15=""),"",LEN(H15)&amp;":"&amp;H15&amp;LEN(A15)&amp;":"&amp;A15)</f>
        <v/>
      </c>
      <c r="Y15" s="93">
        <f>IF(COUNTA($A15:$D15)=0,"",IF(I15=0,"樣品未建或重複",IF(INDEX(Samples[樣品檢查],I15)="","OK",INDEX(Samples[樣品檢查],I15))))</f>
        <v/>
      </c>
      <c r="Z15" s="93">
        <f>IF(COUNTA($A15:$D15)=0,"",IF(B15="","缺原始值",IF(OR(B15="-",B15="--"),"無資料",IF(N15="NA","不適用",IF(N15="ND","OK",IF(NOT(ISNUMBER(P15)),"格式待核",IF(AND(N15&lt;&gt;"數值",P15&lt;0),"界限不得為負","OK")))))))</f>
        <v/>
      </c>
      <c r="AA15" s="93">
        <f>IF(COUNTA(A15:D15)=0,"",IF(OR(A15="",H15=""),"缺識別欄位",IF(IF(LEN("="&amp;SUBSTITUTE(SUBSTITUTE(SUBSTITUTE(X15,"~","~~"),"*","~*"),"?","~?"))&lt;=255,COUNTIF(Results[結果識別鍵],"="&amp;SUBSTITUTE(SUBSTITUTE(SUBSTITUTE(X15,"~","~~"),"*","~*"),"?","~?")),COUNTIFS(Results[關聯鍵],"="&amp;SUBSTITUTE(SUBSTITUTE(SUBSTITUTE(H15,"~","~~"),"*","~*"),"?","~?"),Results[分析項目],"="&amp;SUBSTITUTE(SUBSTITUTE(SUBSTITUTE(A15,"~","~~"),"*","~*"),"?","~?")))&gt;1,"同關聯鍵測項重複","OK")))</f>
        <v/>
      </c>
      <c r="AB15" s="93">
        <f>IF(COUNTA($A15:$D15)=0,"",IF(OR(C15="",K15=""),"缺單位",IF(NOT(ISNUMBER(L15)),"單位不相容",IF(L15=1,"OK","已換算"))))</f>
        <v/>
      </c>
      <c r="AC15" s="93">
        <f>IF(COUNTA($A15:$D15)=0,"",IF('07_QAQC'!$C$3="","未選比較版本",IF(U15=0,IF(COUNTIFS(DB_05[標準鍵],W15)&gt;1,"標準鍵重複","未訂此介質／測項門檻"),IF(INDEX(DB_05[版本檢查],U15)&lt;&gt;"OK","標準主檔待核",IF(INDEX(DB_05[標準單位],U15)&lt;&gt;K15,"標準單位不符",IF(INDEX(DB_05[核對狀態],U15)="停用","停用",IF(F15="","缺採樣日期",IF(OR(AND(INDEX(DB_05[生效日],U15)&lt;&gt;"",F15&lt;INDEX(DB_05[生效日],U15)),AND(INDEX(DB_05[失效日],U15)&lt;&gt;"",F15&gt;INDEX(DB_05[失效日],U15))),"日期不適用",INDEX(DB_05[核對狀態],U15)))))))))</f>
        <v/>
      </c>
      <c r="AD15" s="93">
        <f>IF(COUNTA($A15:$D15)=0,"",IF(AC15="未訂此介質／測項門檻",AC15,IF(AC15&lt;&gt;"已核對","標準待核",IF(R15="","未訂管制值",IF(NOT(ISNUMBER(L15)),"單位待核",IF(N15="ND","無法判定（ND無界限）",IF(N15="NA","不適用",IF(Z15&lt;&gt;"OK",Z15,IF(N15="數值",IF(Q15&gt;=R15,"達管制值","未達管制值"),IF(OR(N15="&lt;",N15="&lt;="),IF(OR(Q15&lt;R15,AND(N15="&lt;",Q15=R15)),"未達管制值","無法判定"),IF(OR(N15="&gt;",N15="&gt;="),IF(Q15&gt;=R15,"達管制值","無法判定"),"格式待核")))))))))))</f>
        <v/>
      </c>
      <c r="AE15" s="93">
        <f>IF(COUNTA($A15:$D15)=0,"",IF(AC15="未訂此介質／測項門檻",AC15,IF(AC15&lt;&gt;"已核對","標準待核",IF(S15="","未訂監測值",IF(NOT(ISNUMBER(L15)),"單位待核",IF(N15="ND","無法判定（ND無界限）",IF(N15="NA","不適用",IF(Z15&lt;&gt;"OK",Z15,IF(N15="數值",IF(Q15&gt;=S15,"達監測值","未達監測值"),IF(OR(N15="&lt;",N15="&lt;="),IF(OR(Q15&lt;S15,AND(N15="&lt;",Q15=S15)),"未達監測值","無法判定"),IF(OR(N15="&gt;",N15="&gt;="),IF(Q15&gt;=S15,"達監測值","無法判定"),"格式待核")))))))))))</f>
        <v/>
      </c>
      <c r="AF15" s="93">
        <f>IF(COUNTA($A15:$D15)=0,"",IF(OR(E15="",A15="",B15="",C15=""),"缺必要欄位",IF(Y15&lt;&gt;"OK","樣品資料待補",IF(T15=0,"測項未建或重複",IF(INDEX(DB_04[啟用],T15)&lt;&gt;"是","測項停用",IF(AND(Z15&lt;&gt;"OK",Z15&lt;&gt;"不適用"),Z15,IF(AND(AB15&lt;&gt;"OK",AB15&lt;&gt;"已換算"),"單位待核",IF(AA15&lt;&gt;"OK",AA15,"OK"))))))))</f>
        <v/>
      </c>
      <c r="AG15" s="93">
        <f>IF(COUNTA($A15:$D15)=0,"",IF(N15="ND","ND取0",IF(OR(N15="&lt;",N15="&lt;="),"界限除以2",IF(N15="NA","不適用",IF(OR(N15="&gt;",N15="&gt;="),"保留界限數值","保留原數值")))))</f>
        <v/>
      </c>
      <c r="AH15" s="92">
        <f>IF(O15="","",IFERROR(_xlfn.NUMBERVALUE(O15,".",","),""))</f>
        <v/>
      </c>
      <c r="AI15" s="92">
        <f>IF(H15="","",IFERROR(MATCH(H15,Samples[樣品編號],0),0))</f>
        <v/>
      </c>
    </row>
    <row r="16">
      <c r="A16" s="27" t="inlineStr">
        <is>
          <t>ORP</t>
        </is>
      </c>
      <c r="B16" s="28" t="inlineStr">
        <is>
          <t>35</t>
        </is>
      </c>
      <c r="C16" s="27" t="inlineStr">
        <is>
          <t>mV</t>
        </is>
      </c>
      <c r="D16" s="39" t="inlineStr">
        <is>
          <t>合成資料，非實測；method=field; reference_electrode=Ag/AgCl; calibration=verified</t>
        </is>
      </c>
      <c r="E16" s="29">
        <f>IF(OR(I16="",I16=0),"",IF(INDEX(Samples[監測點],I16)="","",INDEX(Samples[監測點],I16)))</f>
        <v/>
      </c>
      <c r="F16" s="90">
        <f>IF(OR(I16="",I16=0),"",IF(INDEX(Samples[採樣日期],I16)="","",INDEX(Samples[採樣日期],I16)))</f>
        <v/>
      </c>
      <c r="G16" s="91">
        <f>IF(OR(M16="",M16="NA",M16="N/A"),"",IF(OR(M16="ND",M16="N.D."),0,IFERROR(IF(OR(OR(ISNUMBER(SEARCH("%",O16)),ISNUMBER(SEARCH(" ",O16)),ISNUMBER(SEARCH(",",O16))),OR(SUBSTITUTE(SUBSTITUTE(SUBSTITUTE(SUBSTITUTE(SUBSTITUTE(SUBSTITUTE(SUBSTITUTE(SUBSTITUTE(SUBSTITUTE(SUBSTITUTE(SUBSTITUTE(SUBSTITUTE(SUBSTITUTE(SUBSTITUTE(SUBSTITUTE(SUBSTITUTE(SUBSTITUTE(SUBSTITUTE("x"&amp;M16,"0",""),"1",""),"2",""),"3",""),"4",""),"5",""),"6",""),"7",""),"8",""),"9",""),".",""),"E",""),"+",""),"-",""),"&lt;",""),"&gt;",""),"=","")," ","")&lt;&gt;"x",ISNUMBER(SEARCH("-",SUBSTITUTE(SUBSTITUTE("x"&amp;MID(M16,2,99),"E-","E"),"E+","E"))),ISNUMBER(SEARCH("+",SUBSTITUTE(SUBSTITUTE("x"&amp;MID(M16,2,99),"E-","E"),"E+","E"))))),"",IF(AND(OR(LEFT(M16,1)="&lt;",LEFT(M16,1)="&gt;"),IF(O16="",0,IF(ISNUMBER(AH16),AH16,NA()))&lt;0),"",IF(O16="",0,IF(ISNUMBER(AH16),AH16,NA()))/IF(LEFT(M16,1)="&lt;",2,1))),"")))</f>
        <v/>
      </c>
      <c r="H16" s="57" t="inlineStr">
        <is>
          <t>BH01-W_20260115_02</t>
        </is>
      </c>
      <c r="I16" s="92">
        <f>IF(OR(H16="",AI16=0),0,IF(INDEX(Samples[樣品重複筆數],AI16)=1,AI16,0))</f>
        <v/>
      </c>
      <c r="J16" s="92">
        <f>IF(OR(COUNTA($A16:$D16)=0,I16=0),"",IF(INDEX(Samples[介質],I16)="","",INDEX(Samples[介質],I16)))</f>
        <v/>
      </c>
      <c r="K16" s="92">
        <f>IF(OR(COUNTA($A16:$D16)=0,T16=0),"",IF(INDEX(DB_04[標準單位],T16)="","",INDEX(DB_04[標準單位],T16)))</f>
        <v/>
      </c>
      <c r="L16" s="92">
        <f>IF(COUNTA($A16:$D16)=0,"",IF(OR(C16="",K16=""),"",IF(C16=K16,1,IF(COUNTIFS(DB_06[換算鍵],C16&amp;"|"&amp;K16,DB_06[換算檢查],"OK")=1,INDEX(DB_06[乘數],MATCH(C16&amp;"|"&amp;K16,DB_06[換算鍵],0)),""))))</f>
        <v/>
      </c>
      <c r="M16" s="92">
        <f>UPPER(SUBSTITUTE(SUBSTITUTE(SUBSTITUTE(SUBSTITUTE(TRIM(B16&amp;""),"＜","&lt;"),"＞","&gt;"),"≤","&lt;="),"≥","&gt;="))</f>
        <v/>
      </c>
      <c r="N16" s="92">
        <f>IF(M16="","",IF(OR(M16="ND",M16="N.D."),"ND",IF(OR(M16="NA",M16="N/A",M16="N.A."),"NA",IF(OR(LEFT(M16,2)="&lt;=",LEFT(M16,2)="&gt;="),LEFT(M16,2),IF(OR(LEFT(M16,1)="&lt;",LEFT(M16,1)="&gt;"),LEFT(M16,1),"數值")))))</f>
        <v/>
      </c>
      <c r="O16" s="92">
        <f>IF(OR(N16="",N16="ND",N16="NA"),"",IF(N16="數值",M16,TRIM(MID(M16,LEN(N16)+1,99))))</f>
        <v/>
      </c>
      <c r="P16" s="92">
        <f>IF(O16="","",IFERROR(IF(OR(OR(ISNUMBER(SEARCH("%",O16)),ISNUMBER(SEARCH(" ",O16)),ISNUMBER(SEARCH(",",O16))),OR(SUBSTITUTE(SUBSTITUTE(SUBSTITUTE(SUBSTITUTE(SUBSTITUTE(SUBSTITUTE(SUBSTITUTE(SUBSTITUTE(SUBSTITUTE(SUBSTITUTE(SUBSTITUTE(SUBSTITUTE(SUBSTITUTE(SUBSTITUTE(SUBSTITUTE(SUBSTITUTE(SUBSTITUTE(SUBSTITUTE("x"&amp;O16,"0",""),"1",""),"2",""),"3",""),"4",""),"5",""),"6",""),"7",""),"8",""),"9",""),".",""),"E",""),"+",""),"-",""),"&lt;",""),"&gt;",""),"=","")," ","")&lt;&gt;"x",ISNUMBER(SEARCH("-",SUBSTITUTE(SUBSTITUTE("x"&amp;MID(O16,2,99),"E-","E"),"E+","E"))),ISNUMBER(SEARCH("+",SUBSTITUTE(SUBSTITUTE("x"&amp;MID(O16,2,99),"E-","E"),"E+","E"))))),"",IF(ISNUMBER(AH16),AH16,NA())),""))</f>
        <v/>
      </c>
      <c r="Q16" s="92">
        <f>IF(AND(ISNUMBER(L16),ISNUMBER(P16)),L16*P16,"")</f>
        <v/>
      </c>
      <c r="R16" s="92">
        <f>IF(OR(COUNTA($A16:$D16)=0,U16=0),"",IF(INDEX(DB_05[管制設定值],U16)="","",INDEX(DB_05[管制設定值],U16)))</f>
        <v/>
      </c>
      <c r="S16" s="92">
        <f>IF(OR(COUNTA($A16:$D16)=0,U16=0),"",IF(INDEX(DB_05[監測設定值],U16)="","",INDEX(DB_05[監測設定值],U16)))</f>
        <v/>
      </c>
      <c r="T16" s="92">
        <f>IF(COUNTA($A16:$D16)=0,"",IF(COUNTIFS(DB_04[測項鍵],V16)=1,MATCH(V16,DB_04[測項鍵],0),0))</f>
        <v/>
      </c>
      <c r="U16" s="92">
        <f>IF(COUNTA($A16:$D16)=0,"",IF(COUNTIFS(DB_05[標準鍵],W16)=1,MATCH(W16,DB_05[標準鍵],0),0))</f>
        <v/>
      </c>
      <c r="V16" s="92">
        <f>IF(OR(J16="",A16=""),"",J16&amp;"|"&amp;A16)</f>
        <v/>
      </c>
      <c r="W16" s="92">
        <f>IF(OR('07_QAQC'!$C$3="",V16=""),"",'07_QAQC'!$C$3&amp;"|"&amp;V16)</f>
        <v/>
      </c>
      <c r="X16" s="92">
        <f>IF(OR(H16="",A16=""),"",LEN(H16)&amp;":"&amp;H16&amp;LEN(A16)&amp;":"&amp;A16)</f>
        <v/>
      </c>
      <c r="Y16" s="93">
        <f>IF(COUNTA($A16:$D16)=0,"",IF(I16=0,"樣品未建或重複",IF(INDEX(Samples[樣品檢查],I16)="","OK",INDEX(Samples[樣品檢查],I16))))</f>
        <v/>
      </c>
      <c r="Z16" s="93">
        <f>IF(COUNTA($A16:$D16)=0,"",IF(B16="","缺原始值",IF(OR(B16="-",B16="--"),"無資料",IF(N16="NA","不適用",IF(N16="ND","OK",IF(NOT(ISNUMBER(P16)),"格式待核",IF(AND(N16&lt;&gt;"數值",P16&lt;0),"界限不得為負","OK")))))))</f>
        <v/>
      </c>
      <c r="AA16" s="93">
        <f>IF(COUNTA(A16:D16)=0,"",IF(OR(A16="",H16=""),"缺識別欄位",IF(IF(LEN("="&amp;SUBSTITUTE(SUBSTITUTE(SUBSTITUTE(X16,"~","~~"),"*","~*"),"?","~?"))&lt;=255,COUNTIF(Results[結果識別鍵],"="&amp;SUBSTITUTE(SUBSTITUTE(SUBSTITUTE(X16,"~","~~"),"*","~*"),"?","~?")),COUNTIFS(Results[關聯鍵],"="&amp;SUBSTITUTE(SUBSTITUTE(SUBSTITUTE(H16,"~","~~"),"*","~*"),"?","~?"),Results[分析項目],"="&amp;SUBSTITUTE(SUBSTITUTE(SUBSTITUTE(A16,"~","~~"),"*","~*"),"?","~?")))&gt;1,"同關聯鍵測項重複","OK")))</f>
        <v/>
      </c>
      <c r="AB16" s="93">
        <f>IF(COUNTA($A16:$D16)=0,"",IF(OR(C16="",K16=""),"缺單位",IF(NOT(ISNUMBER(L16)),"單位不相容",IF(L16=1,"OK","已換算"))))</f>
        <v/>
      </c>
      <c r="AC16" s="93">
        <f>IF(COUNTA($A16:$D16)=0,"",IF('07_QAQC'!$C$3="","未選比較版本",IF(U16=0,IF(COUNTIFS(DB_05[標準鍵],W16)&gt;1,"標準鍵重複","未訂此介質／測項門檻"),IF(INDEX(DB_05[版本檢查],U16)&lt;&gt;"OK","標準主檔待核",IF(INDEX(DB_05[標準單位],U16)&lt;&gt;K16,"標準單位不符",IF(INDEX(DB_05[核對狀態],U16)="停用","停用",IF(F16="","缺採樣日期",IF(OR(AND(INDEX(DB_05[生效日],U16)&lt;&gt;"",F16&lt;INDEX(DB_05[生效日],U16)),AND(INDEX(DB_05[失效日],U16)&lt;&gt;"",F16&gt;INDEX(DB_05[失效日],U16))),"日期不適用",INDEX(DB_05[核對狀態],U16)))))))))</f>
        <v/>
      </c>
      <c r="AD16" s="93">
        <f>IF(COUNTA($A16:$D16)=0,"",IF(AC16="未訂此介質／測項門檻",AC16,IF(AC16&lt;&gt;"已核對","標準待核",IF(R16="","未訂管制值",IF(NOT(ISNUMBER(L16)),"單位待核",IF(N16="ND","無法判定（ND無界限）",IF(N16="NA","不適用",IF(Z16&lt;&gt;"OK",Z16,IF(N16="數值",IF(Q16&gt;=R16,"達管制值","未達管制值"),IF(OR(N16="&lt;",N16="&lt;="),IF(OR(Q16&lt;R16,AND(N16="&lt;",Q16=R16)),"未達管制值","無法判定"),IF(OR(N16="&gt;",N16="&gt;="),IF(Q16&gt;=R16,"達管制值","無法判定"),"格式待核")))))))))))</f>
        <v/>
      </c>
      <c r="AE16" s="93">
        <f>IF(COUNTA($A16:$D16)=0,"",IF(AC16="未訂此介質／測項門檻",AC16,IF(AC16&lt;&gt;"已核對","標準待核",IF(S16="","未訂監測值",IF(NOT(ISNUMBER(L16)),"單位待核",IF(N16="ND","無法判定（ND無界限）",IF(N16="NA","不適用",IF(Z16&lt;&gt;"OK",Z16,IF(N16="數值",IF(Q16&gt;=S16,"達監測值","未達監測值"),IF(OR(N16="&lt;",N16="&lt;="),IF(OR(Q16&lt;S16,AND(N16="&lt;",Q16=S16)),"未達監測值","無法判定"),IF(OR(N16="&gt;",N16="&gt;="),IF(Q16&gt;=S16,"達監測值","無法判定"),"格式待核")))))))))))</f>
        <v/>
      </c>
      <c r="AF16" s="93">
        <f>IF(COUNTA($A16:$D16)=0,"",IF(OR(E16="",A16="",B16="",C16=""),"缺必要欄位",IF(Y16&lt;&gt;"OK","樣品資料待補",IF(T16=0,"測項未建或重複",IF(INDEX(DB_04[啟用],T16)&lt;&gt;"是","測項停用",IF(AND(Z16&lt;&gt;"OK",Z16&lt;&gt;"不適用"),Z16,IF(AND(AB16&lt;&gt;"OK",AB16&lt;&gt;"已換算"),"單位待核",IF(AA16&lt;&gt;"OK",AA16,"OK"))))))))</f>
        <v/>
      </c>
      <c r="AG16" s="93">
        <f>IF(COUNTA($A16:$D16)=0,"",IF(N16="ND","ND取0",IF(OR(N16="&lt;",N16="&lt;="),"界限除以2",IF(N16="NA","不適用",IF(OR(N16="&gt;",N16="&gt;="),"保留界限數值","保留原數值")))))</f>
        <v/>
      </c>
      <c r="AH16" s="92">
        <f>IF(O16="","",IFERROR(_xlfn.NUMBERVALUE(O16,".",","),""))</f>
        <v/>
      </c>
      <c r="AI16" s="92">
        <f>IF(H16="","",IFERROR(MATCH(H16,Samples[樣品編號],0),0))</f>
        <v/>
      </c>
    </row>
    <row r="17">
      <c r="A17" s="27" t="inlineStr">
        <is>
          <t>總有機碳</t>
        </is>
      </c>
      <c r="B17" s="28" t="inlineStr">
        <is>
          <t>2.5</t>
        </is>
      </c>
      <c r="C17" s="27" t="inlineStr">
        <is>
          <t>mg/L</t>
        </is>
      </c>
      <c r="D17" s="39" t="inlineStr">
        <is>
          <t>合成資料，非實測；method=lab</t>
        </is>
      </c>
      <c r="E17" s="29">
        <f>IF(OR(I17="",I17=0),"",IF(INDEX(Samples[監測點],I17)="","",INDEX(Samples[監測點],I17)))</f>
        <v/>
      </c>
      <c r="F17" s="90">
        <f>IF(OR(I17="",I17=0),"",IF(INDEX(Samples[採樣日期],I17)="","",INDEX(Samples[採樣日期],I17)))</f>
        <v/>
      </c>
      <c r="G17" s="91">
        <f>IF(OR(M17="",M17="NA",M17="N/A"),"",IF(OR(M17="ND",M17="N.D."),0,IFERROR(IF(OR(OR(ISNUMBER(SEARCH("%",O17)),ISNUMBER(SEARCH(" ",O17)),ISNUMBER(SEARCH(",",O17))),OR(SUBSTITUTE(SUBSTITUTE(SUBSTITUTE(SUBSTITUTE(SUBSTITUTE(SUBSTITUTE(SUBSTITUTE(SUBSTITUTE(SUBSTITUTE(SUBSTITUTE(SUBSTITUTE(SUBSTITUTE(SUBSTITUTE(SUBSTITUTE(SUBSTITUTE(SUBSTITUTE(SUBSTITUTE(SUBSTITUTE("x"&amp;M17,"0",""),"1",""),"2",""),"3",""),"4",""),"5",""),"6",""),"7",""),"8",""),"9",""),".",""),"E",""),"+",""),"-",""),"&lt;",""),"&gt;",""),"=","")," ","")&lt;&gt;"x",ISNUMBER(SEARCH("-",SUBSTITUTE(SUBSTITUTE("x"&amp;MID(M17,2,99),"E-","E"),"E+","E"))),ISNUMBER(SEARCH("+",SUBSTITUTE(SUBSTITUTE("x"&amp;MID(M17,2,99),"E-","E"),"E+","E"))))),"",IF(AND(OR(LEFT(M17,1)="&lt;",LEFT(M17,1)="&gt;"),IF(O17="",0,IF(ISNUMBER(AH17),AH17,NA()))&lt;0),"",IF(O17="",0,IF(ISNUMBER(AH17),AH17,NA()))/IF(LEFT(M17,1)="&lt;",2,1))),"")))</f>
        <v/>
      </c>
      <c r="H17" s="57" t="inlineStr">
        <is>
          <t>BH01-W_20260115_02</t>
        </is>
      </c>
      <c r="I17" s="92">
        <f>IF(OR(H17="",AI17=0),0,IF(INDEX(Samples[樣品重複筆數],AI17)=1,AI17,0))</f>
        <v/>
      </c>
      <c r="J17" s="92">
        <f>IF(OR(COUNTA($A17:$D17)=0,I17=0),"",IF(INDEX(Samples[介質],I17)="","",INDEX(Samples[介質],I17)))</f>
        <v/>
      </c>
      <c r="K17" s="92">
        <f>IF(OR(COUNTA($A17:$D17)=0,T17=0),"",IF(INDEX(DB_04[標準單位],T17)="","",INDEX(DB_04[標準單位],T17)))</f>
        <v/>
      </c>
      <c r="L17" s="92">
        <f>IF(COUNTA($A17:$D17)=0,"",IF(OR(C17="",K17=""),"",IF(C17=K17,1,IF(COUNTIFS(DB_06[換算鍵],C17&amp;"|"&amp;K17,DB_06[換算檢查],"OK")=1,INDEX(DB_06[乘數],MATCH(C17&amp;"|"&amp;K17,DB_06[換算鍵],0)),""))))</f>
        <v/>
      </c>
      <c r="M17" s="92">
        <f>UPPER(SUBSTITUTE(SUBSTITUTE(SUBSTITUTE(SUBSTITUTE(TRIM(B17&amp;""),"＜","&lt;"),"＞","&gt;"),"≤","&lt;="),"≥","&gt;="))</f>
        <v/>
      </c>
      <c r="N17" s="92">
        <f>IF(M17="","",IF(OR(M17="ND",M17="N.D."),"ND",IF(OR(M17="NA",M17="N/A",M17="N.A."),"NA",IF(OR(LEFT(M17,2)="&lt;=",LEFT(M17,2)="&gt;="),LEFT(M17,2),IF(OR(LEFT(M17,1)="&lt;",LEFT(M17,1)="&gt;"),LEFT(M17,1),"數值")))))</f>
        <v/>
      </c>
      <c r="O17" s="92">
        <f>IF(OR(N17="",N17="ND",N17="NA"),"",IF(N17="數值",M17,TRIM(MID(M17,LEN(N17)+1,99))))</f>
        <v/>
      </c>
      <c r="P17" s="92">
        <f>IF(O17="","",IFERROR(IF(OR(OR(ISNUMBER(SEARCH("%",O17)),ISNUMBER(SEARCH(" ",O17)),ISNUMBER(SEARCH(",",O17))),OR(SUBSTITUTE(SUBSTITUTE(SUBSTITUTE(SUBSTITUTE(SUBSTITUTE(SUBSTITUTE(SUBSTITUTE(SUBSTITUTE(SUBSTITUTE(SUBSTITUTE(SUBSTITUTE(SUBSTITUTE(SUBSTITUTE(SUBSTITUTE(SUBSTITUTE(SUBSTITUTE(SUBSTITUTE(SUBSTITUTE("x"&amp;O17,"0",""),"1",""),"2",""),"3",""),"4",""),"5",""),"6",""),"7",""),"8",""),"9",""),".",""),"E",""),"+",""),"-",""),"&lt;",""),"&gt;",""),"=","")," ","")&lt;&gt;"x",ISNUMBER(SEARCH("-",SUBSTITUTE(SUBSTITUTE("x"&amp;MID(O17,2,99),"E-","E"),"E+","E"))),ISNUMBER(SEARCH("+",SUBSTITUTE(SUBSTITUTE("x"&amp;MID(O17,2,99),"E-","E"),"E+","E"))))),"",IF(ISNUMBER(AH17),AH17,NA())),""))</f>
        <v/>
      </c>
      <c r="Q17" s="92">
        <f>IF(AND(ISNUMBER(L17),ISNUMBER(P17)),L17*P17,"")</f>
        <v/>
      </c>
      <c r="R17" s="92">
        <f>IF(OR(COUNTA($A17:$D17)=0,U17=0),"",IF(INDEX(DB_05[管制設定值],U17)="","",INDEX(DB_05[管制設定值],U17)))</f>
        <v/>
      </c>
      <c r="S17" s="92">
        <f>IF(OR(COUNTA($A17:$D17)=0,U17=0),"",IF(INDEX(DB_05[監測設定值],U17)="","",INDEX(DB_05[監測設定值],U17)))</f>
        <v/>
      </c>
      <c r="T17" s="92">
        <f>IF(COUNTA($A17:$D17)=0,"",IF(COUNTIFS(DB_04[測項鍵],V17)=1,MATCH(V17,DB_04[測項鍵],0),0))</f>
        <v/>
      </c>
      <c r="U17" s="92">
        <f>IF(COUNTA($A17:$D17)=0,"",IF(COUNTIFS(DB_05[標準鍵],W17)=1,MATCH(W17,DB_05[標準鍵],0),0))</f>
        <v/>
      </c>
      <c r="V17" s="92">
        <f>IF(OR(J17="",A17=""),"",J17&amp;"|"&amp;A17)</f>
        <v/>
      </c>
      <c r="W17" s="92">
        <f>IF(OR('07_QAQC'!$C$3="",V17=""),"",'07_QAQC'!$C$3&amp;"|"&amp;V17)</f>
        <v/>
      </c>
      <c r="X17" s="92">
        <f>IF(OR(H17="",A17=""),"",LEN(H17)&amp;":"&amp;H17&amp;LEN(A17)&amp;":"&amp;A17)</f>
        <v/>
      </c>
      <c r="Y17" s="93">
        <f>IF(COUNTA($A17:$D17)=0,"",IF(I17=0,"樣品未建或重複",IF(INDEX(Samples[樣品檢查],I17)="","OK",INDEX(Samples[樣品檢查],I17))))</f>
        <v/>
      </c>
      <c r="Z17" s="93">
        <f>IF(COUNTA($A17:$D17)=0,"",IF(B17="","缺原始值",IF(OR(B17="-",B17="--"),"無資料",IF(N17="NA","不適用",IF(N17="ND","OK",IF(NOT(ISNUMBER(P17)),"格式待核",IF(AND(N17&lt;&gt;"數值",P17&lt;0),"界限不得為負","OK")))))))</f>
        <v/>
      </c>
      <c r="AA17" s="93">
        <f>IF(COUNTA(A17:D17)=0,"",IF(OR(A17="",H17=""),"缺識別欄位",IF(IF(LEN("="&amp;SUBSTITUTE(SUBSTITUTE(SUBSTITUTE(X17,"~","~~"),"*","~*"),"?","~?"))&lt;=255,COUNTIF(Results[結果識別鍵],"="&amp;SUBSTITUTE(SUBSTITUTE(SUBSTITUTE(X17,"~","~~"),"*","~*"),"?","~?")),COUNTIFS(Results[關聯鍵],"="&amp;SUBSTITUTE(SUBSTITUTE(SUBSTITUTE(H17,"~","~~"),"*","~*"),"?","~?"),Results[分析項目],"="&amp;SUBSTITUTE(SUBSTITUTE(SUBSTITUTE(A17,"~","~~"),"*","~*"),"?","~?")))&gt;1,"同關聯鍵測項重複","OK")))</f>
        <v/>
      </c>
      <c r="AB17" s="93">
        <f>IF(COUNTA($A17:$D17)=0,"",IF(OR(C17="",K17=""),"缺單位",IF(NOT(ISNUMBER(L17)),"單位不相容",IF(L17=1,"OK","已換算"))))</f>
        <v/>
      </c>
      <c r="AC17" s="93">
        <f>IF(COUNTA($A17:$D17)=0,"",IF('07_QAQC'!$C$3="","未選比較版本",IF(U17=0,IF(COUNTIFS(DB_05[標準鍵],W17)&gt;1,"標準鍵重複","未訂此介質／測項門檻"),IF(INDEX(DB_05[版本檢查],U17)&lt;&gt;"OK","標準主檔待核",IF(INDEX(DB_05[標準單位],U17)&lt;&gt;K17,"標準單位不符",IF(INDEX(DB_05[核對狀態],U17)="停用","停用",IF(F17="","缺採樣日期",IF(OR(AND(INDEX(DB_05[生效日],U17)&lt;&gt;"",F17&lt;INDEX(DB_05[生效日],U17)),AND(INDEX(DB_05[失效日],U17)&lt;&gt;"",F17&gt;INDEX(DB_05[失效日],U17))),"日期不適用",INDEX(DB_05[核對狀態],U17)))))))))</f>
        <v/>
      </c>
      <c r="AD17" s="93">
        <f>IF(COUNTA($A17:$D17)=0,"",IF(AC17="未訂此介質／測項門檻",AC17,IF(AC17&lt;&gt;"已核對","標準待核",IF(R17="","未訂管制值",IF(NOT(ISNUMBER(L17)),"單位待核",IF(N17="ND","無法判定（ND無界限）",IF(N17="NA","不適用",IF(Z17&lt;&gt;"OK",Z17,IF(N17="數值",IF(Q17&gt;=R17,"達管制值","未達管制值"),IF(OR(N17="&lt;",N17="&lt;="),IF(OR(Q17&lt;R17,AND(N17="&lt;",Q17=R17)),"未達管制值","無法判定"),IF(OR(N17="&gt;",N17="&gt;="),IF(Q17&gt;=R17,"達管制值","無法判定"),"格式待核")))))))))))</f>
        <v/>
      </c>
      <c r="AE17" s="93">
        <f>IF(COUNTA($A17:$D17)=0,"",IF(AC17="未訂此介質／測項門檻",AC17,IF(AC17&lt;&gt;"已核對","標準待核",IF(S17="","未訂監測值",IF(NOT(ISNUMBER(L17)),"單位待核",IF(N17="ND","無法判定（ND無界限）",IF(N17="NA","不適用",IF(Z17&lt;&gt;"OK",Z17,IF(N17="數值",IF(Q17&gt;=S17,"達監測值","未達監測值"),IF(OR(N17="&lt;",N17="&lt;="),IF(OR(Q17&lt;S17,AND(N17="&lt;",Q17=S17)),"未達監測值","無法判定"),IF(OR(N17="&gt;",N17="&gt;="),IF(Q17&gt;=S17,"達監測值","無法判定"),"格式待核")))))))))))</f>
        <v/>
      </c>
      <c r="AF17" s="93">
        <f>IF(COUNTA($A17:$D17)=0,"",IF(OR(E17="",A17="",B17="",C17=""),"缺必要欄位",IF(Y17&lt;&gt;"OK","樣品資料待補",IF(T17=0,"測項未建或重複",IF(INDEX(DB_04[啟用],T17)&lt;&gt;"是","測項停用",IF(AND(Z17&lt;&gt;"OK",Z17&lt;&gt;"不適用"),Z17,IF(AND(AB17&lt;&gt;"OK",AB17&lt;&gt;"已換算"),"單位待核",IF(AA17&lt;&gt;"OK",AA17,"OK"))))))))</f>
        <v/>
      </c>
      <c r="AG17" s="93">
        <f>IF(COUNTA($A17:$D17)=0,"",IF(N17="ND","ND取0",IF(OR(N17="&lt;",N17="&lt;="),"界限除以2",IF(N17="NA","不適用",IF(OR(N17="&gt;",N17="&gt;="),"保留界限數值","保留原數值")))))</f>
        <v/>
      </c>
      <c r="AH17" s="92">
        <f>IF(O17="","",IFERROR(_xlfn.NUMBERVALUE(O17,".",","),""))</f>
        <v/>
      </c>
      <c r="AI17" s="92">
        <f>IF(H17="","",IFERROR(MATCH(H17,Samples[樣品編號],0),0))</f>
        <v/>
      </c>
    </row>
    <row r="18">
      <c r="A18" s="27" t="inlineStr">
        <is>
          <t>鋅</t>
        </is>
      </c>
      <c r="B18" s="28" t="inlineStr">
        <is>
          <t>118</t>
        </is>
      </c>
      <c r="C18" s="27" t="inlineStr">
        <is>
          <t>mg/kg</t>
        </is>
      </c>
      <c r="D18" s="39" t="inlineStr">
        <is>
          <t>合成資料，非實測；method=XRF; basis=dry</t>
        </is>
      </c>
      <c r="E18" s="29">
        <f>IF(OR(I18="",I18=0),"",IF(INDEX(Samples[監測點],I18)="","",INDEX(Samples[監測點],I18)))</f>
        <v/>
      </c>
      <c r="F18" s="90">
        <f>IF(OR(I18="",I18=0),"",IF(INDEX(Samples[採樣日期],I18)="","",INDEX(Samples[採樣日期],I18)))</f>
        <v/>
      </c>
      <c r="G18" s="91">
        <f>IF(OR(M18="",M18="NA",M18="N/A"),"",IF(OR(M18="ND",M18="N.D."),0,IFERROR(IF(OR(OR(ISNUMBER(SEARCH("%",O18)),ISNUMBER(SEARCH(" ",O18)),ISNUMBER(SEARCH(",",O18))),OR(SUBSTITUTE(SUBSTITUTE(SUBSTITUTE(SUBSTITUTE(SUBSTITUTE(SUBSTITUTE(SUBSTITUTE(SUBSTITUTE(SUBSTITUTE(SUBSTITUTE(SUBSTITUTE(SUBSTITUTE(SUBSTITUTE(SUBSTITUTE(SUBSTITUTE(SUBSTITUTE(SUBSTITUTE(SUBSTITUTE("x"&amp;M18,"0",""),"1",""),"2",""),"3",""),"4",""),"5",""),"6",""),"7",""),"8",""),"9",""),".",""),"E",""),"+",""),"-",""),"&lt;",""),"&gt;",""),"=","")," ","")&lt;&gt;"x",ISNUMBER(SEARCH("-",SUBSTITUTE(SUBSTITUTE("x"&amp;MID(M18,2,99),"E-","E"),"E+","E"))),ISNUMBER(SEARCH("+",SUBSTITUTE(SUBSTITUTE("x"&amp;MID(M18,2,99),"E-","E"),"E+","E"))))),"",IF(AND(OR(LEFT(M18,1)="&lt;",LEFT(M18,1)="&gt;"),IF(O18="",0,IF(ISNUMBER(AH18),AH18,NA()))&lt;0),"",IF(O18="",0,IF(ISNUMBER(AH18),AH18,NA()))/IF(LEFT(M18,1)="&lt;",2,1))),"")))</f>
        <v/>
      </c>
      <c r="H18" s="57" t="inlineStr">
        <is>
          <t>BH01-S_20260115_03</t>
        </is>
      </c>
      <c r="I18" s="92">
        <f>IF(OR(H18="",AI18=0),0,IF(INDEX(Samples[樣品重複筆數],AI18)=1,AI18,0))</f>
        <v/>
      </c>
      <c r="J18" s="92">
        <f>IF(OR(COUNTA($A18:$D18)=0,I18=0),"",IF(INDEX(Samples[介質],I18)="","",INDEX(Samples[介質],I18)))</f>
        <v/>
      </c>
      <c r="K18" s="92">
        <f>IF(OR(COUNTA($A18:$D18)=0,T18=0),"",IF(INDEX(DB_04[標準單位],T18)="","",INDEX(DB_04[標準單位],T18)))</f>
        <v/>
      </c>
      <c r="L18" s="92">
        <f>IF(COUNTA($A18:$D18)=0,"",IF(OR(C18="",K18=""),"",IF(C18=K18,1,IF(COUNTIFS(DB_06[換算鍵],C18&amp;"|"&amp;K18,DB_06[換算檢查],"OK")=1,INDEX(DB_06[乘數],MATCH(C18&amp;"|"&amp;K18,DB_06[換算鍵],0)),""))))</f>
        <v/>
      </c>
      <c r="M18" s="92">
        <f>UPPER(SUBSTITUTE(SUBSTITUTE(SUBSTITUTE(SUBSTITUTE(TRIM(B18&amp;""),"＜","&lt;"),"＞","&gt;"),"≤","&lt;="),"≥","&gt;="))</f>
        <v/>
      </c>
      <c r="N18" s="92">
        <f>IF(M18="","",IF(OR(M18="ND",M18="N.D."),"ND",IF(OR(M18="NA",M18="N/A",M18="N.A."),"NA",IF(OR(LEFT(M18,2)="&lt;=",LEFT(M18,2)="&gt;="),LEFT(M18,2),IF(OR(LEFT(M18,1)="&lt;",LEFT(M18,1)="&gt;"),LEFT(M18,1),"數值")))))</f>
        <v/>
      </c>
      <c r="O18" s="92">
        <f>IF(OR(N18="",N18="ND",N18="NA"),"",IF(N18="數值",M18,TRIM(MID(M18,LEN(N18)+1,99))))</f>
        <v/>
      </c>
      <c r="P18" s="92">
        <f>IF(O18="","",IFERROR(IF(OR(OR(ISNUMBER(SEARCH("%",O18)),ISNUMBER(SEARCH(" ",O18)),ISNUMBER(SEARCH(",",O18))),OR(SUBSTITUTE(SUBSTITUTE(SUBSTITUTE(SUBSTITUTE(SUBSTITUTE(SUBSTITUTE(SUBSTITUTE(SUBSTITUTE(SUBSTITUTE(SUBSTITUTE(SUBSTITUTE(SUBSTITUTE(SUBSTITUTE(SUBSTITUTE(SUBSTITUTE(SUBSTITUTE(SUBSTITUTE(SUBSTITUTE("x"&amp;O18,"0",""),"1",""),"2",""),"3",""),"4",""),"5",""),"6",""),"7",""),"8",""),"9",""),".",""),"E",""),"+",""),"-",""),"&lt;",""),"&gt;",""),"=","")," ","")&lt;&gt;"x",ISNUMBER(SEARCH("-",SUBSTITUTE(SUBSTITUTE("x"&amp;MID(O18,2,99),"E-","E"),"E+","E"))),ISNUMBER(SEARCH("+",SUBSTITUTE(SUBSTITUTE("x"&amp;MID(O18,2,99),"E-","E"),"E+","E"))))),"",IF(ISNUMBER(AH18),AH18,NA())),""))</f>
        <v/>
      </c>
      <c r="Q18" s="92">
        <f>IF(AND(ISNUMBER(L18),ISNUMBER(P18)),L18*P18,"")</f>
        <v/>
      </c>
      <c r="R18" s="92">
        <f>IF(OR(COUNTA($A18:$D18)=0,U18=0),"",IF(INDEX(DB_05[管制設定值],U18)="","",INDEX(DB_05[管制設定值],U18)))</f>
        <v/>
      </c>
      <c r="S18" s="92">
        <f>IF(OR(COUNTA($A18:$D18)=0,U18=0),"",IF(INDEX(DB_05[監測設定值],U18)="","",INDEX(DB_05[監測設定值],U18)))</f>
        <v/>
      </c>
      <c r="T18" s="92">
        <f>IF(COUNTA($A18:$D18)=0,"",IF(COUNTIFS(DB_04[測項鍵],V18)=1,MATCH(V18,DB_04[測項鍵],0),0))</f>
        <v/>
      </c>
      <c r="U18" s="92">
        <f>IF(COUNTA($A18:$D18)=0,"",IF(COUNTIFS(DB_05[標準鍵],W18)=1,MATCH(W18,DB_05[標準鍵],0),0))</f>
        <v/>
      </c>
      <c r="V18" s="92">
        <f>IF(OR(J18="",A18=""),"",J18&amp;"|"&amp;A18)</f>
        <v/>
      </c>
      <c r="W18" s="92">
        <f>IF(OR('07_QAQC'!$C$3="",V18=""),"",'07_QAQC'!$C$3&amp;"|"&amp;V18)</f>
        <v/>
      </c>
      <c r="X18" s="92">
        <f>IF(OR(H18="",A18=""),"",LEN(H18)&amp;":"&amp;H18&amp;LEN(A18)&amp;":"&amp;A18)</f>
        <v/>
      </c>
      <c r="Y18" s="93">
        <f>IF(COUNTA($A18:$D18)=0,"",IF(I18=0,"樣品未建或重複",IF(INDEX(Samples[樣品檢查],I18)="","OK",INDEX(Samples[樣品檢查],I18))))</f>
        <v/>
      </c>
      <c r="Z18" s="93">
        <f>IF(COUNTA($A18:$D18)=0,"",IF(B18="","缺原始值",IF(OR(B18="-",B18="--"),"無資料",IF(N18="NA","不適用",IF(N18="ND","OK",IF(NOT(ISNUMBER(P18)),"格式待核",IF(AND(N18&lt;&gt;"數值",P18&lt;0),"界限不得為負","OK")))))))</f>
        <v/>
      </c>
      <c r="AA18" s="93">
        <f>IF(COUNTA(A18:D18)=0,"",IF(OR(A18="",H18=""),"缺識別欄位",IF(IF(LEN("="&amp;SUBSTITUTE(SUBSTITUTE(SUBSTITUTE(X18,"~","~~"),"*","~*"),"?","~?"))&lt;=255,COUNTIF(Results[結果識別鍵],"="&amp;SUBSTITUTE(SUBSTITUTE(SUBSTITUTE(X18,"~","~~"),"*","~*"),"?","~?")),COUNTIFS(Results[關聯鍵],"="&amp;SUBSTITUTE(SUBSTITUTE(SUBSTITUTE(H18,"~","~~"),"*","~*"),"?","~?"),Results[分析項目],"="&amp;SUBSTITUTE(SUBSTITUTE(SUBSTITUTE(A18,"~","~~"),"*","~*"),"?","~?")))&gt;1,"同關聯鍵測項重複","OK")))</f>
        <v/>
      </c>
      <c r="AB18" s="93">
        <f>IF(COUNTA($A18:$D18)=0,"",IF(OR(C18="",K18=""),"缺單位",IF(NOT(ISNUMBER(L18)),"單位不相容",IF(L18=1,"OK","已換算"))))</f>
        <v/>
      </c>
      <c r="AC18" s="93">
        <f>IF(COUNTA($A18:$D18)=0,"",IF('07_QAQC'!$C$3="","未選比較版本",IF(U18=0,IF(COUNTIFS(DB_05[標準鍵],W18)&gt;1,"標準鍵重複","未訂此介質／測項門檻"),IF(INDEX(DB_05[版本檢查],U18)&lt;&gt;"OK","標準主檔待核",IF(INDEX(DB_05[標準單位],U18)&lt;&gt;K18,"標準單位不符",IF(INDEX(DB_05[核對狀態],U18)="停用","停用",IF(F18="","缺採樣日期",IF(OR(AND(INDEX(DB_05[生效日],U18)&lt;&gt;"",F18&lt;INDEX(DB_05[生效日],U18)),AND(INDEX(DB_05[失效日],U18)&lt;&gt;"",F18&gt;INDEX(DB_05[失效日],U18))),"日期不適用",INDEX(DB_05[核對狀態],U18)))))))))</f>
        <v/>
      </c>
      <c r="AD18" s="93">
        <f>IF(COUNTA($A18:$D18)=0,"",IF(AC18="未訂此介質／測項門檻",AC18,IF(AC18&lt;&gt;"已核對","標準待核",IF(R18="","未訂管制值",IF(NOT(ISNUMBER(L18)),"單位待核",IF(N18="ND","無法判定（ND無界限）",IF(N18="NA","不適用",IF(Z18&lt;&gt;"OK",Z18,IF(N18="數值",IF(Q18&gt;=R18,"達管制值","未達管制值"),IF(OR(N18="&lt;",N18="&lt;="),IF(OR(Q18&lt;R18,AND(N18="&lt;",Q18=R18)),"未達管制值","無法判定"),IF(OR(N18="&gt;",N18="&gt;="),IF(Q18&gt;=R18,"達管制值","無法判定"),"格式待核")))))))))))</f>
        <v/>
      </c>
      <c r="AE18" s="93">
        <f>IF(COUNTA($A18:$D18)=0,"",IF(AC18="未訂此介質／測項門檻",AC18,IF(AC18&lt;&gt;"已核對","標準待核",IF(S18="","未訂監測值",IF(NOT(ISNUMBER(L18)),"單位待核",IF(N18="ND","無法判定（ND無界限）",IF(N18="NA","不適用",IF(Z18&lt;&gt;"OK",Z18,IF(N18="數值",IF(Q18&gt;=S18,"達監測值","未達監測值"),IF(OR(N18="&lt;",N18="&lt;="),IF(OR(Q18&lt;S18,AND(N18="&lt;",Q18=S18)),"未達監測值","無法判定"),IF(OR(N18="&gt;",N18="&gt;="),IF(Q18&gt;=S18,"達監測值","無法判定"),"格式待核")))))))))))</f>
        <v/>
      </c>
      <c r="AF18" s="93">
        <f>IF(COUNTA($A18:$D18)=0,"",IF(OR(E18="",A18="",B18="",C18=""),"缺必要欄位",IF(Y18&lt;&gt;"OK","樣品資料待補",IF(T18=0,"測項未建或重複",IF(INDEX(DB_04[啟用],T18)&lt;&gt;"是","測項停用",IF(AND(Z18&lt;&gt;"OK",Z18&lt;&gt;"不適用"),Z18,IF(AND(AB18&lt;&gt;"OK",AB18&lt;&gt;"已換算"),"單位待核",IF(AA18&lt;&gt;"OK",AA18,"OK"))))))))</f>
        <v/>
      </c>
      <c r="AG18" s="93">
        <f>IF(COUNTA($A18:$D18)=0,"",IF(N18="ND","ND取0",IF(OR(N18="&lt;",N18="&lt;="),"界限除以2",IF(N18="NA","不適用",IF(OR(N18="&gt;",N18="&gt;="),"保留界限數值","保留原數值")))))</f>
        <v/>
      </c>
      <c r="AH18" s="92">
        <f>IF(O18="","",IFERROR(_xlfn.NUMBERVALUE(O18,".",","),""))</f>
        <v/>
      </c>
      <c r="AI18" s="92">
        <f>IF(H18="","",IFERROR(MATCH(H18,Samples[樣品編號],0),0))</f>
        <v/>
      </c>
    </row>
    <row r="19">
      <c r="A19" s="27" t="inlineStr">
        <is>
          <t>總有機碳</t>
        </is>
      </c>
      <c r="B19" s="28" t="inlineStr">
        <is>
          <t>0.32</t>
        </is>
      </c>
      <c r="C19" s="27" t="inlineStr">
        <is>
          <t>%</t>
        </is>
      </c>
      <c r="D19" s="39" t="inlineStr">
        <is>
          <t>合成資料，非實測；method=lab; basis=dry</t>
        </is>
      </c>
      <c r="E19" s="29">
        <f>IF(OR(I19="",I19=0),"",IF(INDEX(Samples[監測點],I19)="","",INDEX(Samples[監測點],I19)))</f>
        <v/>
      </c>
      <c r="F19" s="90">
        <f>IF(OR(I19="",I19=0),"",IF(INDEX(Samples[採樣日期],I19)="","",INDEX(Samples[採樣日期],I19)))</f>
        <v/>
      </c>
      <c r="G19" s="91">
        <f>IF(OR(M19="",M19="NA",M19="N/A"),"",IF(OR(M19="ND",M19="N.D."),0,IFERROR(IF(OR(OR(ISNUMBER(SEARCH("%",O19)),ISNUMBER(SEARCH(" ",O19)),ISNUMBER(SEARCH(",",O19))),OR(SUBSTITUTE(SUBSTITUTE(SUBSTITUTE(SUBSTITUTE(SUBSTITUTE(SUBSTITUTE(SUBSTITUTE(SUBSTITUTE(SUBSTITUTE(SUBSTITUTE(SUBSTITUTE(SUBSTITUTE(SUBSTITUTE(SUBSTITUTE(SUBSTITUTE(SUBSTITUTE(SUBSTITUTE(SUBSTITUTE("x"&amp;M19,"0",""),"1",""),"2",""),"3",""),"4",""),"5",""),"6",""),"7",""),"8",""),"9",""),".",""),"E",""),"+",""),"-",""),"&lt;",""),"&gt;",""),"=","")," ","")&lt;&gt;"x",ISNUMBER(SEARCH("-",SUBSTITUTE(SUBSTITUTE("x"&amp;MID(M19,2,99),"E-","E"),"E+","E"))),ISNUMBER(SEARCH("+",SUBSTITUTE(SUBSTITUTE("x"&amp;MID(M19,2,99),"E-","E"),"E+","E"))))),"",IF(AND(OR(LEFT(M19,1)="&lt;",LEFT(M19,1)="&gt;"),IF(O19="",0,IF(ISNUMBER(AH19),AH19,NA()))&lt;0),"",IF(O19="",0,IF(ISNUMBER(AH19),AH19,NA()))/IF(LEFT(M19,1)="&lt;",2,1))),"")))</f>
        <v/>
      </c>
      <c r="H19" s="57" t="inlineStr">
        <is>
          <t>BH01-S_20260115_03</t>
        </is>
      </c>
      <c r="I19" s="92">
        <f>IF(OR(H19="",AI19=0),0,IF(INDEX(Samples[樣品重複筆數],AI19)=1,AI19,0))</f>
        <v/>
      </c>
      <c r="J19" s="92">
        <f>IF(OR(COUNTA($A19:$D19)=0,I19=0),"",IF(INDEX(Samples[介質],I19)="","",INDEX(Samples[介質],I19)))</f>
        <v/>
      </c>
      <c r="K19" s="92">
        <f>IF(OR(COUNTA($A19:$D19)=0,T19=0),"",IF(INDEX(DB_04[標準單位],T19)="","",INDEX(DB_04[標準單位],T19)))</f>
        <v/>
      </c>
      <c r="L19" s="92">
        <f>IF(COUNTA($A19:$D19)=0,"",IF(OR(C19="",K19=""),"",IF(C19=K19,1,IF(COUNTIFS(DB_06[換算鍵],C19&amp;"|"&amp;K19,DB_06[換算檢查],"OK")=1,INDEX(DB_06[乘數],MATCH(C19&amp;"|"&amp;K19,DB_06[換算鍵],0)),""))))</f>
        <v/>
      </c>
      <c r="M19" s="92">
        <f>UPPER(SUBSTITUTE(SUBSTITUTE(SUBSTITUTE(SUBSTITUTE(TRIM(B19&amp;""),"＜","&lt;"),"＞","&gt;"),"≤","&lt;="),"≥","&gt;="))</f>
        <v/>
      </c>
      <c r="N19" s="92">
        <f>IF(M19="","",IF(OR(M19="ND",M19="N.D."),"ND",IF(OR(M19="NA",M19="N/A",M19="N.A."),"NA",IF(OR(LEFT(M19,2)="&lt;=",LEFT(M19,2)="&gt;="),LEFT(M19,2),IF(OR(LEFT(M19,1)="&lt;",LEFT(M19,1)="&gt;"),LEFT(M19,1),"數值")))))</f>
        <v/>
      </c>
      <c r="O19" s="92">
        <f>IF(OR(N19="",N19="ND",N19="NA"),"",IF(N19="數值",M19,TRIM(MID(M19,LEN(N19)+1,99))))</f>
        <v/>
      </c>
      <c r="P19" s="92">
        <f>IF(O19="","",IFERROR(IF(OR(OR(ISNUMBER(SEARCH("%",O19)),ISNUMBER(SEARCH(" ",O19)),ISNUMBER(SEARCH(",",O19))),OR(SUBSTITUTE(SUBSTITUTE(SUBSTITUTE(SUBSTITUTE(SUBSTITUTE(SUBSTITUTE(SUBSTITUTE(SUBSTITUTE(SUBSTITUTE(SUBSTITUTE(SUBSTITUTE(SUBSTITUTE(SUBSTITUTE(SUBSTITUTE(SUBSTITUTE(SUBSTITUTE(SUBSTITUTE(SUBSTITUTE("x"&amp;O19,"0",""),"1",""),"2",""),"3",""),"4",""),"5",""),"6",""),"7",""),"8",""),"9",""),".",""),"E",""),"+",""),"-",""),"&lt;",""),"&gt;",""),"=","")," ","")&lt;&gt;"x",ISNUMBER(SEARCH("-",SUBSTITUTE(SUBSTITUTE("x"&amp;MID(O19,2,99),"E-","E"),"E+","E"))),ISNUMBER(SEARCH("+",SUBSTITUTE(SUBSTITUTE("x"&amp;MID(O19,2,99),"E-","E"),"E+","E"))))),"",IF(ISNUMBER(AH19),AH19,NA())),""))</f>
        <v/>
      </c>
      <c r="Q19" s="92">
        <f>IF(AND(ISNUMBER(L19),ISNUMBER(P19)),L19*P19,"")</f>
        <v/>
      </c>
      <c r="R19" s="92">
        <f>IF(OR(COUNTA($A19:$D19)=0,U19=0),"",IF(INDEX(DB_05[管制設定值],U19)="","",INDEX(DB_05[管制設定值],U19)))</f>
        <v/>
      </c>
      <c r="S19" s="92">
        <f>IF(OR(COUNTA($A19:$D19)=0,U19=0),"",IF(INDEX(DB_05[監測設定值],U19)="","",INDEX(DB_05[監測設定值],U19)))</f>
        <v/>
      </c>
      <c r="T19" s="92">
        <f>IF(COUNTA($A19:$D19)=0,"",IF(COUNTIFS(DB_04[測項鍵],V19)=1,MATCH(V19,DB_04[測項鍵],0),0))</f>
        <v/>
      </c>
      <c r="U19" s="92">
        <f>IF(COUNTA($A19:$D19)=0,"",IF(COUNTIFS(DB_05[標準鍵],W19)=1,MATCH(W19,DB_05[標準鍵],0),0))</f>
        <v/>
      </c>
      <c r="V19" s="92">
        <f>IF(OR(J19="",A19=""),"",J19&amp;"|"&amp;A19)</f>
        <v/>
      </c>
      <c r="W19" s="92">
        <f>IF(OR('07_QAQC'!$C$3="",V19=""),"",'07_QAQC'!$C$3&amp;"|"&amp;V19)</f>
        <v/>
      </c>
      <c r="X19" s="92">
        <f>IF(OR(H19="",A19=""),"",LEN(H19)&amp;":"&amp;H19&amp;LEN(A19)&amp;":"&amp;A19)</f>
        <v/>
      </c>
      <c r="Y19" s="93">
        <f>IF(COUNTA($A19:$D19)=0,"",IF(I19=0,"樣品未建或重複",IF(INDEX(Samples[樣品檢查],I19)="","OK",INDEX(Samples[樣品檢查],I19))))</f>
        <v/>
      </c>
      <c r="Z19" s="93">
        <f>IF(COUNTA($A19:$D19)=0,"",IF(B19="","缺原始值",IF(OR(B19="-",B19="--"),"無資料",IF(N19="NA","不適用",IF(N19="ND","OK",IF(NOT(ISNUMBER(P19)),"格式待核",IF(AND(N19&lt;&gt;"數值",P19&lt;0),"界限不得為負","OK")))))))</f>
        <v/>
      </c>
      <c r="AA19" s="93">
        <f>IF(COUNTA(A19:D19)=0,"",IF(OR(A19="",H19=""),"缺識別欄位",IF(IF(LEN("="&amp;SUBSTITUTE(SUBSTITUTE(SUBSTITUTE(X19,"~","~~"),"*","~*"),"?","~?"))&lt;=255,COUNTIF(Results[結果識別鍵],"="&amp;SUBSTITUTE(SUBSTITUTE(SUBSTITUTE(X19,"~","~~"),"*","~*"),"?","~?")),COUNTIFS(Results[關聯鍵],"="&amp;SUBSTITUTE(SUBSTITUTE(SUBSTITUTE(H19,"~","~~"),"*","~*"),"?","~?"),Results[分析項目],"="&amp;SUBSTITUTE(SUBSTITUTE(SUBSTITUTE(A19,"~","~~"),"*","~*"),"?","~?")))&gt;1,"同關聯鍵測項重複","OK")))</f>
        <v/>
      </c>
      <c r="AB19" s="93">
        <f>IF(COUNTA($A19:$D19)=0,"",IF(OR(C19="",K19=""),"缺單位",IF(NOT(ISNUMBER(L19)),"單位不相容",IF(L19=1,"OK","已換算"))))</f>
        <v/>
      </c>
      <c r="AC19" s="93">
        <f>IF(COUNTA($A19:$D19)=0,"",IF('07_QAQC'!$C$3="","未選比較版本",IF(U19=0,IF(COUNTIFS(DB_05[標準鍵],W19)&gt;1,"標準鍵重複","未訂此介質／測項門檻"),IF(INDEX(DB_05[版本檢查],U19)&lt;&gt;"OK","標準主檔待核",IF(INDEX(DB_05[標準單位],U19)&lt;&gt;K19,"標準單位不符",IF(INDEX(DB_05[核對狀態],U19)="停用","停用",IF(F19="","缺採樣日期",IF(OR(AND(INDEX(DB_05[生效日],U19)&lt;&gt;"",F19&lt;INDEX(DB_05[生效日],U19)),AND(INDEX(DB_05[失效日],U19)&lt;&gt;"",F19&gt;INDEX(DB_05[失效日],U19))),"日期不適用",INDEX(DB_05[核對狀態],U19)))))))))</f>
        <v/>
      </c>
      <c r="AD19" s="93">
        <f>IF(COUNTA($A19:$D19)=0,"",IF(AC19="未訂此介質／測項門檻",AC19,IF(AC19&lt;&gt;"已核對","標準待核",IF(R19="","未訂管制值",IF(NOT(ISNUMBER(L19)),"單位待核",IF(N19="ND","無法判定（ND無界限）",IF(N19="NA","不適用",IF(Z19&lt;&gt;"OK",Z19,IF(N19="數值",IF(Q19&gt;=R19,"達管制值","未達管制值"),IF(OR(N19="&lt;",N19="&lt;="),IF(OR(Q19&lt;R19,AND(N19="&lt;",Q19=R19)),"未達管制值","無法判定"),IF(OR(N19="&gt;",N19="&gt;="),IF(Q19&gt;=R19,"達管制值","無法判定"),"格式待核")))))))))))</f>
        <v/>
      </c>
      <c r="AE19" s="93">
        <f>IF(COUNTA($A19:$D19)=0,"",IF(AC19="未訂此介質／測項門檻",AC19,IF(AC19&lt;&gt;"已核對","標準待核",IF(S19="","未訂監測值",IF(NOT(ISNUMBER(L19)),"單位待核",IF(N19="ND","無法判定（ND無界限）",IF(N19="NA","不適用",IF(Z19&lt;&gt;"OK",Z19,IF(N19="數值",IF(Q19&gt;=S19,"達監測值","未達監測值"),IF(OR(N19="&lt;",N19="&lt;="),IF(OR(Q19&lt;S19,AND(N19="&lt;",Q19=S19)),"未達監測值","無法判定"),IF(OR(N19="&gt;",N19="&gt;="),IF(Q19&gt;=S19,"達監測值","無法判定"),"格式待核")))))))))))</f>
        <v/>
      </c>
      <c r="AF19" s="93">
        <f>IF(COUNTA($A19:$D19)=0,"",IF(OR(E19="",A19="",B19="",C19=""),"缺必要欄位",IF(Y19&lt;&gt;"OK","樣品資料待補",IF(T19=0,"測項未建或重複",IF(INDEX(DB_04[啟用],T19)&lt;&gt;"是","測項停用",IF(AND(Z19&lt;&gt;"OK",Z19&lt;&gt;"不適用"),Z19,IF(AND(AB19&lt;&gt;"OK",AB19&lt;&gt;"已換算"),"單位待核",IF(AA19&lt;&gt;"OK",AA19,"OK"))))))))</f>
        <v/>
      </c>
      <c r="AG19" s="93">
        <f>IF(COUNTA($A19:$D19)=0,"",IF(N19="ND","ND取0",IF(OR(N19="&lt;",N19="&lt;="),"界限除以2",IF(N19="NA","不適用",IF(OR(N19="&gt;",N19="&gt;="),"保留界限數值","保留原數值")))))</f>
        <v/>
      </c>
      <c r="AH19" s="92">
        <f>IF(O19="","",IFERROR(_xlfn.NUMBERVALUE(O19,".",","),""))</f>
        <v/>
      </c>
      <c r="AI19" s="92">
        <f>IF(H19="","",IFERROR(MATCH(H19,Samples[樣品編號],0),0))</f>
        <v/>
      </c>
    </row>
    <row r="20">
      <c r="A20" s="27" t="inlineStr">
        <is>
          <t>pH</t>
        </is>
      </c>
      <c r="B20" s="28" t="inlineStr">
        <is>
          <t>6.57</t>
        </is>
      </c>
      <c r="C20" s="27" t="inlineStr">
        <is>
          <t>無因次</t>
        </is>
      </c>
      <c r="D20" s="39" t="inlineStr">
        <is>
          <t>合成資料，非實測；method=field</t>
        </is>
      </c>
      <c r="E20" s="29">
        <f>IF(OR(I20="",I20=0),"",IF(INDEX(Samples[監測點],I20)="","",INDEX(Samples[監測點],I20)))</f>
        <v/>
      </c>
      <c r="F20" s="90">
        <f>IF(OR(I20="",I20=0),"",IF(INDEX(Samples[採樣日期],I20)="","",INDEX(Samples[採樣日期],I20)))</f>
        <v/>
      </c>
      <c r="G20" s="91">
        <f>IF(OR(M20="",M20="NA",M20="N/A"),"",IF(OR(M20="ND",M20="N.D."),0,IFERROR(IF(OR(OR(ISNUMBER(SEARCH("%",O20)),ISNUMBER(SEARCH(" ",O20)),ISNUMBER(SEARCH(",",O20))),OR(SUBSTITUTE(SUBSTITUTE(SUBSTITUTE(SUBSTITUTE(SUBSTITUTE(SUBSTITUTE(SUBSTITUTE(SUBSTITUTE(SUBSTITUTE(SUBSTITUTE(SUBSTITUTE(SUBSTITUTE(SUBSTITUTE(SUBSTITUTE(SUBSTITUTE(SUBSTITUTE(SUBSTITUTE(SUBSTITUTE("x"&amp;M20,"0",""),"1",""),"2",""),"3",""),"4",""),"5",""),"6",""),"7",""),"8",""),"9",""),".",""),"E",""),"+",""),"-",""),"&lt;",""),"&gt;",""),"=","")," ","")&lt;&gt;"x",ISNUMBER(SEARCH("-",SUBSTITUTE(SUBSTITUTE("x"&amp;MID(M20,2,99),"E-","E"),"E+","E"))),ISNUMBER(SEARCH("+",SUBSTITUTE(SUBSTITUTE("x"&amp;MID(M20,2,99),"E-","E"),"E+","E"))))),"",IF(AND(OR(LEFT(M20,1)="&lt;",LEFT(M20,1)="&gt;"),IF(O20="",0,IF(ISNUMBER(AH20),AH20,NA()))&lt;0),"",IF(O20="",0,IF(ISNUMBER(AH20),AH20,NA()))/IF(LEFT(M20,1)="&lt;",2,1))),"")))</f>
        <v/>
      </c>
      <c r="H20" s="57" t="inlineStr">
        <is>
          <t>BH01-W_20260115_03</t>
        </is>
      </c>
      <c r="I20" s="92">
        <f>IF(OR(H20="",AI20=0),0,IF(INDEX(Samples[樣品重複筆數],AI20)=1,AI20,0))</f>
        <v/>
      </c>
      <c r="J20" s="92">
        <f>IF(OR(COUNTA($A20:$D20)=0,I20=0),"",IF(INDEX(Samples[介質],I20)="","",INDEX(Samples[介質],I20)))</f>
        <v/>
      </c>
      <c r="K20" s="92">
        <f>IF(OR(COUNTA($A20:$D20)=0,T20=0),"",IF(INDEX(DB_04[標準單位],T20)="","",INDEX(DB_04[標準單位],T20)))</f>
        <v/>
      </c>
      <c r="L20" s="92">
        <f>IF(COUNTA($A20:$D20)=0,"",IF(OR(C20="",K20=""),"",IF(C20=K20,1,IF(COUNTIFS(DB_06[換算鍵],C20&amp;"|"&amp;K20,DB_06[換算檢查],"OK")=1,INDEX(DB_06[乘數],MATCH(C20&amp;"|"&amp;K20,DB_06[換算鍵],0)),""))))</f>
        <v/>
      </c>
      <c r="M20" s="92">
        <f>UPPER(SUBSTITUTE(SUBSTITUTE(SUBSTITUTE(SUBSTITUTE(TRIM(B20&amp;""),"＜","&lt;"),"＞","&gt;"),"≤","&lt;="),"≥","&gt;="))</f>
        <v/>
      </c>
      <c r="N20" s="92">
        <f>IF(M20="","",IF(OR(M20="ND",M20="N.D."),"ND",IF(OR(M20="NA",M20="N/A",M20="N.A."),"NA",IF(OR(LEFT(M20,2)="&lt;=",LEFT(M20,2)="&gt;="),LEFT(M20,2),IF(OR(LEFT(M20,1)="&lt;",LEFT(M20,1)="&gt;"),LEFT(M20,1),"數值")))))</f>
        <v/>
      </c>
      <c r="O20" s="92">
        <f>IF(OR(N20="",N20="ND",N20="NA"),"",IF(N20="數值",M20,TRIM(MID(M20,LEN(N20)+1,99))))</f>
        <v/>
      </c>
      <c r="P20" s="92">
        <f>IF(O20="","",IFERROR(IF(OR(OR(ISNUMBER(SEARCH("%",O20)),ISNUMBER(SEARCH(" ",O20)),ISNUMBER(SEARCH(",",O20))),OR(SUBSTITUTE(SUBSTITUTE(SUBSTITUTE(SUBSTITUTE(SUBSTITUTE(SUBSTITUTE(SUBSTITUTE(SUBSTITUTE(SUBSTITUTE(SUBSTITUTE(SUBSTITUTE(SUBSTITUTE(SUBSTITUTE(SUBSTITUTE(SUBSTITUTE(SUBSTITUTE(SUBSTITUTE(SUBSTITUTE("x"&amp;O20,"0",""),"1",""),"2",""),"3",""),"4",""),"5",""),"6",""),"7",""),"8",""),"9",""),".",""),"E",""),"+",""),"-",""),"&lt;",""),"&gt;",""),"=","")," ","")&lt;&gt;"x",ISNUMBER(SEARCH("-",SUBSTITUTE(SUBSTITUTE("x"&amp;MID(O20,2,99),"E-","E"),"E+","E"))),ISNUMBER(SEARCH("+",SUBSTITUTE(SUBSTITUTE("x"&amp;MID(O20,2,99),"E-","E"),"E+","E"))))),"",IF(ISNUMBER(AH20),AH20,NA())),""))</f>
        <v/>
      </c>
      <c r="Q20" s="92">
        <f>IF(AND(ISNUMBER(L20),ISNUMBER(P20)),L20*P20,"")</f>
        <v/>
      </c>
      <c r="R20" s="92">
        <f>IF(OR(COUNTA($A20:$D20)=0,U20=0),"",IF(INDEX(DB_05[管制設定值],U20)="","",INDEX(DB_05[管制設定值],U20)))</f>
        <v/>
      </c>
      <c r="S20" s="92">
        <f>IF(OR(COUNTA($A20:$D20)=0,U20=0),"",IF(INDEX(DB_05[監測設定值],U20)="","",INDEX(DB_05[監測設定值],U20)))</f>
        <v/>
      </c>
      <c r="T20" s="92">
        <f>IF(COUNTA($A20:$D20)=0,"",IF(COUNTIFS(DB_04[測項鍵],V20)=1,MATCH(V20,DB_04[測項鍵],0),0))</f>
        <v/>
      </c>
      <c r="U20" s="92">
        <f>IF(COUNTA($A20:$D20)=0,"",IF(COUNTIFS(DB_05[標準鍵],W20)=1,MATCH(W20,DB_05[標準鍵],0),0))</f>
        <v/>
      </c>
      <c r="V20" s="92">
        <f>IF(OR(J20="",A20=""),"",J20&amp;"|"&amp;A20)</f>
        <v/>
      </c>
      <c r="W20" s="92">
        <f>IF(OR('07_QAQC'!$C$3="",V20=""),"",'07_QAQC'!$C$3&amp;"|"&amp;V20)</f>
        <v/>
      </c>
      <c r="X20" s="92">
        <f>IF(OR(H20="",A20=""),"",LEN(H20)&amp;":"&amp;H20&amp;LEN(A20)&amp;":"&amp;A20)</f>
        <v/>
      </c>
      <c r="Y20" s="93">
        <f>IF(COUNTA($A20:$D20)=0,"",IF(I20=0,"樣品未建或重複",IF(INDEX(Samples[樣品檢查],I20)="","OK",INDEX(Samples[樣品檢查],I20))))</f>
        <v/>
      </c>
      <c r="Z20" s="93">
        <f>IF(COUNTA($A20:$D20)=0,"",IF(B20="","缺原始值",IF(OR(B20="-",B20="--"),"無資料",IF(N20="NA","不適用",IF(N20="ND","OK",IF(NOT(ISNUMBER(P20)),"格式待核",IF(AND(N20&lt;&gt;"數值",P20&lt;0),"界限不得為負","OK")))))))</f>
        <v/>
      </c>
      <c r="AA20" s="93">
        <f>IF(COUNTA(A20:D20)=0,"",IF(OR(A20="",H20=""),"缺識別欄位",IF(IF(LEN("="&amp;SUBSTITUTE(SUBSTITUTE(SUBSTITUTE(X20,"~","~~"),"*","~*"),"?","~?"))&lt;=255,COUNTIF(Results[結果識別鍵],"="&amp;SUBSTITUTE(SUBSTITUTE(SUBSTITUTE(X20,"~","~~"),"*","~*"),"?","~?")),COUNTIFS(Results[關聯鍵],"="&amp;SUBSTITUTE(SUBSTITUTE(SUBSTITUTE(H20,"~","~~"),"*","~*"),"?","~?"),Results[分析項目],"="&amp;SUBSTITUTE(SUBSTITUTE(SUBSTITUTE(A20,"~","~~"),"*","~*"),"?","~?")))&gt;1,"同關聯鍵測項重複","OK")))</f>
        <v/>
      </c>
      <c r="AB20" s="93">
        <f>IF(COUNTA($A20:$D20)=0,"",IF(OR(C20="",K20=""),"缺單位",IF(NOT(ISNUMBER(L20)),"單位不相容",IF(L20=1,"OK","已換算"))))</f>
        <v/>
      </c>
      <c r="AC20" s="93">
        <f>IF(COUNTA($A20:$D20)=0,"",IF('07_QAQC'!$C$3="","未選比較版本",IF(U20=0,IF(COUNTIFS(DB_05[標準鍵],W20)&gt;1,"標準鍵重複","未訂此介質／測項門檻"),IF(INDEX(DB_05[版本檢查],U20)&lt;&gt;"OK","標準主檔待核",IF(INDEX(DB_05[標準單位],U20)&lt;&gt;K20,"標準單位不符",IF(INDEX(DB_05[核對狀態],U20)="停用","停用",IF(F20="","缺採樣日期",IF(OR(AND(INDEX(DB_05[生效日],U20)&lt;&gt;"",F20&lt;INDEX(DB_05[生效日],U20)),AND(INDEX(DB_05[失效日],U20)&lt;&gt;"",F20&gt;INDEX(DB_05[失效日],U20))),"日期不適用",INDEX(DB_05[核對狀態],U20)))))))))</f>
        <v/>
      </c>
      <c r="AD20" s="93">
        <f>IF(COUNTA($A20:$D20)=0,"",IF(AC20="未訂此介質／測項門檻",AC20,IF(AC20&lt;&gt;"已核對","標準待核",IF(R20="","未訂管制值",IF(NOT(ISNUMBER(L20)),"單位待核",IF(N20="ND","無法判定（ND無界限）",IF(N20="NA","不適用",IF(Z20&lt;&gt;"OK",Z20,IF(N20="數值",IF(Q20&gt;=R20,"達管制值","未達管制值"),IF(OR(N20="&lt;",N20="&lt;="),IF(OR(Q20&lt;R20,AND(N20="&lt;",Q20=R20)),"未達管制值","無法判定"),IF(OR(N20="&gt;",N20="&gt;="),IF(Q20&gt;=R20,"達管制值","無法判定"),"格式待核")))))))))))</f>
        <v/>
      </c>
      <c r="AE20" s="93">
        <f>IF(COUNTA($A20:$D20)=0,"",IF(AC20="未訂此介質／測項門檻",AC20,IF(AC20&lt;&gt;"已核對","標準待核",IF(S20="","未訂監測值",IF(NOT(ISNUMBER(L20)),"單位待核",IF(N20="ND","無法判定（ND無界限）",IF(N20="NA","不適用",IF(Z20&lt;&gt;"OK",Z20,IF(N20="數值",IF(Q20&gt;=S20,"達監測值","未達監測值"),IF(OR(N20="&lt;",N20="&lt;="),IF(OR(Q20&lt;S20,AND(N20="&lt;",Q20=S20)),"未達監測值","無法判定"),IF(OR(N20="&gt;",N20="&gt;="),IF(Q20&gt;=S20,"達監測值","無法判定"),"格式待核")))))))))))</f>
        <v/>
      </c>
      <c r="AF20" s="93">
        <f>IF(COUNTA($A20:$D20)=0,"",IF(OR(E20="",A20="",B20="",C20=""),"缺必要欄位",IF(Y20&lt;&gt;"OK","樣品資料待補",IF(T20=0,"測項未建或重複",IF(INDEX(DB_04[啟用],T20)&lt;&gt;"是","測項停用",IF(AND(Z20&lt;&gt;"OK",Z20&lt;&gt;"不適用"),Z20,IF(AND(AB20&lt;&gt;"OK",AB20&lt;&gt;"已換算"),"單位待核",IF(AA20&lt;&gt;"OK",AA20,"OK"))))))))</f>
        <v/>
      </c>
      <c r="AG20" s="93">
        <f>IF(COUNTA($A20:$D20)=0,"",IF(N20="ND","ND取0",IF(OR(N20="&lt;",N20="&lt;="),"界限除以2",IF(N20="NA","不適用",IF(OR(N20="&gt;",N20="&gt;="),"保留界限數值","保留原數值")))))</f>
        <v/>
      </c>
      <c r="AH20" s="92">
        <f>IF(O20="","",IFERROR(_xlfn.NUMBERVALUE(O20,".",","),""))</f>
        <v/>
      </c>
      <c r="AI20" s="92">
        <f>IF(H20="","",IFERROR(MATCH(H20,Samples[樣品編號],0),0))</f>
        <v/>
      </c>
    </row>
    <row r="21">
      <c r="A21" s="27" t="inlineStr">
        <is>
          <t>EC</t>
        </is>
      </c>
      <c r="B21" s="28" t="inlineStr">
        <is>
          <t>0.63</t>
        </is>
      </c>
      <c r="C21" s="27" t="inlineStr">
        <is>
          <t>mS/cm</t>
        </is>
      </c>
      <c r="D21" s="39" t="inlineStr">
        <is>
          <t>合成資料，非實測；method=field; temperature=25; temperature_compensated=25C; reference_temperature=25</t>
        </is>
      </c>
      <c r="E21" s="29">
        <f>IF(OR(I21="",I21=0),"",IF(INDEX(Samples[監測點],I21)="","",INDEX(Samples[監測點],I21)))</f>
        <v/>
      </c>
      <c r="F21" s="90">
        <f>IF(OR(I21="",I21=0),"",IF(INDEX(Samples[採樣日期],I21)="","",INDEX(Samples[採樣日期],I21)))</f>
        <v/>
      </c>
      <c r="G21" s="91">
        <f>IF(OR(M21="",M21="NA",M21="N/A"),"",IF(OR(M21="ND",M21="N.D."),0,IFERROR(IF(OR(OR(ISNUMBER(SEARCH("%",O21)),ISNUMBER(SEARCH(" ",O21)),ISNUMBER(SEARCH(",",O21))),OR(SUBSTITUTE(SUBSTITUTE(SUBSTITUTE(SUBSTITUTE(SUBSTITUTE(SUBSTITUTE(SUBSTITUTE(SUBSTITUTE(SUBSTITUTE(SUBSTITUTE(SUBSTITUTE(SUBSTITUTE(SUBSTITUTE(SUBSTITUTE(SUBSTITUTE(SUBSTITUTE(SUBSTITUTE(SUBSTITUTE("x"&amp;M21,"0",""),"1",""),"2",""),"3",""),"4",""),"5",""),"6",""),"7",""),"8",""),"9",""),".",""),"E",""),"+",""),"-",""),"&lt;",""),"&gt;",""),"=","")," ","")&lt;&gt;"x",ISNUMBER(SEARCH("-",SUBSTITUTE(SUBSTITUTE("x"&amp;MID(M21,2,99),"E-","E"),"E+","E"))),ISNUMBER(SEARCH("+",SUBSTITUTE(SUBSTITUTE("x"&amp;MID(M21,2,99),"E-","E"),"E+","E"))))),"",IF(AND(OR(LEFT(M21,1)="&lt;",LEFT(M21,1)="&gt;"),IF(O21="",0,IF(ISNUMBER(AH21),AH21,NA()))&lt;0),"",IF(O21="",0,IF(ISNUMBER(AH21),AH21,NA()))/IF(LEFT(M21,1)="&lt;",2,1))),"")))</f>
        <v/>
      </c>
      <c r="H21" s="57" t="inlineStr">
        <is>
          <t>BH01-W_20260115_03</t>
        </is>
      </c>
      <c r="I21" s="92">
        <f>IF(OR(H21="",AI21=0),0,IF(INDEX(Samples[樣品重複筆數],AI21)=1,AI21,0))</f>
        <v/>
      </c>
      <c r="J21" s="92">
        <f>IF(OR(COUNTA($A21:$D21)=0,I21=0),"",IF(INDEX(Samples[介質],I21)="","",INDEX(Samples[介質],I21)))</f>
        <v/>
      </c>
      <c r="K21" s="92">
        <f>IF(OR(COUNTA($A21:$D21)=0,T21=0),"",IF(INDEX(DB_04[標準單位],T21)="","",INDEX(DB_04[標準單位],T21)))</f>
        <v/>
      </c>
      <c r="L21" s="92">
        <f>IF(COUNTA($A21:$D21)=0,"",IF(OR(C21="",K21=""),"",IF(C21=K21,1,IF(COUNTIFS(DB_06[換算鍵],C21&amp;"|"&amp;K21,DB_06[換算檢查],"OK")=1,INDEX(DB_06[乘數],MATCH(C21&amp;"|"&amp;K21,DB_06[換算鍵],0)),""))))</f>
        <v/>
      </c>
      <c r="M21" s="92">
        <f>UPPER(SUBSTITUTE(SUBSTITUTE(SUBSTITUTE(SUBSTITUTE(TRIM(B21&amp;""),"＜","&lt;"),"＞","&gt;"),"≤","&lt;="),"≥","&gt;="))</f>
        <v/>
      </c>
      <c r="N21" s="92">
        <f>IF(M21="","",IF(OR(M21="ND",M21="N.D."),"ND",IF(OR(M21="NA",M21="N/A",M21="N.A."),"NA",IF(OR(LEFT(M21,2)="&lt;=",LEFT(M21,2)="&gt;="),LEFT(M21,2),IF(OR(LEFT(M21,1)="&lt;",LEFT(M21,1)="&gt;"),LEFT(M21,1),"數值")))))</f>
        <v/>
      </c>
      <c r="O21" s="92">
        <f>IF(OR(N21="",N21="ND",N21="NA"),"",IF(N21="數值",M21,TRIM(MID(M21,LEN(N21)+1,99))))</f>
        <v/>
      </c>
      <c r="P21" s="92">
        <f>IF(O21="","",IFERROR(IF(OR(OR(ISNUMBER(SEARCH("%",O21)),ISNUMBER(SEARCH(" ",O21)),ISNUMBER(SEARCH(",",O21))),OR(SUBSTITUTE(SUBSTITUTE(SUBSTITUTE(SUBSTITUTE(SUBSTITUTE(SUBSTITUTE(SUBSTITUTE(SUBSTITUTE(SUBSTITUTE(SUBSTITUTE(SUBSTITUTE(SUBSTITUTE(SUBSTITUTE(SUBSTITUTE(SUBSTITUTE(SUBSTITUTE(SUBSTITUTE(SUBSTITUTE("x"&amp;O21,"0",""),"1",""),"2",""),"3",""),"4",""),"5",""),"6",""),"7",""),"8",""),"9",""),".",""),"E",""),"+",""),"-",""),"&lt;",""),"&gt;",""),"=","")," ","")&lt;&gt;"x",ISNUMBER(SEARCH("-",SUBSTITUTE(SUBSTITUTE("x"&amp;MID(O21,2,99),"E-","E"),"E+","E"))),ISNUMBER(SEARCH("+",SUBSTITUTE(SUBSTITUTE("x"&amp;MID(O21,2,99),"E-","E"),"E+","E"))))),"",IF(ISNUMBER(AH21),AH21,NA())),""))</f>
        <v/>
      </c>
      <c r="Q21" s="92">
        <f>IF(AND(ISNUMBER(L21),ISNUMBER(P21)),L21*P21,"")</f>
        <v/>
      </c>
      <c r="R21" s="92">
        <f>IF(OR(COUNTA($A21:$D21)=0,U21=0),"",IF(INDEX(DB_05[管制設定值],U21)="","",INDEX(DB_05[管制設定值],U21)))</f>
        <v/>
      </c>
      <c r="S21" s="92">
        <f>IF(OR(COUNTA($A21:$D21)=0,U21=0),"",IF(INDEX(DB_05[監測設定值],U21)="","",INDEX(DB_05[監測設定值],U21)))</f>
        <v/>
      </c>
      <c r="T21" s="92">
        <f>IF(COUNTA($A21:$D21)=0,"",IF(COUNTIFS(DB_04[測項鍵],V21)=1,MATCH(V21,DB_04[測項鍵],0),0))</f>
        <v/>
      </c>
      <c r="U21" s="92">
        <f>IF(COUNTA($A21:$D21)=0,"",IF(COUNTIFS(DB_05[標準鍵],W21)=1,MATCH(W21,DB_05[標準鍵],0),0))</f>
        <v/>
      </c>
      <c r="V21" s="92">
        <f>IF(OR(J21="",A21=""),"",J21&amp;"|"&amp;A21)</f>
        <v/>
      </c>
      <c r="W21" s="92">
        <f>IF(OR('07_QAQC'!$C$3="",V21=""),"",'07_QAQC'!$C$3&amp;"|"&amp;V21)</f>
        <v/>
      </c>
      <c r="X21" s="92">
        <f>IF(OR(H21="",A21=""),"",LEN(H21)&amp;":"&amp;H21&amp;LEN(A21)&amp;":"&amp;A21)</f>
        <v/>
      </c>
      <c r="Y21" s="93">
        <f>IF(COUNTA($A21:$D21)=0,"",IF(I21=0,"樣品未建或重複",IF(INDEX(Samples[樣品檢查],I21)="","OK",INDEX(Samples[樣品檢查],I21))))</f>
        <v/>
      </c>
      <c r="Z21" s="93">
        <f>IF(COUNTA($A21:$D21)=0,"",IF(B21="","缺原始值",IF(OR(B21="-",B21="--"),"無資料",IF(N21="NA","不適用",IF(N21="ND","OK",IF(NOT(ISNUMBER(P21)),"格式待核",IF(AND(N21&lt;&gt;"數值",P21&lt;0),"界限不得為負","OK")))))))</f>
        <v/>
      </c>
      <c r="AA21" s="93">
        <f>IF(COUNTA(A21:D21)=0,"",IF(OR(A21="",H21=""),"缺識別欄位",IF(IF(LEN("="&amp;SUBSTITUTE(SUBSTITUTE(SUBSTITUTE(X21,"~","~~"),"*","~*"),"?","~?"))&lt;=255,COUNTIF(Results[結果識別鍵],"="&amp;SUBSTITUTE(SUBSTITUTE(SUBSTITUTE(X21,"~","~~"),"*","~*"),"?","~?")),COUNTIFS(Results[關聯鍵],"="&amp;SUBSTITUTE(SUBSTITUTE(SUBSTITUTE(H21,"~","~~"),"*","~*"),"?","~?"),Results[分析項目],"="&amp;SUBSTITUTE(SUBSTITUTE(SUBSTITUTE(A21,"~","~~"),"*","~*"),"?","~?")))&gt;1,"同關聯鍵測項重複","OK")))</f>
        <v/>
      </c>
      <c r="AB21" s="93">
        <f>IF(COUNTA($A21:$D21)=0,"",IF(OR(C21="",K21=""),"缺單位",IF(NOT(ISNUMBER(L21)),"單位不相容",IF(L21=1,"OK","已換算"))))</f>
        <v/>
      </c>
      <c r="AC21" s="93">
        <f>IF(COUNTA($A21:$D21)=0,"",IF('07_QAQC'!$C$3="","未選比較版本",IF(U21=0,IF(COUNTIFS(DB_05[標準鍵],W21)&gt;1,"標準鍵重複","未訂此介質／測項門檻"),IF(INDEX(DB_05[版本檢查],U21)&lt;&gt;"OK","標準主檔待核",IF(INDEX(DB_05[標準單位],U21)&lt;&gt;K21,"標準單位不符",IF(INDEX(DB_05[核對狀態],U21)="停用","停用",IF(F21="","缺採樣日期",IF(OR(AND(INDEX(DB_05[生效日],U21)&lt;&gt;"",F21&lt;INDEX(DB_05[生效日],U21)),AND(INDEX(DB_05[失效日],U21)&lt;&gt;"",F21&gt;INDEX(DB_05[失效日],U21))),"日期不適用",INDEX(DB_05[核對狀態],U21)))))))))</f>
        <v/>
      </c>
      <c r="AD21" s="93">
        <f>IF(COUNTA($A21:$D21)=0,"",IF(AC21="未訂此介質／測項門檻",AC21,IF(AC21&lt;&gt;"已核對","標準待核",IF(R21="","未訂管制值",IF(NOT(ISNUMBER(L21)),"單位待核",IF(N21="ND","無法判定（ND無界限）",IF(N21="NA","不適用",IF(Z21&lt;&gt;"OK",Z21,IF(N21="數值",IF(Q21&gt;=R21,"達管制值","未達管制值"),IF(OR(N21="&lt;",N21="&lt;="),IF(OR(Q21&lt;R21,AND(N21="&lt;",Q21=R21)),"未達管制值","無法判定"),IF(OR(N21="&gt;",N21="&gt;="),IF(Q21&gt;=R21,"達管制值","無法判定"),"格式待核")))))))))))</f>
        <v/>
      </c>
      <c r="AE21" s="93">
        <f>IF(COUNTA($A21:$D21)=0,"",IF(AC21="未訂此介質／測項門檻",AC21,IF(AC21&lt;&gt;"已核對","標準待核",IF(S21="","未訂監測值",IF(NOT(ISNUMBER(L21)),"單位待核",IF(N21="ND","無法判定（ND無界限）",IF(N21="NA","不適用",IF(Z21&lt;&gt;"OK",Z21,IF(N21="數值",IF(Q21&gt;=S21,"達監測值","未達監測值"),IF(OR(N21="&lt;",N21="&lt;="),IF(OR(Q21&lt;S21,AND(N21="&lt;",Q21=S21)),"未達監測值","無法判定"),IF(OR(N21="&gt;",N21="&gt;="),IF(Q21&gt;=S21,"達監測值","無法判定"),"格式待核")))))))))))</f>
        <v/>
      </c>
      <c r="AF21" s="93">
        <f>IF(COUNTA($A21:$D21)=0,"",IF(OR(E21="",A21="",B21="",C21=""),"缺必要欄位",IF(Y21&lt;&gt;"OK","樣品資料待補",IF(T21=0,"測項未建或重複",IF(INDEX(DB_04[啟用],T21)&lt;&gt;"是","測項停用",IF(AND(Z21&lt;&gt;"OK",Z21&lt;&gt;"不適用"),Z21,IF(AND(AB21&lt;&gt;"OK",AB21&lt;&gt;"已換算"),"單位待核",IF(AA21&lt;&gt;"OK",AA21,"OK"))))))))</f>
        <v/>
      </c>
      <c r="AG21" s="93">
        <f>IF(COUNTA($A21:$D21)=0,"",IF(N21="ND","ND取0",IF(OR(N21="&lt;",N21="&lt;="),"界限除以2",IF(N21="NA","不適用",IF(OR(N21="&gt;",N21="&gt;="),"保留界限數值","保留原數值")))))</f>
        <v/>
      </c>
      <c r="AH21" s="92">
        <f>IF(O21="","",IFERROR(_xlfn.NUMBERVALUE(O21,".",","),""))</f>
        <v/>
      </c>
      <c r="AI21" s="92">
        <f>IF(H21="","",IFERROR(MATCH(H21,Samples[樣品編號],0),0))</f>
        <v/>
      </c>
    </row>
    <row r="22">
      <c r="A22" s="27" t="inlineStr">
        <is>
          <t>DO</t>
        </is>
      </c>
      <c r="B22" s="28" t="inlineStr">
        <is>
          <t>4.9</t>
        </is>
      </c>
      <c r="C22" s="27" t="inlineStr">
        <is>
          <t>mg/L</t>
        </is>
      </c>
      <c r="D22" s="39" t="inlineStr">
        <is>
          <t>合成資料，非實測；method=field</t>
        </is>
      </c>
      <c r="E22" s="29">
        <f>IF(OR(I22="",I22=0),"",IF(INDEX(Samples[監測點],I22)="","",INDEX(Samples[監測點],I22)))</f>
        <v/>
      </c>
      <c r="F22" s="90">
        <f>IF(OR(I22="",I22=0),"",IF(INDEX(Samples[採樣日期],I22)="","",INDEX(Samples[採樣日期],I22)))</f>
        <v/>
      </c>
      <c r="G22" s="91">
        <f>IF(OR(M22="",M22="NA",M22="N/A"),"",IF(OR(M22="ND",M22="N.D."),0,IFERROR(IF(OR(OR(ISNUMBER(SEARCH("%",O22)),ISNUMBER(SEARCH(" ",O22)),ISNUMBER(SEARCH(",",O22))),OR(SUBSTITUTE(SUBSTITUTE(SUBSTITUTE(SUBSTITUTE(SUBSTITUTE(SUBSTITUTE(SUBSTITUTE(SUBSTITUTE(SUBSTITUTE(SUBSTITUTE(SUBSTITUTE(SUBSTITUTE(SUBSTITUTE(SUBSTITUTE(SUBSTITUTE(SUBSTITUTE(SUBSTITUTE(SUBSTITUTE("x"&amp;M22,"0",""),"1",""),"2",""),"3",""),"4",""),"5",""),"6",""),"7",""),"8",""),"9",""),".",""),"E",""),"+",""),"-",""),"&lt;",""),"&gt;",""),"=","")," ","")&lt;&gt;"x",ISNUMBER(SEARCH("-",SUBSTITUTE(SUBSTITUTE("x"&amp;MID(M22,2,99),"E-","E"),"E+","E"))),ISNUMBER(SEARCH("+",SUBSTITUTE(SUBSTITUTE("x"&amp;MID(M22,2,99),"E-","E"),"E+","E"))))),"",IF(AND(OR(LEFT(M22,1)="&lt;",LEFT(M22,1)="&gt;"),IF(O22="",0,IF(ISNUMBER(AH22),AH22,NA()))&lt;0),"",IF(O22="",0,IF(ISNUMBER(AH22),AH22,NA()))/IF(LEFT(M22,1)="&lt;",2,1))),"")))</f>
        <v/>
      </c>
      <c r="H22" s="57" t="inlineStr">
        <is>
          <t>BH01-W_20260115_03</t>
        </is>
      </c>
      <c r="I22" s="92">
        <f>IF(OR(H22="",AI22=0),0,IF(INDEX(Samples[樣品重複筆數],AI22)=1,AI22,0))</f>
        <v/>
      </c>
      <c r="J22" s="92">
        <f>IF(OR(COUNTA($A22:$D22)=0,I22=0),"",IF(INDEX(Samples[介質],I22)="","",INDEX(Samples[介質],I22)))</f>
        <v/>
      </c>
      <c r="K22" s="92">
        <f>IF(OR(COUNTA($A22:$D22)=0,T22=0),"",IF(INDEX(DB_04[標準單位],T22)="","",INDEX(DB_04[標準單位],T22)))</f>
        <v/>
      </c>
      <c r="L22" s="92">
        <f>IF(COUNTA($A22:$D22)=0,"",IF(OR(C22="",K22=""),"",IF(C22=K22,1,IF(COUNTIFS(DB_06[換算鍵],C22&amp;"|"&amp;K22,DB_06[換算檢查],"OK")=1,INDEX(DB_06[乘數],MATCH(C22&amp;"|"&amp;K22,DB_06[換算鍵],0)),""))))</f>
        <v/>
      </c>
      <c r="M22" s="92">
        <f>UPPER(SUBSTITUTE(SUBSTITUTE(SUBSTITUTE(SUBSTITUTE(TRIM(B22&amp;""),"＜","&lt;"),"＞","&gt;"),"≤","&lt;="),"≥","&gt;="))</f>
        <v/>
      </c>
      <c r="N22" s="92">
        <f>IF(M22="","",IF(OR(M22="ND",M22="N.D."),"ND",IF(OR(M22="NA",M22="N/A",M22="N.A."),"NA",IF(OR(LEFT(M22,2)="&lt;=",LEFT(M22,2)="&gt;="),LEFT(M22,2),IF(OR(LEFT(M22,1)="&lt;",LEFT(M22,1)="&gt;"),LEFT(M22,1),"數值")))))</f>
        <v/>
      </c>
      <c r="O22" s="92">
        <f>IF(OR(N22="",N22="ND",N22="NA"),"",IF(N22="數值",M22,TRIM(MID(M22,LEN(N22)+1,99))))</f>
        <v/>
      </c>
      <c r="P22" s="92">
        <f>IF(O22="","",IFERROR(IF(OR(OR(ISNUMBER(SEARCH("%",O22)),ISNUMBER(SEARCH(" ",O22)),ISNUMBER(SEARCH(",",O22))),OR(SUBSTITUTE(SUBSTITUTE(SUBSTITUTE(SUBSTITUTE(SUBSTITUTE(SUBSTITUTE(SUBSTITUTE(SUBSTITUTE(SUBSTITUTE(SUBSTITUTE(SUBSTITUTE(SUBSTITUTE(SUBSTITUTE(SUBSTITUTE(SUBSTITUTE(SUBSTITUTE(SUBSTITUTE(SUBSTITUTE("x"&amp;O22,"0",""),"1",""),"2",""),"3",""),"4",""),"5",""),"6",""),"7",""),"8",""),"9",""),".",""),"E",""),"+",""),"-",""),"&lt;",""),"&gt;",""),"=","")," ","")&lt;&gt;"x",ISNUMBER(SEARCH("-",SUBSTITUTE(SUBSTITUTE("x"&amp;MID(O22,2,99),"E-","E"),"E+","E"))),ISNUMBER(SEARCH("+",SUBSTITUTE(SUBSTITUTE("x"&amp;MID(O22,2,99),"E-","E"),"E+","E"))))),"",IF(ISNUMBER(AH22),AH22,NA())),""))</f>
        <v/>
      </c>
      <c r="Q22" s="92">
        <f>IF(AND(ISNUMBER(L22),ISNUMBER(P22)),L22*P22,"")</f>
        <v/>
      </c>
      <c r="R22" s="92">
        <f>IF(OR(COUNTA($A22:$D22)=0,U22=0),"",IF(INDEX(DB_05[管制設定值],U22)="","",INDEX(DB_05[管制設定值],U22)))</f>
        <v/>
      </c>
      <c r="S22" s="92">
        <f>IF(OR(COUNTA($A22:$D22)=0,U22=0),"",IF(INDEX(DB_05[監測設定值],U22)="","",INDEX(DB_05[監測設定值],U22)))</f>
        <v/>
      </c>
      <c r="T22" s="92">
        <f>IF(COUNTA($A22:$D22)=0,"",IF(COUNTIFS(DB_04[測項鍵],V22)=1,MATCH(V22,DB_04[測項鍵],0),0))</f>
        <v/>
      </c>
      <c r="U22" s="92">
        <f>IF(COUNTA($A22:$D22)=0,"",IF(COUNTIFS(DB_05[標準鍵],W22)=1,MATCH(W22,DB_05[標準鍵],0),0))</f>
        <v/>
      </c>
      <c r="V22" s="92">
        <f>IF(OR(J22="",A22=""),"",J22&amp;"|"&amp;A22)</f>
        <v/>
      </c>
      <c r="W22" s="92">
        <f>IF(OR('07_QAQC'!$C$3="",V22=""),"",'07_QAQC'!$C$3&amp;"|"&amp;V22)</f>
        <v/>
      </c>
      <c r="X22" s="92">
        <f>IF(OR(H22="",A22=""),"",LEN(H22)&amp;":"&amp;H22&amp;LEN(A22)&amp;":"&amp;A22)</f>
        <v/>
      </c>
      <c r="Y22" s="93">
        <f>IF(COUNTA($A22:$D22)=0,"",IF(I22=0,"樣品未建或重複",IF(INDEX(Samples[樣品檢查],I22)="","OK",INDEX(Samples[樣品檢查],I22))))</f>
        <v/>
      </c>
      <c r="Z22" s="93">
        <f>IF(COUNTA($A22:$D22)=0,"",IF(B22="","缺原始值",IF(OR(B22="-",B22="--"),"無資料",IF(N22="NA","不適用",IF(N22="ND","OK",IF(NOT(ISNUMBER(P22)),"格式待核",IF(AND(N22&lt;&gt;"數值",P22&lt;0),"界限不得為負","OK")))))))</f>
        <v/>
      </c>
      <c r="AA22" s="93">
        <f>IF(COUNTA(A22:D22)=0,"",IF(OR(A22="",H22=""),"缺識別欄位",IF(IF(LEN("="&amp;SUBSTITUTE(SUBSTITUTE(SUBSTITUTE(X22,"~","~~"),"*","~*"),"?","~?"))&lt;=255,COUNTIF(Results[結果識別鍵],"="&amp;SUBSTITUTE(SUBSTITUTE(SUBSTITUTE(X22,"~","~~"),"*","~*"),"?","~?")),COUNTIFS(Results[關聯鍵],"="&amp;SUBSTITUTE(SUBSTITUTE(SUBSTITUTE(H22,"~","~~"),"*","~*"),"?","~?"),Results[分析項目],"="&amp;SUBSTITUTE(SUBSTITUTE(SUBSTITUTE(A22,"~","~~"),"*","~*"),"?","~?")))&gt;1,"同關聯鍵測項重複","OK")))</f>
        <v/>
      </c>
      <c r="AB22" s="93">
        <f>IF(COUNTA($A22:$D22)=0,"",IF(OR(C22="",K22=""),"缺單位",IF(NOT(ISNUMBER(L22)),"單位不相容",IF(L22=1,"OK","已換算"))))</f>
        <v/>
      </c>
      <c r="AC22" s="93">
        <f>IF(COUNTA($A22:$D22)=0,"",IF('07_QAQC'!$C$3="","未選比較版本",IF(U22=0,IF(COUNTIFS(DB_05[標準鍵],W22)&gt;1,"標準鍵重複","未訂此介質／測項門檻"),IF(INDEX(DB_05[版本檢查],U22)&lt;&gt;"OK","標準主檔待核",IF(INDEX(DB_05[標準單位],U22)&lt;&gt;K22,"標準單位不符",IF(INDEX(DB_05[核對狀態],U22)="停用","停用",IF(F22="","缺採樣日期",IF(OR(AND(INDEX(DB_05[生效日],U22)&lt;&gt;"",F22&lt;INDEX(DB_05[生效日],U22)),AND(INDEX(DB_05[失效日],U22)&lt;&gt;"",F22&gt;INDEX(DB_05[失效日],U22))),"日期不適用",INDEX(DB_05[核對狀態],U22)))))))))</f>
        <v/>
      </c>
      <c r="AD22" s="93">
        <f>IF(COUNTA($A22:$D22)=0,"",IF(AC22="未訂此介質／測項門檻",AC22,IF(AC22&lt;&gt;"已核對","標準待核",IF(R22="","未訂管制值",IF(NOT(ISNUMBER(L22)),"單位待核",IF(N22="ND","無法判定（ND無界限）",IF(N22="NA","不適用",IF(Z22&lt;&gt;"OK",Z22,IF(N22="數值",IF(Q22&gt;=R22,"達管制值","未達管制值"),IF(OR(N22="&lt;",N22="&lt;="),IF(OR(Q22&lt;R22,AND(N22="&lt;",Q22=R22)),"未達管制值","無法判定"),IF(OR(N22="&gt;",N22="&gt;="),IF(Q22&gt;=R22,"達管制值","無法判定"),"格式待核")))))))))))</f>
        <v/>
      </c>
      <c r="AE22" s="93">
        <f>IF(COUNTA($A22:$D22)=0,"",IF(AC22="未訂此介質／測項門檻",AC22,IF(AC22&lt;&gt;"已核對","標準待核",IF(S22="","未訂監測值",IF(NOT(ISNUMBER(L22)),"單位待核",IF(N22="ND","無法判定（ND無界限）",IF(N22="NA","不適用",IF(Z22&lt;&gt;"OK",Z22,IF(N22="數值",IF(Q22&gt;=S22,"達監測值","未達監測值"),IF(OR(N22="&lt;",N22="&lt;="),IF(OR(Q22&lt;S22,AND(N22="&lt;",Q22=S22)),"未達監測值","無法判定"),IF(OR(N22="&gt;",N22="&gt;="),IF(Q22&gt;=S22,"達監測值","無法判定"),"格式待核")))))))))))</f>
        <v/>
      </c>
      <c r="AF22" s="93">
        <f>IF(COUNTA($A22:$D22)=0,"",IF(OR(E22="",A22="",B22="",C22=""),"缺必要欄位",IF(Y22&lt;&gt;"OK","樣品資料待補",IF(T22=0,"測項未建或重複",IF(INDEX(DB_04[啟用],T22)&lt;&gt;"是","測項停用",IF(AND(Z22&lt;&gt;"OK",Z22&lt;&gt;"不適用"),Z22,IF(AND(AB22&lt;&gt;"OK",AB22&lt;&gt;"已換算"),"單位待核",IF(AA22&lt;&gt;"OK",AA22,"OK"))))))))</f>
        <v/>
      </c>
      <c r="AG22" s="93">
        <f>IF(COUNTA($A22:$D22)=0,"",IF(N22="ND","ND取0",IF(OR(N22="&lt;",N22="&lt;="),"界限除以2",IF(N22="NA","不適用",IF(OR(N22="&gt;",N22="&gt;="),"保留界限數值","保留原數值")))))</f>
        <v/>
      </c>
      <c r="AH22" s="92">
        <f>IF(O22="","",IFERROR(_xlfn.NUMBERVALUE(O22,".",","),""))</f>
        <v/>
      </c>
      <c r="AI22" s="92">
        <f>IF(H22="","",IFERROR(MATCH(H22,Samples[樣品編號],0),0))</f>
        <v/>
      </c>
    </row>
    <row r="23">
      <c r="A23" s="27" t="inlineStr">
        <is>
          <t>溶氧飽和度</t>
        </is>
      </c>
      <c r="B23" s="28" t="inlineStr">
        <is>
          <t>61</t>
        </is>
      </c>
      <c r="C23" s="27" t="inlineStr">
        <is>
          <t>%</t>
        </is>
      </c>
      <c r="D23" s="39" t="inlineStr">
        <is>
          <t>合成資料，非實測；method=field</t>
        </is>
      </c>
      <c r="E23" s="29">
        <f>IF(OR(I23="",I23=0),"",IF(INDEX(Samples[監測點],I23)="","",INDEX(Samples[監測點],I23)))</f>
        <v/>
      </c>
      <c r="F23" s="90">
        <f>IF(OR(I23="",I23=0),"",IF(INDEX(Samples[採樣日期],I23)="","",INDEX(Samples[採樣日期],I23)))</f>
        <v/>
      </c>
      <c r="G23" s="91">
        <f>IF(OR(M23="",M23="NA",M23="N/A"),"",IF(OR(M23="ND",M23="N.D."),0,IFERROR(IF(OR(OR(ISNUMBER(SEARCH("%",O23)),ISNUMBER(SEARCH(" ",O23)),ISNUMBER(SEARCH(",",O23))),OR(SUBSTITUTE(SUBSTITUTE(SUBSTITUTE(SUBSTITUTE(SUBSTITUTE(SUBSTITUTE(SUBSTITUTE(SUBSTITUTE(SUBSTITUTE(SUBSTITUTE(SUBSTITUTE(SUBSTITUTE(SUBSTITUTE(SUBSTITUTE(SUBSTITUTE(SUBSTITUTE(SUBSTITUTE(SUBSTITUTE("x"&amp;M23,"0",""),"1",""),"2",""),"3",""),"4",""),"5",""),"6",""),"7",""),"8",""),"9",""),".",""),"E",""),"+",""),"-",""),"&lt;",""),"&gt;",""),"=","")," ","")&lt;&gt;"x",ISNUMBER(SEARCH("-",SUBSTITUTE(SUBSTITUTE("x"&amp;MID(M23,2,99),"E-","E"),"E+","E"))),ISNUMBER(SEARCH("+",SUBSTITUTE(SUBSTITUTE("x"&amp;MID(M23,2,99),"E-","E"),"E+","E"))))),"",IF(AND(OR(LEFT(M23,1)="&lt;",LEFT(M23,1)="&gt;"),IF(O23="",0,IF(ISNUMBER(AH23),AH23,NA()))&lt;0),"",IF(O23="",0,IF(ISNUMBER(AH23),AH23,NA()))/IF(LEFT(M23,1)="&lt;",2,1))),"")))</f>
        <v/>
      </c>
      <c r="H23" s="57" t="inlineStr">
        <is>
          <t>BH01-W_20260115_03</t>
        </is>
      </c>
      <c r="I23" s="92">
        <f>IF(OR(H23="",AI23=0),0,IF(INDEX(Samples[樣品重複筆數],AI23)=1,AI23,0))</f>
        <v/>
      </c>
      <c r="J23" s="92">
        <f>IF(OR(COUNTA($A23:$D23)=0,I23=0),"",IF(INDEX(Samples[介質],I23)="","",INDEX(Samples[介質],I23)))</f>
        <v/>
      </c>
      <c r="K23" s="92">
        <f>IF(OR(COUNTA($A23:$D23)=0,T23=0),"",IF(INDEX(DB_04[標準單位],T23)="","",INDEX(DB_04[標準單位],T23)))</f>
        <v/>
      </c>
      <c r="L23" s="92">
        <f>IF(COUNTA($A23:$D23)=0,"",IF(OR(C23="",K23=""),"",IF(C23=K23,1,IF(COUNTIFS(DB_06[換算鍵],C23&amp;"|"&amp;K23,DB_06[換算檢查],"OK")=1,INDEX(DB_06[乘數],MATCH(C23&amp;"|"&amp;K23,DB_06[換算鍵],0)),""))))</f>
        <v/>
      </c>
      <c r="M23" s="92">
        <f>UPPER(SUBSTITUTE(SUBSTITUTE(SUBSTITUTE(SUBSTITUTE(TRIM(B23&amp;""),"＜","&lt;"),"＞","&gt;"),"≤","&lt;="),"≥","&gt;="))</f>
        <v/>
      </c>
      <c r="N23" s="92">
        <f>IF(M23="","",IF(OR(M23="ND",M23="N.D."),"ND",IF(OR(M23="NA",M23="N/A",M23="N.A."),"NA",IF(OR(LEFT(M23,2)="&lt;=",LEFT(M23,2)="&gt;="),LEFT(M23,2),IF(OR(LEFT(M23,1)="&lt;",LEFT(M23,1)="&gt;"),LEFT(M23,1),"數值")))))</f>
        <v/>
      </c>
      <c r="O23" s="92">
        <f>IF(OR(N23="",N23="ND",N23="NA"),"",IF(N23="數值",M23,TRIM(MID(M23,LEN(N23)+1,99))))</f>
        <v/>
      </c>
      <c r="P23" s="92">
        <f>IF(O23="","",IFERROR(IF(OR(OR(ISNUMBER(SEARCH("%",O23)),ISNUMBER(SEARCH(" ",O23)),ISNUMBER(SEARCH(",",O23))),OR(SUBSTITUTE(SUBSTITUTE(SUBSTITUTE(SUBSTITUTE(SUBSTITUTE(SUBSTITUTE(SUBSTITUTE(SUBSTITUTE(SUBSTITUTE(SUBSTITUTE(SUBSTITUTE(SUBSTITUTE(SUBSTITUTE(SUBSTITUTE(SUBSTITUTE(SUBSTITUTE(SUBSTITUTE(SUBSTITUTE("x"&amp;O23,"0",""),"1",""),"2",""),"3",""),"4",""),"5",""),"6",""),"7",""),"8",""),"9",""),".",""),"E",""),"+",""),"-",""),"&lt;",""),"&gt;",""),"=","")," ","")&lt;&gt;"x",ISNUMBER(SEARCH("-",SUBSTITUTE(SUBSTITUTE("x"&amp;MID(O23,2,99),"E-","E"),"E+","E"))),ISNUMBER(SEARCH("+",SUBSTITUTE(SUBSTITUTE("x"&amp;MID(O23,2,99),"E-","E"),"E+","E"))))),"",IF(ISNUMBER(AH23),AH23,NA())),""))</f>
        <v/>
      </c>
      <c r="Q23" s="92">
        <f>IF(AND(ISNUMBER(L23),ISNUMBER(P23)),L23*P23,"")</f>
        <v/>
      </c>
      <c r="R23" s="92">
        <f>IF(OR(COUNTA($A23:$D23)=0,U23=0),"",IF(INDEX(DB_05[管制設定值],U23)="","",INDEX(DB_05[管制設定值],U23)))</f>
        <v/>
      </c>
      <c r="S23" s="92">
        <f>IF(OR(COUNTA($A23:$D23)=0,U23=0),"",IF(INDEX(DB_05[監測設定值],U23)="","",INDEX(DB_05[監測設定值],U23)))</f>
        <v/>
      </c>
      <c r="T23" s="92">
        <f>IF(COUNTA($A23:$D23)=0,"",IF(COUNTIFS(DB_04[測項鍵],V23)=1,MATCH(V23,DB_04[測項鍵],0),0))</f>
        <v/>
      </c>
      <c r="U23" s="92">
        <f>IF(COUNTA($A23:$D23)=0,"",IF(COUNTIFS(DB_05[標準鍵],W23)=1,MATCH(W23,DB_05[標準鍵],0),0))</f>
        <v/>
      </c>
      <c r="V23" s="92">
        <f>IF(OR(J23="",A23=""),"",J23&amp;"|"&amp;A23)</f>
        <v/>
      </c>
      <c r="W23" s="92">
        <f>IF(OR('07_QAQC'!$C$3="",V23=""),"",'07_QAQC'!$C$3&amp;"|"&amp;V23)</f>
        <v/>
      </c>
      <c r="X23" s="92">
        <f>IF(OR(H23="",A23=""),"",LEN(H23)&amp;":"&amp;H23&amp;LEN(A23)&amp;":"&amp;A23)</f>
        <v/>
      </c>
      <c r="Y23" s="93">
        <f>IF(COUNTA($A23:$D23)=0,"",IF(I23=0,"樣品未建或重複",IF(INDEX(Samples[樣品檢查],I23)="","OK",INDEX(Samples[樣品檢查],I23))))</f>
        <v/>
      </c>
      <c r="Z23" s="93">
        <f>IF(COUNTA($A23:$D23)=0,"",IF(B23="","缺原始值",IF(OR(B23="-",B23="--"),"無資料",IF(N23="NA","不適用",IF(N23="ND","OK",IF(NOT(ISNUMBER(P23)),"格式待核",IF(AND(N23&lt;&gt;"數值",P23&lt;0),"界限不得為負","OK")))))))</f>
        <v/>
      </c>
      <c r="AA23" s="93">
        <f>IF(COUNTA(A23:D23)=0,"",IF(OR(A23="",H23=""),"缺識別欄位",IF(IF(LEN("="&amp;SUBSTITUTE(SUBSTITUTE(SUBSTITUTE(X23,"~","~~"),"*","~*"),"?","~?"))&lt;=255,COUNTIF(Results[結果識別鍵],"="&amp;SUBSTITUTE(SUBSTITUTE(SUBSTITUTE(X23,"~","~~"),"*","~*"),"?","~?")),COUNTIFS(Results[關聯鍵],"="&amp;SUBSTITUTE(SUBSTITUTE(SUBSTITUTE(H23,"~","~~"),"*","~*"),"?","~?"),Results[分析項目],"="&amp;SUBSTITUTE(SUBSTITUTE(SUBSTITUTE(A23,"~","~~"),"*","~*"),"?","~?")))&gt;1,"同關聯鍵測項重複","OK")))</f>
        <v/>
      </c>
      <c r="AB23" s="93">
        <f>IF(COUNTA($A23:$D23)=0,"",IF(OR(C23="",K23=""),"缺單位",IF(NOT(ISNUMBER(L23)),"單位不相容",IF(L23=1,"OK","已換算"))))</f>
        <v/>
      </c>
      <c r="AC23" s="93">
        <f>IF(COUNTA($A23:$D23)=0,"",IF('07_QAQC'!$C$3="","未選比較版本",IF(U23=0,IF(COUNTIFS(DB_05[標準鍵],W23)&gt;1,"標準鍵重複","未訂此介質／測項門檻"),IF(INDEX(DB_05[版本檢查],U23)&lt;&gt;"OK","標準主檔待核",IF(INDEX(DB_05[標準單位],U23)&lt;&gt;K23,"標準單位不符",IF(INDEX(DB_05[核對狀態],U23)="停用","停用",IF(F23="","缺採樣日期",IF(OR(AND(INDEX(DB_05[生效日],U23)&lt;&gt;"",F23&lt;INDEX(DB_05[生效日],U23)),AND(INDEX(DB_05[失效日],U23)&lt;&gt;"",F23&gt;INDEX(DB_05[失效日],U23))),"日期不適用",INDEX(DB_05[核對狀態],U23)))))))))</f>
        <v/>
      </c>
      <c r="AD23" s="93">
        <f>IF(COUNTA($A23:$D23)=0,"",IF(AC23="未訂此介質／測項門檻",AC23,IF(AC23&lt;&gt;"已核對","標準待核",IF(R23="","未訂管制值",IF(NOT(ISNUMBER(L23)),"單位待核",IF(N23="ND","無法判定（ND無界限）",IF(N23="NA","不適用",IF(Z23&lt;&gt;"OK",Z23,IF(N23="數值",IF(Q23&gt;=R23,"達管制值","未達管制值"),IF(OR(N23="&lt;",N23="&lt;="),IF(OR(Q23&lt;R23,AND(N23="&lt;",Q23=R23)),"未達管制值","無法判定"),IF(OR(N23="&gt;",N23="&gt;="),IF(Q23&gt;=R23,"達管制值","無法判定"),"格式待核")))))))))))</f>
        <v/>
      </c>
      <c r="AE23" s="93">
        <f>IF(COUNTA($A23:$D23)=0,"",IF(AC23="未訂此介質／測項門檻",AC23,IF(AC23&lt;&gt;"已核對","標準待核",IF(S23="","未訂監測值",IF(NOT(ISNUMBER(L23)),"單位待核",IF(N23="ND","無法判定（ND無界限）",IF(N23="NA","不適用",IF(Z23&lt;&gt;"OK",Z23,IF(N23="數值",IF(Q23&gt;=S23,"達監測值","未達監測值"),IF(OR(N23="&lt;",N23="&lt;="),IF(OR(Q23&lt;S23,AND(N23="&lt;",Q23=S23)),"未達監測值","無法判定"),IF(OR(N23="&gt;",N23="&gt;="),IF(Q23&gt;=S23,"達監測值","無法判定"),"格式待核")))))))))))</f>
        <v/>
      </c>
      <c r="AF23" s="93">
        <f>IF(COUNTA($A23:$D23)=0,"",IF(OR(E23="",A23="",B23="",C23=""),"缺必要欄位",IF(Y23&lt;&gt;"OK","樣品資料待補",IF(T23=0,"測項未建或重複",IF(INDEX(DB_04[啟用],T23)&lt;&gt;"是","測項停用",IF(AND(Z23&lt;&gt;"OK",Z23&lt;&gt;"不適用"),Z23,IF(AND(AB23&lt;&gt;"OK",AB23&lt;&gt;"已換算"),"單位待核",IF(AA23&lt;&gt;"OK",AA23,"OK"))))))))</f>
        <v/>
      </c>
      <c r="AG23" s="93">
        <f>IF(COUNTA($A23:$D23)=0,"",IF(N23="ND","ND取0",IF(OR(N23="&lt;",N23="&lt;="),"界限除以2",IF(N23="NA","不適用",IF(OR(N23="&gt;",N23="&gt;="),"保留界限數值","保留原數值")))))</f>
        <v/>
      </c>
      <c r="AH23" s="92">
        <f>IF(O23="","",IFERROR(_xlfn.NUMBERVALUE(O23,".",","),""))</f>
        <v/>
      </c>
      <c r="AI23" s="92">
        <f>IF(H23="","",IFERROR(MATCH(H23,Samples[樣品編號],0),0))</f>
        <v/>
      </c>
    </row>
    <row r="24">
      <c r="A24" s="27" t="inlineStr">
        <is>
          <t>ORP</t>
        </is>
      </c>
      <c r="B24" s="28" t="inlineStr">
        <is>
          <t>0</t>
        </is>
      </c>
      <c r="C24" s="27" t="inlineStr">
        <is>
          <t>mV</t>
        </is>
      </c>
      <c r="D24" s="39" t="inlineStr">
        <is>
          <t>合成資料，非實測；method=field; reference_electrode=Ag/AgCl; calibration=verified</t>
        </is>
      </c>
      <c r="E24" s="29">
        <f>IF(OR(I24="",I24=0),"",IF(INDEX(Samples[監測點],I24)="","",INDEX(Samples[監測點],I24)))</f>
        <v/>
      </c>
      <c r="F24" s="90">
        <f>IF(OR(I24="",I24=0),"",IF(INDEX(Samples[採樣日期],I24)="","",INDEX(Samples[採樣日期],I24)))</f>
        <v/>
      </c>
      <c r="G24" s="91">
        <f>IF(OR(M24="",M24="NA",M24="N/A"),"",IF(OR(M24="ND",M24="N.D."),0,IFERROR(IF(OR(OR(ISNUMBER(SEARCH("%",O24)),ISNUMBER(SEARCH(" ",O24)),ISNUMBER(SEARCH(",",O24))),OR(SUBSTITUTE(SUBSTITUTE(SUBSTITUTE(SUBSTITUTE(SUBSTITUTE(SUBSTITUTE(SUBSTITUTE(SUBSTITUTE(SUBSTITUTE(SUBSTITUTE(SUBSTITUTE(SUBSTITUTE(SUBSTITUTE(SUBSTITUTE(SUBSTITUTE(SUBSTITUTE(SUBSTITUTE(SUBSTITUTE("x"&amp;M24,"0",""),"1",""),"2",""),"3",""),"4",""),"5",""),"6",""),"7",""),"8",""),"9",""),".",""),"E",""),"+",""),"-",""),"&lt;",""),"&gt;",""),"=","")," ","")&lt;&gt;"x",ISNUMBER(SEARCH("-",SUBSTITUTE(SUBSTITUTE("x"&amp;MID(M24,2,99),"E-","E"),"E+","E"))),ISNUMBER(SEARCH("+",SUBSTITUTE(SUBSTITUTE("x"&amp;MID(M24,2,99),"E-","E"),"E+","E"))))),"",IF(AND(OR(LEFT(M24,1)="&lt;",LEFT(M24,1)="&gt;"),IF(O24="",0,IF(ISNUMBER(AH24),AH24,NA()))&lt;0),"",IF(O24="",0,IF(ISNUMBER(AH24),AH24,NA()))/IF(LEFT(M24,1)="&lt;",2,1))),"")))</f>
        <v/>
      </c>
      <c r="H24" s="57" t="inlineStr">
        <is>
          <t>BH01-W_20260115_03</t>
        </is>
      </c>
      <c r="I24" s="92">
        <f>IF(OR(H24="",AI24=0),0,IF(INDEX(Samples[樣品重複筆數],AI24)=1,AI24,0))</f>
        <v/>
      </c>
      <c r="J24" s="92">
        <f>IF(OR(COUNTA($A24:$D24)=0,I24=0),"",IF(INDEX(Samples[介質],I24)="","",INDEX(Samples[介質],I24)))</f>
        <v/>
      </c>
      <c r="K24" s="92">
        <f>IF(OR(COUNTA($A24:$D24)=0,T24=0),"",IF(INDEX(DB_04[標準單位],T24)="","",INDEX(DB_04[標準單位],T24)))</f>
        <v/>
      </c>
      <c r="L24" s="92">
        <f>IF(COUNTA($A24:$D24)=0,"",IF(OR(C24="",K24=""),"",IF(C24=K24,1,IF(COUNTIFS(DB_06[換算鍵],C24&amp;"|"&amp;K24,DB_06[換算檢查],"OK")=1,INDEX(DB_06[乘數],MATCH(C24&amp;"|"&amp;K24,DB_06[換算鍵],0)),""))))</f>
        <v/>
      </c>
      <c r="M24" s="92">
        <f>UPPER(SUBSTITUTE(SUBSTITUTE(SUBSTITUTE(SUBSTITUTE(TRIM(B24&amp;""),"＜","&lt;"),"＞","&gt;"),"≤","&lt;="),"≥","&gt;="))</f>
        <v/>
      </c>
      <c r="N24" s="92">
        <f>IF(M24="","",IF(OR(M24="ND",M24="N.D."),"ND",IF(OR(M24="NA",M24="N/A",M24="N.A."),"NA",IF(OR(LEFT(M24,2)="&lt;=",LEFT(M24,2)="&gt;="),LEFT(M24,2),IF(OR(LEFT(M24,1)="&lt;",LEFT(M24,1)="&gt;"),LEFT(M24,1),"數值")))))</f>
        <v/>
      </c>
      <c r="O24" s="92">
        <f>IF(OR(N24="",N24="ND",N24="NA"),"",IF(N24="數值",M24,TRIM(MID(M24,LEN(N24)+1,99))))</f>
        <v/>
      </c>
      <c r="P24" s="92">
        <f>IF(O24="","",IFERROR(IF(OR(OR(ISNUMBER(SEARCH("%",O24)),ISNUMBER(SEARCH(" ",O24)),ISNUMBER(SEARCH(",",O24))),OR(SUBSTITUTE(SUBSTITUTE(SUBSTITUTE(SUBSTITUTE(SUBSTITUTE(SUBSTITUTE(SUBSTITUTE(SUBSTITUTE(SUBSTITUTE(SUBSTITUTE(SUBSTITUTE(SUBSTITUTE(SUBSTITUTE(SUBSTITUTE(SUBSTITUTE(SUBSTITUTE(SUBSTITUTE(SUBSTITUTE("x"&amp;O24,"0",""),"1",""),"2",""),"3",""),"4",""),"5",""),"6",""),"7",""),"8",""),"9",""),".",""),"E",""),"+",""),"-",""),"&lt;",""),"&gt;",""),"=","")," ","")&lt;&gt;"x",ISNUMBER(SEARCH("-",SUBSTITUTE(SUBSTITUTE("x"&amp;MID(O24,2,99),"E-","E"),"E+","E"))),ISNUMBER(SEARCH("+",SUBSTITUTE(SUBSTITUTE("x"&amp;MID(O24,2,99),"E-","E"),"E+","E"))))),"",IF(ISNUMBER(AH24),AH24,NA())),""))</f>
        <v/>
      </c>
      <c r="Q24" s="92">
        <f>IF(AND(ISNUMBER(L24),ISNUMBER(P24)),L24*P24,"")</f>
        <v/>
      </c>
      <c r="R24" s="92">
        <f>IF(OR(COUNTA($A24:$D24)=0,U24=0),"",IF(INDEX(DB_05[管制設定值],U24)="","",INDEX(DB_05[管制設定值],U24)))</f>
        <v/>
      </c>
      <c r="S24" s="92">
        <f>IF(OR(COUNTA($A24:$D24)=0,U24=0),"",IF(INDEX(DB_05[監測設定值],U24)="","",INDEX(DB_05[監測設定值],U24)))</f>
        <v/>
      </c>
      <c r="T24" s="92">
        <f>IF(COUNTA($A24:$D24)=0,"",IF(COUNTIFS(DB_04[測項鍵],V24)=1,MATCH(V24,DB_04[測項鍵],0),0))</f>
        <v/>
      </c>
      <c r="U24" s="92">
        <f>IF(COUNTA($A24:$D24)=0,"",IF(COUNTIFS(DB_05[標準鍵],W24)=1,MATCH(W24,DB_05[標準鍵],0),0))</f>
        <v/>
      </c>
      <c r="V24" s="92">
        <f>IF(OR(J24="",A24=""),"",J24&amp;"|"&amp;A24)</f>
        <v/>
      </c>
      <c r="W24" s="92">
        <f>IF(OR('07_QAQC'!$C$3="",V24=""),"",'07_QAQC'!$C$3&amp;"|"&amp;V24)</f>
        <v/>
      </c>
      <c r="X24" s="92">
        <f>IF(OR(H24="",A24=""),"",LEN(H24)&amp;":"&amp;H24&amp;LEN(A24)&amp;":"&amp;A24)</f>
        <v/>
      </c>
      <c r="Y24" s="93">
        <f>IF(COUNTA($A24:$D24)=0,"",IF(I24=0,"樣品未建或重複",IF(INDEX(Samples[樣品檢查],I24)="","OK",INDEX(Samples[樣品檢查],I24))))</f>
        <v/>
      </c>
      <c r="Z24" s="93">
        <f>IF(COUNTA($A24:$D24)=0,"",IF(B24="","缺原始值",IF(OR(B24="-",B24="--"),"無資料",IF(N24="NA","不適用",IF(N24="ND","OK",IF(NOT(ISNUMBER(P24)),"格式待核",IF(AND(N24&lt;&gt;"數值",P24&lt;0),"界限不得為負","OK")))))))</f>
        <v/>
      </c>
      <c r="AA24" s="93">
        <f>IF(COUNTA(A24:D24)=0,"",IF(OR(A24="",H24=""),"缺識別欄位",IF(IF(LEN("="&amp;SUBSTITUTE(SUBSTITUTE(SUBSTITUTE(X24,"~","~~"),"*","~*"),"?","~?"))&lt;=255,COUNTIF(Results[結果識別鍵],"="&amp;SUBSTITUTE(SUBSTITUTE(SUBSTITUTE(X24,"~","~~"),"*","~*"),"?","~?")),COUNTIFS(Results[關聯鍵],"="&amp;SUBSTITUTE(SUBSTITUTE(SUBSTITUTE(H24,"~","~~"),"*","~*"),"?","~?"),Results[分析項目],"="&amp;SUBSTITUTE(SUBSTITUTE(SUBSTITUTE(A24,"~","~~"),"*","~*"),"?","~?")))&gt;1,"同關聯鍵測項重複","OK")))</f>
        <v/>
      </c>
      <c r="AB24" s="93">
        <f>IF(COUNTA($A24:$D24)=0,"",IF(OR(C24="",K24=""),"缺單位",IF(NOT(ISNUMBER(L24)),"單位不相容",IF(L24=1,"OK","已換算"))))</f>
        <v/>
      </c>
      <c r="AC24" s="93">
        <f>IF(COUNTA($A24:$D24)=0,"",IF('07_QAQC'!$C$3="","未選比較版本",IF(U24=0,IF(COUNTIFS(DB_05[標準鍵],W24)&gt;1,"標準鍵重複","未訂此介質／測項門檻"),IF(INDEX(DB_05[版本檢查],U24)&lt;&gt;"OK","標準主檔待核",IF(INDEX(DB_05[標準單位],U24)&lt;&gt;K24,"標準單位不符",IF(INDEX(DB_05[核對狀態],U24)="停用","停用",IF(F24="","缺採樣日期",IF(OR(AND(INDEX(DB_05[生效日],U24)&lt;&gt;"",F24&lt;INDEX(DB_05[生效日],U24)),AND(INDEX(DB_05[失效日],U24)&lt;&gt;"",F24&gt;INDEX(DB_05[失效日],U24))),"日期不適用",INDEX(DB_05[核對狀態],U24)))))))))</f>
        <v/>
      </c>
      <c r="AD24" s="93">
        <f>IF(COUNTA($A24:$D24)=0,"",IF(AC24="未訂此介質／測項門檻",AC24,IF(AC24&lt;&gt;"已核對","標準待核",IF(R24="","未訂管制值",IF(NOT(ISNUMBER(L24)),"單位待核",IF(N24="ND","無法判定（ND無界限）",IF(N24="NA","不適用",IF(Z24&lt;&gt;"OK",Z24,IF(N24="數值",IF(Q24&gt;=R24,"達管制值","未達管制值"),IF(OR(N24="&lt;",N24="&lt;="),IF(OR(Q24&lt;R24,AND(N24="&lt;",Q24=R24)),"未達管制值","無法判定"),IF(OR(N24="&gt;",N24="&gt;="),IF(Q24&gt;=R24,"達管制值","無法判定"),"格式待核")))))))))))</f>
        <v/>
      </c>
      <c r="AE24" s="93">
        <f>IF(COUNTA($A24:$D24)=0,"",IF(AC24="未訂此介質／測項門檻",AC24,IF(AC24&lt;&gt;"已核對","標準待核",IF(S24="","未訂監測值",IF(NOT(ISNUMBER(L24)),"單位待核",IF(N24="ND","無法判定（ND無界限）",IF(N24="NA","不適用",IF(Z24&lt;&gt;"OK",Z24,IF(N24="數值",IF(Q24&gt;=S24,"達監測值","未達監測值"),IF(OR(N24="&lt;",N24="&lt;="),IF(OR(Q24&lt;S24,AND(N24="&lt;",Q24=S24)),"未達監測值","無法判定"),IF(OR(N24="&gt;",N24="&gt;="),IF(Q24&gt;=S24,"達監測值","無法判定"),"格式待核")))))))))))</f>
        <v/>
      </c>
      <c r="AF24" s="93">
        <f>IF(COUNTA($A24:$D24)=0,"",IF(OR(E24="",A24="",B24="",C24=""),"缺必要欄位",IF(Y24&lt;&gt;"OK","樣品資料待補",IF(T24=0,"測項未建或重複",IF(INDEX(DB_04[啟用],T24)&lt;&gt;"是","測項停用",IF(AND(Z24&lt;&gt;"OK",Z24&lt;&gt;"不適用"),Z24,IF(AND(AB24&lt;&gt;"OK",AB24&lt;&gt;"已換算"),"單位待核",IF(AA24&lt;&gt;"OK",AA24,"OK"))))))))</f>
        <v/>
      </c>
      <c r="AG24" s="93">
        <f>IF(COUNTA($A24:$D24)=0,"",IF(N24="ND","ND取0",IF(OR(N24="&lt;",N24="&lt;="),"界限除以2",IF(N24="NA","不適用",IF(OR(N24="&gt;",N24="&gt;="),"保留界限數值","保留原數值")))))</f>
        <v/>
      </c>
      <c r="AH24" s="92">
        <f>IF(O24="","",IFERROR(_xlfn.NUMBERVALUE(O24,".",","),""))</f>
        <v/>
      </c>
      <c r="AI24" s="92">
        <f>IF(H24="","",IFERROR(MATCH(H24,Samples[樣品編號],0),0))</f>
        <v/>
      </c>
    </row>
    <row r="25">
      <c r="A25" s="27" t="inlineStr">
        <is>
          <t>總有機碳</t>
        </is>
      </c>
      <c r="B25" s="28" t="inlineStr">
        <is>
          <t>2.8</t>
        </is>
      </c>
      <c r="C25" s="27" t="inlineStr">
        <is>
          <t>mg/L</t>
        </is>
      </c>
      <c r="D25" s="39" t="inlineStr">
        <is>
          <t>合成資料，非實測；method=lab</t>
        </is>
      </c>
      <c r="E25" s="29">
        <f>IF(OR(I25="",I25=0),"",IF(INDEX(Samples[監測點],I25)="","",INDEX(Samples[監測點],I25)))</f>
        <v/>
      </c>
      <c r="F25" s="90">
        <f>IF(OR(I25="",I25=0),"",IF(INDEX(Samples[採樣日期],I25)="","",INDEX(Samples[採樣日期],I25)))</f>
        <v/>
      </c>
      <c r="G25" s="91">
        <f>IF(OR(M25="",M25="NA",M25="N/A"),"",IF(OR(M25="ND",M25="N.D."),0,IFERROR(IF(OR(OR(ISNUMBER(SEARCH("%",O25)),ISNUMBER(SEARCH(" ",O25)),ISNUMBER(SEARCH(",",O25))),OR(SUBSTITUTE(SUBSTITUTE(SUBSTITUTE(SUBSTITUTE(SUBSTITUTE(SUBSTITUTE(SUBSTITUTE(SUBSTITUTE(SUBSTITUTE(SUBSTITUTE(SUBSTITUTE(SUBSTITUTE(SUBSTITUTE(SUBSTITUTE(SUBSTITUTE(SUBSTITUTE(SUBSTITUTE(SUBSTITUTE("x"&amp;M25,"0",""),"1",""),"2",""),"3",""),"4",""),"5",""),"6",""),"7",""),"8",""),"9",""),".",""),"E",""),"+",""),"-",""),"&lt;",""),"&gt;",""),"=","")," ","")&lt;&gt;"x",ISNUMBER(SEARCH("-",SUBSTITUTE(SUBSTITUTE("x"&amp;MID(M25,2,99),"E-","E"),"E+","E"))),ISNUMBER(SEARCH("+",SUBSTITUTE(SUBSTITUTE("x"&amp;MID(M25,2,99),"E-","E"),"E+","E"))))),"",IF(AND(OR(LEFT(M25,1)="&lt;",LEFT(M25,1)="&gt;"),IF(O25="",0,IF(ISNUMBER(AH25),AH25,NA()))&lt;0),"",IF(O25="",0,IF(ISNUMBER(AH25),AH25,NA()))/IF(LEFT(M25,1)="&lt;",2,1))),"")))</f>
        <v/>
      </c>
      <c r="H25" s="57" t="inlineStr">
        <is>
          <t>BH01-W_20260115_03</t>
        </is>
      </c>
      <c r="I25" s="92">
        <f>IF(OR(H25="",AI25=0),0,IF(INDEX(Samples[樣品重複筆數],AI25)=1,AI25,0))</f>
        <v/>
      </c>
      <c r="J25" s="92">
        <f>IF(OR(COUNTA($A25:$D25)=0,I25=0),"",IF(INDEX(Samples[介質],I25)="","",INDEX(Samples[介質],I25)))</f>
        <v/>
      </c>
      <c r="K25" s="92">
        <f>IF(OR(COUNTA($A25:$D25)=0,T25=0),"",IF(INDEX(DB_04[標準單位],T25)="","",INDEX(DB_04[標準單位],T25)))</f>
        <v/>
      </c>
      <c r="L25" s="92">
        <f>IF(COUNTA($A25:$D25)=0,"",IF(OR(C25="",K25=""),"",IF(C25=K25,1,IF(COUNTIFS(DB_06[換算鍵],C25&amp;"|"&amp;K25,DB_06[換算檢查],"OK")=1,INDEX(DB_06[乘數],MATCH(C25&amp;"|"&amp;K25,DB_06[換算鍵],0)),""))))</f>
        <v/>
      </c>
      <c r="M25" s="92">
        <f>UPPER(SUBSTITUTE(SUBSTITUTE(SUBSTITUTE(SUBSTITUTE(TRIM(B25&amp;""),"＜","&lt;"),"＞","&gt;"),"≤","&lt;="),"≥","&gt;="))</f>
        <v/>
      </c>
      <c r="N25" s="92">
        <f>IF(M25="","",IF(OR(M25="ND",M25="N.D."),"ND",IF(OR(M25="NA",M25="N/A",M25="N.A."),"NA",IF(OR(LEFT(M25,2)="&lt;=",LEFT(M25,2)="&gt;="),LEFT(M25,2),IF(OR(LEFT(M25,1)="&lt;",LEFT(M25,1)="&gt;"),LEFT(M25,1),"數值")))))</f>
        <v/>
      </c>
      <c r="O25" s="92">
        <f>IF(OR(N25="",N25="ND",N25="NA"),"",IF(N25="數值",M25,TRIM(MID(M25,LEN(N25)+1,99))))</f>
        <v/>
      </c>
      <c r="P25" s="92">
        <f>IF(O25="","",IFERROR(IF(OR(OR(ISNUMBER(SEARCH("%",O25)),ISNUMBER(SEARCH(" ",O25)),ISNUMBER(SEARCH(",",O25))),OR(SUBSTITUTE(SUBSTITUTE(SUBSTITUTE(SUBSTITUTE(SUBSTITUTE(SUBSTITUTE(SUBSTITUTE(SUBSTITUTE(SUBSTITUTE(SUBSTITUTE(SUBSTITUTE(SUBSTITUTE(SUBSTITUTE(SUBSTITUTE(SUBSTITUTE(SUBSTITUTE(SUBSTITUTE(SUBSTITUTE("x"&amp;O25,"0",""),"1",""),"2",""),"3",""),"4",""),"5",""),"6",""),"7",""),"8",""),"9",""),".",""),"E",""),"+",""),"-",""),"&lt;",""),"&gt;",""),"=","")," ","")&lt;&gt;"x",ISNUMBER(SEARCH("-",SUBSTITUTE(SUBSTITUTE("x"&amp;MID(O25,2,99),"E-","E"),"E+","E"))),ISNUMBER(SEARCH("+",SUBSTITUTE(SUBSTITUTE("x"&amp;MID(O25,2,99),"E-","E"),"E+","E"))))),"",IF(ISNUMBER(AH25),AH25,NA())),""))</f>
        <v/>
      </c>
      <c r="Q25" s="92">
        <f>IF(AND(ISNUMBER(L25),ISNUMBER(P25)),L25*P25,"")</f>
        <v/>
      </c>
      <c r="R25" s="92">
        <f>IF(OR(COUNTA($A25:$D25)=0,U25=0),"",IF(INDEX(DB_05[管制設定值],U25)="","",INDEX(DB_05[管制設定值],U25)))</f>
        <v/>
      </c>
      <c r="S25" s="92">
        <f>IF(OR(COUNTA($A25:$D25)=0,U25=0),"",IF(INDEX(DB_05[監測設定值],U25)="","",INDEX(DB_05[監測設定值],U25)))</f>
        <v/>
      </c>
      <c r="T25" s="92">
        <f>IF(COUNTA($A25:$D25)=0,"",IF(COUNTIFS(DB_04[測項鍵],V25)=1,MATCH(V25,DB_04[測項鍵],0),0))</f>
        <v/>
      </c>
      <c r="U25" s="92">
        <f>IF(COUNTA($A25:$D25)=0,"",IF(COUNTIFS(DB_05[標準鍵],W25)=1,MATCH(W25,DB_05[標準鍵],0),0))</f>
        <v/>
      </c>
      <c r="V25" s="92">
        <f>IF(OR(J25="",A25=""),"",J25&amp;"|"&amp;A25)</f>
        <v/>
      </c>
      <c r="W25" s="92">
        <f>IF(OR('07_QAQC'!$C$3="",V25=""),"",'07_QAQC'!$C$3&amp;"|"&amp;V25)</f>
        <v/>
      </c>
      <c r="X25" s="92">
        <f>IF(OR(H25="",A25=""),"",LEN(H25)&amp;":"&amp;H25&amp;LEN(A25)&amp;":"&amp;A25)</f>
        <v/>
      </c>
      <c r="Y25" s="93">
        <f>IF(COUNTA($A25:$D25)=0,"",IF(I25=0,"樣品未建或重複",IF(INDEX(Samples[樣品檢查],I25)="","OK",INDEX(Samples[樣品檢查],I25))))</f>
        <v/>
      </c>
      <c r="Z25" s="93">
        <f>IF(COUNTA($A25:$D25)=0,"",IF(B25="","缺原始值",IF(OR(B25="-",B25="--"),"無資料",IF(N25="NA","不適用",IF(N25="ND","OK",IF(NOT(ISNUMBER(P25)),"格式待核",IF(AND(N25&lt;&gt;"數值",P25&lt;0),"界限不得為負","OK")))))))</f>
        <v/>
      </c>
      <c r="AA25" s="93">
        <f>IF(COUNTA(A25:D25)=0,"",IF(OR(A25="",H25=""),"缺識別欄位",IF(IF(LEN("="&amp;SUBSTITUTE(SUBSTITUTE(SUBSTITUTE(X25,"~","~~"),"*","~*"),"?","~?"))&lt;=255,COUNTIF(Results[結果識別鍵],"="&amp;SUBSTITUTE(SUBSTITUTE(SUBSTITUTE(X25,"~","~~"),"*","~*"),"?","~?")),COUNTIFS(Results[關聯鍵],"="&amp;SUBSTITUTE(SUBSTITUTE(SUBSTITUTE(H25,"~","~~"),"*","~*"),"?","~?"),Results[分析項目],"="&amp;SUBSTITUTE(SUBSTITUTE(SUBSTITUTE(A25,"~","~~"),"*","~*"),"?","~?")))&gt;1,"同關聯鍵測項重複","OK")))</f>
        <v/>
      </c>
      <c r="AB25" s="93">
        <f>IF(COUNTA($A25:$D25)=0,"",IF(OR(C25="",K25=""),"缺單位",IF(NOT(ISNUMBER(L25)),"單位不相容",IF(L25=1,"OK","已換算"))))</f>
        <v/>
      </c>
      <c r="AC25" s="93">
        <f>IF(COUNTA($A25:$D25)=0,"",IF('07_QAQC'!$C$3="","未選比較版本",IF(U25=0,IF(COUNTIFS(DB_05[標準鍵],W25)&gt;1,"標準鍵重複","未訂此介質／測項門檻"),IF(INDEX(DB_05[版本檢查],U25)&lt;&gt;"OK","標準主檔待核",IF(INDEX(DB_05[標準單位],U25)&lt;&gt;K25,"標準單位不符",IF(INDEX(DB_05[核對狀態],U25)="停用","停用",IF(F25="","缺採樣日期",IF(OR(AND(INDEX(DB_05[生效日],U25)&lt;&gt;"",F25&lt;INDEX(DB_05[生效日],U25)),AND(INDEX(DB_05[失效日],U25)&lt;&gt;"",F25&gt;INDEX(DB_05[失效日],U25))),"日期不適用",INDEX(DB_05[核對狀態],U25)))))))))</f>
        <v/>
      </c>
      <c r="AD25" s="93">
        <f>IF(COUNTA($A25:$D25)=0,"",IF(AC25="未訂此介質／測項門檻",AC25,IF(AC25&lt;&gt;"已核對","標準待核",IF(R25="","未訂管制值",IF(NOT(ISNUMBER(L25)),"單位待核",IF(N25="ND","無法判定（ND無界限）",IF(N25="NA","不適用",IF(Z25&lt;&gt;"OK",Z25,IF(N25="數值",IF(Q25&gt;=R25,"達管制值","未達管制值"),IF(OR(N25="&lt;",N25="&lt;="),IF(OR(Q25&lt;R25,AND(N25="&lt;",Q25=R25)),"未達管制值","無法判定"),IF(OR(N25="&gt;",N25="&gt;="),IF(Q25&gt;=R25,"達管制值","無法判定"),"格式待核")))))))))))</f>
        <v/>
      </c>
      <c r="AE25" s="93">
        <f>IF(COUNTA($A25:$D25)=0,"",IF(AC25="未訂此介質／測項門檻",AC25,IF(AC25&lt;&gt;"已核對","標準待核",IF(S25="","未訂監測值",IF(NOT(ISNUMBER(L25)),"單位待核",IF(N25="ND","無法判定（ND無界限）",IF(N25="NA","不適用",IF(Z25&lt;&gt;"OK",Z25,IF(N25="數值",IF(Q25&gt;=S25,"達監測值","未達監測值"),IF(OR(N25="&lt;",N25="&lt;="),IF(OR(Q25&lt;S25,AND(N25="&lt;",Q25=S25)),"未達監測值","無法判定"),IF(OR(N25="&gt;",N25="&gt;="),IF(Q25&gt;=S25,"達監測值","無法判定"),"格式待核")))))))))))</f>
        <v/>
      </c>
      <c r="AF25" s="93">
        <f>IF(COUNTA($A25:$D25)=0,"",IF(OR(E25="",A25="",B25="",C25=""),"缺必要欄位",IF(Y25&lt;&gt;"OK","樣品資料待補",IF(T25=0,"測項未建或重複",IF(INDEX(DB_04[啟用],T25)&lt;&gt;"是","測項停用",IF(AND(Z25&lt;&gt;"OK",Z25&lt;&gt;"不適用"),Z25,IF(AND(AB25&lt;&gt;"OK",AB25&lt;&gt;"已換算"),"單位待核",IF(AA25&lt;&gt;"OK",AA25,"OK"))))))))</f>
        <v/>
      </c>
      <c r="AG25" s="93">
        <f>IF(COUNTA($A25:$D25)=0,"",IF(N25="ND","ND取0",IF(OR(N25="&lt;",N25="&lt;="),"界限除以2",IF(N25="NA","不適用",IF(OR(N25="&gt;",N25="&gt;="),"保留界限數值","保留原數值")))))</f>
        <v/>
      </c>
      <c r="AH25" s="92">
        <f>IF(O25="","",IFERROR(_xlfn.NUMBERVALUE(O25,".",","),""))</f>
        <v/>
      </c>
      <c r="AI25" s="92">
        <f>IF(H25="","",IFERROR(MATCH(H25,Samples[樣品編號],0),0))</f>
        <v/>
      </c>
    </row>
    <row r="26">
      <c r="A26" s="27" t="inlineStr">
        <is>
          <t>鋅</t>
        </is>
      </c>
      <c r="B26" s="28" t="inlineStr">
        <is>
          <t>84</t>
        </is>
      </c>
      <c r="C26" s="27" t="inlineStr">
        <is>
          <t>mg/kg</t>
        </is>
      </c>
      <c r="D26" s="39" t="inlineStr">
        <is>
          <t>合成資料，非實測；method=XRF; basis=dry</t>
        </is>
      </c>
      <c r="E26" s="29">
        <f>IF(OR(I26="",I26=0),"",IF(INDEX(Samples[監測點],I26)="","",INDEX(Samples[監測點],I26)))</f>
        <v/>
      </c>
      <c r="F26" s="90">
        <f>IF(OR(I26="",I26=0),"",IF(INDEX(Samples[採樣日期],I26)="","",INDEX(Samples[採樣日期],I26)))</f>
        <v/>
      </c>
      <c r="G26" s="91">
        <f>IF(OR(M26="",M26="NA",M26="N/A"),"",IF(OR(M26="ND",M26="N.D."),0,IFERROR(IF(OR(OR(ISNUMBER(SEARCH("%",O26)),ISNUMBER(SEARCH(" ",O26)),ISNUMBER(SEARCH(",",O26))),OR(SUBSTITUTE(SUBSTITUTE(SUBSTITUTE(SUBSTITUTE(SUBSTITUTE(SUBSTITUTE(SUBSTITUTE(SUBSTITUTE(SUBSTITUTE(SUBSTITUTE(SUBSTITUTE(SUBSTITUTE(SUBSTITUTE(SUBSTITUTE(SUBSTITUTE(SUBSTITUTE(SUBSTITUTE(SUBSTITUTE("x"&amp;M26,"0",""),"1",""),"2",""),"3",""),"4",""),"5",""),"6",""),"7",""),"8",""),"9",""),".",""),"E",""),"+",""),"-",""),"&lt;",""),"&gt;",""),"=","")," ","")&lt;&gt;"x",ISNUMBER(SEARCH("-",SUBSTITUTE(SUBSTITUTE("x"&amp;MID(M26,2,99),"E-","E"),"E+","E"))),ISNUMBER(SEARCH("+",SUBSTITUTE(SUBSTITUTE("x"&amp;MID(M26,2,99),"E-","E"),"E+","E"))))),"",IF(AND(OR(LEFT(M26,1)="&lt;",LEFT(M26,1)="&gt;"),IF(O26="",0,IF(ISNUMBER(AH26),AH26,NA()))&lt;0),"",IF(O26="",0,IF(ISNUMBER(AH26),AH26,NA()))/IF(LEFT(M26,1)="&lt;",2,1))),"")))</f>
        <v/>
      </c>
      <c r="H26" s="57" t="inlineStr">
        <is>
          <t>BH01-S_20260415_01</t>
        </is>
      </c>
      <c r="I26" s="92">
        <f>IF(OR(H26="",AI26=0),0,IF(INDEX(Samples[樣品重複筆數],AI26)=1,AI26,0))</f>
        <v/>
      </c>
      <c r="J26" s="92">
        <f>IF(OR(COUNTA($A26:$D26)=0,I26=0),"",IF(INDEX(Samples[介質],I26)="","",INDEX(Samples[介質],I26)))</f>
        <v/>
      </c>
      <c r="K26" s="92">
        <f>IF(OR(COUNTA($A26:$D26)=0,T26=0),"",IF(INDEX(DB_04[標準單位],T26)="","",INDEX(DB_04[標準單位],T26)))</f>
        <v/>
      </c>
      <c r="L26" s="92">
        <f>IF(COUNTA($A26:$D26)=0,"",IF(OR(C26="",K26=""),"",IF(C26=K26,1,IF(COUNTIFS(DB_06[換算鍵],C26&amp;"|"&amp;K26,DB_06[換算檢查],"OK")=1,INDEX(DB_06[乘數],MATCH(C26&amp;"|"&amp;K26,DB_06[換算鍵],0)),""))))</f>
        <v/>
      </c>
      <c r="M26" s="92">
        <f>UPPER(SUBSTITUTE(SUBSTITUTE(SUBSTITUTE(SUBSTITUTE(TRIM(B26&amp;""),"＜","&lt;"),"＞","&gt;"),"≤","&lt;="),"≥","&gt;="))</f>
        <v/>
      </c>
      <c r="N26" s="92">
        <f>IF(M26="","",IF(OR(M26="ND",M26="N.D."),"ND",IF(OR(M26="NA",M26="N/A",M26="N.A."),"NA",IF(OR(LEFT(M26,2)="&lt;=",LEFT(M26,2)="&gt;="),LEFT(M26,2),IF(OR(LEFT(M26,1)="&lt;",LEFT(M26,1)="&gt;"),LEFT(M26,1),"數值")))))</f>
        <v/>
      </c>
      <c r="O26" s="92">
        <f>IF(OR(N26="",N26="ND",N26="NA"),"",IF(N26="數值",M26,TRIM(MID(M26,LEN(N26)+1,99))))</f>
        <v/>
      </c>
      <c r="P26" s="92">
        <f>IF(O26="","",IFERROR(IF(OR(OR(ISNUMBER(SEARCH("%",O26)),ISNUMBER(SEARCH(" ",O26)),ISNUMBER(SEARCH(",",O26))),OR(SUBSTITUTE(SUBSTITUTE(SUBSTITUTE(SUBSTITUTE(SUBSTITUTE(SUBSTITUTE(SUBSTITUTE(SUBSTITUTE(SUBSTITUTE(SUBSTITUTE(SUBSTITUTE(SUBSTITUTE(SUBSTITUTE(SUBSTITUTE(SUBSTITUTE(SUBSTITUTE(SUBSTITUTE(SUBSTITUTE("x"&amp;O26,"0",""),"1",""),"2",""),"3",""),"4",""),"5",""),"6",""),"7",""),"8",""),"9",""),".",""),"E",""),"+",""),"-",""),"&lt;",""),"&gt;",""),"=","")," ","")&lt;&gt;"x",ISNUMBER(SEARCH("-",SUBSTITUTE(SUBSTITUTE("x"&amp;MID(O26,2,99),"E-","E"),"E+","E"))),ISNUMBER(SEARCH("+",SUBSTITUTE(SUBSTITUTE("x"&amp;MID(O26,2,99),"E-","E"),"E+","E"))))),"",IF(ISNUMBER(AH26),AH26,NA())),""))</f>
        <v/>
      </c>
      <c r="Q26" s="92">
        <f>IF(AND(ISNUMBER(L26),ISNUMBER(P26)),L26*P26,"")</f>
        <v/>
      </c>
      <c r="R26" s="92">
        <f>IF(OR(COUNTA($A26:$D26)=0,U26=0),"",IF(INDEX(DB_05[管制設定值],U26)="","",INDEX(DB_05[管制設定值],U26)))</f>
        <v/>
      </c>
      <c r="S26" s="92">
        <f>IF(OR(COUNTA($A26:$D26)=0,U26=0),"",IF(INDEX(DB_05[監測設定值],U26)="","",INDEX(DB_05[監測設定值],U26)))</f>
        <v/>
      </c>
      <c r="T26" s="92">
        <f>IF(COUNTA($A26:$D26)=0,"",IF(COUNTIFS(DB_04[測項鍵],V26)=1,MATCH(V26,DB_04[測項鍵],0),0))</f>
        <v/>
      </c>
      <c r="U26" s="92">
        <f>IF(COUNTA($A26:$D26)=0,"",IF(COUNTIFS(DB_05[標準鍵],W26)=1,MATCH(W26,DB_05[標準鍵],0),0))</f>
        <v/>
      </c>
      <c r="V26" s="92">
        <f>IF(OR(J26="",A26=""),"",J26&amp;"|"&amp;A26)</f>
        <v/>
      </c>
      <c r="W26" s="92">
        <f>IF(OR('07_QAQC'!$C$3="",V26=""),"",'07_QAQC'!$C$3&amp;"|"&amp;V26)</f>
        <v/>
      </c>
      <c r="X26" s="92">
        <f>IF(OR(H26="",A26=""),"",LEN(H26)&amp;":"&amp;H26&amp;LEN(A26)&amp;":"&amp;A26)</f>
        <v/>
      </c>
      <c r="Y26" s="93">
        <f>IF(COUNTA($A26:$D26)=0,"",IF(I26=0,"樣品未建或重複",IF(INDEX(Samples[樣品檢查],I26)="","OK",INDEX(Samples[樣品檢查],I26))))</f>
        <v/>
      </c>
      <c r="Z26" s="93">
        <f>IF(COUNTA($A26:$D26)=0,"",IF(B26="","缺原始值",IF(OR(B26="-",B26="--"),"無資料",IF(N26="NA","不適用",IF(N26="ND","OK",IF(NOT(ISNUMBER(P26)),"格式待核",IF(AND(N26&lt;&gt;"數值",P26&lt;0),"界限不得為負","OK")))))))</f>
        <v/>
      </c>
      <c r="AA26" s="93">
        <f>IF(COUNTA(A26:D26)=0,"",IF(OR(A26="",H26=""),"缺識別欄位",IF(IF(LEN("="&amp;SUBSTITUTE(SUBSTITUTE(SUBSTITUTE(X26,"~","~~"),"*","~*"),"?","~?"))&lt;=255,COUNTIF(Results[結果識別鍵],"="&amp;SUBSTITUTE(SUBSTITUTE(SUBSTITUTE(X26,"~","~~"),"*","~*"),"?","~?")),COUNTIFS(Results[關聯鍵],"="&amp;SUBSTITUTE(SUBSTITUTE(SUBSTITUTE(H26,"~","~~"),"*","~*"),"?","~?"),Results[分析項目],"="&amp;SUBSTITUTE(SUBSTITUTE(SUBSTITUTE(A26,"~","~~"),"*","~*"),"?","~?")))&gt;1,"同關聯鍵測項重複","OK")))</f>
        <v/>
      </c>
      <c r="AB26" s="93">
        <f>IF(COUNTA($A26:$D26)=0,"",IF(OR(C26="",K26=""),"缺單位",IF(NOT(ISNUMBER(L26)),"單位不相容",IF(L26=1,"OK","已換算"))))</f>
        <v/>
      </c>
      <c r="AC26" s="93">
        <f>IF(COUNTA($A26:$D26)=0,"",IF('07_QAQC'!$C$3="","未選比較版本",IF(U26=0,IF(COUNTIFS(DB_05[標準鍵],W26)&gt;1,"標準鍵重複","未訂此介質／測項門檻"),IF(INDEX(DB_05[版本檢查],U26)&lt;&gt;"OK","標準主檔待核",IF(INDEX(DB_05[標準單位],U26)&lt;&gt;K26,"標準單位不符",IF(INDEX(DB_05[核對狀態],U26)="停用","停用",IF(F26="","缺採樣日期",IF(OR(AND(INDEX(DB_05[生效日],U26)&lt;&gt;"",F26&lt;INDEX(DB_05[生效日],U26)),AND(INDEX(DB_05[失效日],U26)&lt;&gt;"",F26&gt;INDEX(DB_05[失效日],U26))),"日期不適用",INDEX(DB_05[核對狀態],U26)))))))))</f>
        <v/>
      </c>
      <c r="AD26" s="93">
        <f>IF(COUNTA($A26:$D26)=0,"",IF(AC26="未訂此介質／測項門檻",AC26,IF(AC26&lt;&gt;"已核對","標準待核",IF(R26="","未訂管制值",IF(NOT(ISNUMBER(L26)),"單位待核",IF(N26="ND","無法判定（ND無界限）",IF(N26="NA","不適用",IF(Z26&lt;&gt;"OK",Z26,IF(N26="數值",IF(Q26&gt;=R26,"達管制值","未達管制值"),IF(OR(N26="&lt;",N26="&lt;="),IF(OR(Q26&lt;R26,AND(N26="&lt;",Q26=R26)),"未達管制值","無法判定"),IF(OR(N26="&gt;",N26="&gt;="),IF(Q26&gt;=R26,"達管制值","無法判定"),"格式待核")))))))))))</f>
        <v/>
      </c>
      <c r="AE26" s="93">
        <f>IF(COUNTA($A26:$D26)=0,"",IF(AC26="未訂此介質／測項門檻",AC26,IF(AC26&lt;&gt;"已核對","標準待核",IF(S26="","未訂監測值",IF(NOT(ISNUMBER(L26)),"單位待核",IF(N26="ND","無法判定（ND無界限）",IF(N26="NA","不適用",IF(Z26&lt;&gt;"OK",Z26,IF(N26="數值",IF(Q26&gt;=S26,"達監測值","未達監測值"),IF(OR(N26="&lt;",N26="&lt;="),IF(OR(Q26&lt;S26,AND(N26="&lt;",Q26=S26)),"未達監測值","無法判定"),IF(OR(N26="&gt;",N26="&gt;="),IF(Q26&gt;=S26,"達監測值","無法判定"),"格式待核")))))))))))</f>
        <v/>
      </c>
      <c r="AF26" s="93">
        <f>IF(COUNTA($A26:$D26)=0,"",IF(OR(E26="",A26="",B26="",C26=""),"缺必要欄位",IF(Y26&lt;&gt;"OK","樣品資料待補",IF(T26=0,"測項未建或重複",IF(INDEX(DB_04[啟用],T26)&lt;&gt;"是","測項停用",IF(AND(Z26&lt;&gt;"OK",Z26&lt;&gt;"不適用"),Z26,IF(AND(AB26&lt;&gt;"OK",AB26&lt;&gt;"已換算"),"單位待核",IF(AA26&lt;&gt;"OK",AA26,"OK"))))))))</f>
        <v/>
      </c>
      <c r="AG26" s="93">
        <f>IF(COUNTA($A26:$D26)=0,"",IF(N26="ND","ND取0",IF(OR(N26="&lt;",N26="&lt;="),"界限除以2",IF(N26="NA","不適用",IF(OR(N26="&gt;",N26="&gt;="),"保留界限數值","保留原數值")))))</f>
        <v/>
      </c>
      <c r="AH26" s="92">
        <f>IF(O26="","",IFERROR(_xlfn.NUMBERVALUE(O26,".",","),""))</f>
        <v/>
      </c>
      <c r="AI26" s="92">
        <f>IF(H26="","",IFERROR(MATCH(H26,Samples[樣品編號],0),0))</f>
        <v/>
      </c>
    </row>
    <row r="27">
      <c r="A27" s="27" t="inlineStr">
        <is>
          <t>總有機碳</t>
        </is>
      </c>
      <c r="B27" s="28" t="inlineStr">
        <is>
          <t>0.26</t>
        </is>
      </c>
      <c r="C27" s="27" t="inlineStr">
        <is>
          <t>%</t>
        </is>
      </c>
      <c r="D27" s="39" t="inlineStr">
        <is>
          <t>合成資料，非實測；method=lab; basis=dry</t>
        </is>
      </c>
      <c r="E27" s="29">
        <f>IF(OR(I27="",I27=0),"",IF(INDEX(Samples[監測點],I27)="","",INDEX(Samples[監測點],I27)))</f>
        <v/>
      </c>
      <c r="F27" s="90">
        <f>IF(OR(I27="",I27=0),"",IF(INDEX(Samples[採樣日期],I27)="","",INDEX(Samples[採樣日期],I27)))</f>
        <v/>
      </c>
      <c r="G27" s="91">
        <f>IF(OR(M27="",M27="NA",M27="N/A"),"",IF(OR(M27="ND",M27="N.D."),0,IFERROR(IF(OR(OR(ISNUMBER(SEARCH("%",O27)),ISNUMBER(SEARCH(" ",O27)),ISNUMBER(SEARCH(",",O27))),OR(SUBSTITUTE(SUBSTITUTE(SUBSTITUTE(SUBSTITUTE(SUBSTITUTE(SUBSTITUTE(SUBSTITUTE(SUBSTITUTE(SUBSTITUTE(SUBSTITUTE(SUBSTITUTE(SUBSTITUTE(SUBSTITUTE(SUBSTITUTE(SUBSTITUTE(SUBSTITUTE(SUBSTITUTE(SUBSTITUTE("x"&amp;M27,"0",""),"1",""),"2",""),"3",""),"4",""),"5",""),"6",""),"7",""),"8",""),"9",""),".",""),"E",""),"+",""),"-",""),"&lt;",""),"&gt;",""),"=","")," ","")&lt;&gt;"x",ISNUMBER(SEARCH("-",SUBSTITUTE(SUBSTITUTE("x"&amp;MID(M27,2,99),"E-","E"),"E+","E"))),ISNUMBER(SEARCH("+",SUBSTITUTE(SUBSTITUTE("x"&amp;MID(M27,2,99),"E-","E"),"E+","E"))))),"",IF(AND(OR(LEFT(M27,1)="&lt;",LEFT(M27,1)="&gt;"),IF(O27="",0,IF(ISNUMBER(AH27),AH27,NA()))&lt;0),"",IF(O27="",0,IF(ISNUMBER(AH27),AH27,NA()))/IF(LEFT(M27,1)="&lt;",2,1))),"")))</f>
        <v/>
      </c>
      <c r="H27" s="57" t="inlineStr">
        <is>
          <t>BH01-S_20260415_01</t>
        </is>
      </c>
      <c r="I27" s="92">
        <f>IF(OR(H27="",AI27=0),0,IF(INDEX(Samples[樣品重複筆數],AI27)=1,AI27,0))</f>
        <v/>
      </c>
      <c r="J27" s="92">
        <f>IF(OR(COUNTA($A27:$D27)=0,I27=0),"",IF(INDEX(Samples[介質],I27)="","",INDEX(Samples[介質],I27)))</f>
        <v/>
      </c>
      <c r="K27" s="92">
        <f>IF(OR(COUNTA($A27:$D27)=0,T27=0),"",IF(INDEX(DB_04[標準單位],T27)="","",INDEX(DB_04[標準單位],T27)))</f>
        <v/>
      </c>
      <c r="L27" s="92">
        <f>IF(COUNTA($A27:$D27)=0,"",IF(OR(C27="",K27=""),"",IF(C27=K27,1,IF(COUNTIFS(DB_06[換算鍵],C27&amp;"|"&amp;K27,DB_06[換算檢查],"OK")=1,INDEX(DB_06[乘數],MATCH(C27&amp;"|"&amp;K27,DB_06[換算鍵],0)),""))))</f>
        <v/>
      </c>
      <c r="M27" s="92">
        <f>UPPER(SUBSTITUTE(SUBSTITUTE(SUBSTITUTE(SUBSTITUTE(TRIM(B27&amp;""),"＜","&lt;"),"＞","&gt;"),"≤","&lt;="),"≥","&gt;="))</f>
        <v/>
      </c>
      <c r="N27" s="92">
        <f>IF(M27="","",IF(OR(M27="ND",M27="N.D."),"ND",IF(OR(M27="NA",M27="N/A",M27="N.A."),"NA",IF(OR(LEFT(M27,2)="&lt;=",LEFT(M27,2)="&gt;="),LEFT(M27,2),IF(OR(LEFT(M27,1)="&lt;",LEFT(M27,1)="&gt;"),LEFT(M27,1),"數值")))))</f>
        <v/>
      </c>
      <c r="O27" s="92">
        <f>IF(OR(N27="",N27="ND",N27="NA"),"",IF(N27="數值",M27,TRIM(MID(M27,LEN(N27)+1,99))))</f>
        <v/>
      </c>
      <c r="P27" s="92">
        <f>IF(O27="","",IFERROR(IF(OR(OR(ISNUMBER(SEARCH("%",O27)),ISNUMBER(SEARCH(" ",O27)),ISNUMBER(SEARCH(",",O27))),OR(SUBSTITUTE(SUBSTITUTE(SUBSTITUTE(SUBSTITUTE(SUBSTITUTE(SUBSTITUTE(SUBSTITUTE(SUBSTITUTE(SUBSTITUTE(SUBSTITUTE(SUBSTITUTE(SUBSTITUTE(SUBSTITUTE(SUBSTITUTE(SUBSTITUTE(SUBSTITUTE(SUBSTITUTE(SUBSTITUTE("x"&amp;O27,"0",""),"1",""),"2",""),"3",""),"4",""),"5",""),"6",""),"7",""),"8",""),"9",""),".",""),"E",""),"+",""),"-",""),"&lt;",""),"&gt;",""),"=","")," ","")&lt;&gt;"x",ISNUMBER(SEARCH("-",SUBSTITUTE(SUBSTITUTE("x"&amp;MID(O27,2,99),"E-","E"),"E+","E"))),ISNUMBER(SEARCH("+",SUBSTITUTE(SUBSTITUTE("x"&amp;MID(O27,2,99),"E-","E"),"E+","E"))))),"",IF(ISNUMBER(AH27),AH27,NA())),""))</f>
        <v/>
      </c>
      <c r="Q27" s="92">
        <f>IF(AND(ISNUMBER(L27),ISNUMBER(P27)),L27*P27,"")</f>
        <v/>
      </c>
      <c r="R27" s="92">
        <f>IF(OR(COUNTA($A27:$D27)=0,U27=0),"",IF(INDEX(DB_05[管制設定值],U27)="","",INDEX(DB_05[管制設定值],U27)))</f>
        <v/>
      </c>
      <c r="S27" s="92">
        <f>IF(OR(COUNTA($A27:$D27)=0,U27=0),"",IF(INDEX(DB_05[監測設定值],U27)="","",INDEX(DB_05[監測設定值],U27)))</f>
        <v/>
      </c>
      <c r="T27" s="92">
        <f>IF(COUNTA($A27:$D27)=0,"",IF(COUNTIFS(DB_04[測項鍵],V27)=1,MATCH(V27,DB_04[測項鍵],0),0))</f>
        <v/>
      </c>
      <c r="U27" s="92">
        <f>IF(COUNTA($A27:$D27)=0,"",IF(COUNTIFS(DB_05[標準鍵],W27)=1,MATCH(W27,DB_05[標準鍵],0),0))</f>
        <v/>
      </c>
      <c r="V27" s="92">
        <f>IF(OR(J27="",A27=""),"",J27&amp;"|"&amp;A27)</f>
        <v/>
      </c>
      <c r="W27" s="92">
        <f>IF(OR('07_QAQC'!$C$3="",V27=""),"",'07_QAQC'!$C$3&amp;"|"&amp;V27)</f>
        <v/>
      </c>
      <c r="X27" s="92">
        <f>IF(OR(H27="",A27=""),"",LEN(H27)&amp;":"&amp;H27&amp;LEN(A27)&amp;":"&amp;A27)</f>
        <v/>
      </c>
      <c r="Y27" s="93">
        <f>IF(COUNTA($A27:$D27)=0,"",IF(I27=0,"樣品未建或重複",IF(INDEX(Samples[樣品檢查],I27)="","OK",INDEX(Samples[樣品檢查],I27))))</f>
        <v/>
      </c>
      <c r="Z27" s="93">
        <f>IF(COUNTA($A27:$D27)=0,"",IF(B27="","缺原始值",IF(OR(B27="-",B27="--"),"無資料",IF(N27="NA","不適用",IF(N27="ND","OK",IF(NOT(ISNUMBER(P27)),"格式待核",IF(AND(N27&lt;&gt;"數值",P27&lt;0),"界限不得為負","OK")))))))</f>
        <v/>
      </c>
      <c r="AA27" s="93">
        <f>IF(COUNTA(A27:D27)=0,"",IF(OR(A27="",H27=""),"缺識別欄位",IF(IF(LEN("="&amp;SUBSTITUTE(SUBSTITUTE(SUBSTITUTE(X27,"~","~~"),"*","~*"),"?","~?"))&lt;=255,COUNTIF(Results[結果識別鍵],"="&amp;SUBSTITUTE(SUBSTITUTE(SUBSTITUTE(X27,"~","~~"),"*","~*"),"?","~?")),COUNTIFS(Results[關聯鍵],"="&amp;SUBSTITUTE(SUBSTITUTE(SUBSTITUTE(H27,"~","~~"),"*","~*"),"?","~?"),Results[分析項目],"="&amp;SUBSTITUTE(SUBSTITUTE(SUBSTITUTE(A27,"~","~~"),"*","~*"),"?","~?")))&gt;1,"同關聯鍵測項重複","OK")))</f>
        <v/>
      </c>
      <c r="AB27" s="93">
        <f>IF(COUNTA($A27:$D27)=0,"",IF(OR(C27="",K27=""),"缺單位",IF(NOT(ISNUMBER(L27)),"單位不相容",IF(L27=1,"OK","已換算"))))</f>
        <v/>
      </c>
      <c r="AC27" s="93">
        <f>IF(COUNTA($A27:$D27)=0,"",IF('07_QAQC'!$C$3="","未選比較版本",IF(U27=0,IF(COUNTIFS(DB_05[標準鍵],W27)&gt;1,"標準鍵重複","未訂此介質／測項門檻"),IF(INDEX(DB_05[版本檢查],U27)&lt;&gt;"OK","標準主檔待核",IF(INDEX(DB_05[標準單位],U27)&lt;&gt;K27,"標準單位不符",IF(INDEX(DB_05[核對狀態],U27)="停用","停用",IF(F27="","缺採樣日期",IF(OR(AND(INDEX(DB_05[生效日],U27)&lt;&gt;"",F27&lt;INDEX(DB_05[生效日],U27)),AND(INDEX(DB_05[失效日],U27)&lt;&gt;"",F27&gt;INDEX(DB_05[失效日],U27))),"日期不適用",INDEX(DB_05[核對狀態],U27)))))))))</f>
        <v/>
      </c>
      <c r="AD27" s="93">
        <f>IF(COUNTA($A27:$D27)=0,"",IF(AC27="未訂此介質／測項門檻",AC27,IF(AC27&lt;&gt;"已核對","標準待核",IF(R27="","未訂管制值",IF(NOT(ISNUMBER(L27)),"單位待核",IF(N27="ND","無法判定（ND無界限）",IF(N27="NA","不適用",IF(Z27&lt;&gt;"OK",Z27,IF(N27="數值",IF(Q27&gt;=R27,"達管制值","未達管制值"),IF(OR(N27="&lt;",N27="&lt;="),IF(OR(Q27&lt;R27,AND(N27="&lt;",Q27=R27)),"未達管制值","無法判定"),IF(OR(N27="&gt;",N27="&gt;="),IF(Q27&gt;=R27,"達管制值","無法判定"),"格式待核")))))))))))</f>
        <v/>
      </c>
      <c r="AE27" s="93">
        <f>IF(COUNTA($A27:$D27)=0,"",IF(AC27="未訂此介質／測項門檻",AC27,IF(AC27&lt;&gt;"已核對","標準待核",IF(S27="","未訂監測值",IF(NOT(ISNUMBER(L27)),"單位待核",IF(N27="ND","無法判定（ND無界限）",IF(N27="NA","不適用",IF(Z27&lt;&gt;"OK",Z27,IF(N27="數值",IF(Q27&gt;=S27,"達監測值","未達監測值"),IF(OR(N27="&lt;",N27="&lt;="),IF(OR(Q27&lt;S27,AND(N27="&lt;",Q27=S27)),"未達監測值","無法判定"),IF(OR(N27="&gt;",N27="&gt;="),IF(Q27&gt;=S27,"達監測值","無法判定"),"格式待核")))))))))))</f>
        <v/>
      </c>
      <c r="AF27" s="93">
        <f>IF(COUNTA($A27:$D27)=0,"",IF(OR(E27="",A27="",B27="",C27=""),"缺必要欄位",IF(Y27&lt;&gt;"OK","樣品資料待補",IF(T27=0,"測項未建或重複",IF(INDEX(DB_04[啟用],T27)&lt;&gt;"是","測項停用",IF(AND(Z27&lt;&gt;"OK",Z27&lt;&gt;"不適用"),Z27,IF(AND(AB27&lt;&gt;"OK",AB27&lt;&gt;"已換算"),"單位待核",IF(AA27&lt;&gt;"OK",AA27,"OK"))))))))</f>
        <v/>
      </c>
      <c r="AG27" s="93">
        <f>IF(COUNTA($A27:$D27)=0,"",IF(N27="ND","ND取0",IF(OR(N27="&lt;",N27="&lt;="),"界限除以2",IF(N27="NA","不適用",IF(OR(N27="&gt;",N27="&gt;="),"保留界限數值","保留原數值")))))</f>
        <v/>
      </c>
      <c r="AH27" s="92">
        <f>IF(O27="","",IFERROR(_xlfn.NUMBERVALUE(O27,".",","),""))</f>
        <v/>
      </c>
      <c r="AI27" s="92">
        <f>IF(H27="","",IFERROR(MATCH(H27,Samples[樣品編號],0),0))</f>
        <v/>
      </c>
    </row>
    <row r="28">
      <c r="A28" s="27" t="inlineStr">
        <is>
          <t>pH</t>
        </is>
      </c>
      <c r="B28" s="28" t="inlineStr">
        <is>
          <t>6.51</t>
        </is>
      </c>
      <c r="C28" s="27" t="inlineStr">
        <is>
          <t>無因次</t>
        </is>
      </c>
      <c r="D28" s="39" t="inlineStr">
        <is>
          <t>合成資料，非實測；method=field</t>
        </is>
      </c>
      <c r="E28" s="29">
        <f>IF(OR(I28="",I28=0),"",IF(INDEX(Samples[監測點],I28)="","",INDEX(Samples[監測點],I28)))</f>
        <v/>
      </c>
      <c r="F28" s="90">
        <f>IF(OR(I28="",I28=0),"",IF(INDEX(Samples[採樣日期],I28)="","",INDEX(Samples[採樣日期],I28)))</f>
        <v/>
      </c>
      <c r="G28" s="91">
        <f>IF(OR(M28="",M28="NA",M28="N/A"),"",IF(OR(M28="ND",M28="N.D."),0,IFERROR(IF(OR(OR(ISNUMBER(SEARCH("%",O28)),ISNUMBER(SEARCH(" ",O28)),ISNUMBER(SEARCH(",",O28))),OR(SUBSTITUTE(SUBSTITUTE(SUBSTITUTE(SUBSTITUTE(SUBSTITUTE(SUBSTITUTE(SUBSTITUTE(SUBSTITUTE(SUBSTITUTE(SUBSTITUTE(SUBSTITUTE(SUBSTITUTE(SUBSTITUTE(SUBSTITUTE(SUBSTITUTE(SUBSTITUTE(SUBSTITUTE(SUBSTITUTE("x"&amp;M28,"0",""),"1",""),"2",""),"3",""),"4",""),"5",""),"6",""),"7",""),"8",""),"9",""),".",""),"E",""),"+",""),"-",""),"&lt;",""),"&gt;",""),"=","")," ","")&lt;&gt;"x",ISNUMBER(SEARCH("-",SUBSTITUTE(SUBSTITUTE("x"&amp;MID(M28,2,99),"E-","E"),"E+","E"))),ISNUMBER(SEARCH("+",SUBSTITUTE(SUBSTITUTE("x"&amp;MID(M28,2,99),"E-","E"),"E+","E"))))),"",IF(AND(OR(LEFT(M28,1)="&lt;",LEFT(M28,1)="&gt;"),IF(O28="",0,IF(ISNUMBER(AH28),AH28,NA()))&lt;0),"",IF(O28="",0,IF(ISNUMBER(AH28),AH28,NA()))/IF(LEFT(M28,1)="&lt;",2,1))),"")))</f>
        <v/>
      </c>
      <c r="H28" s="57" t="inlineStr">
        <is>
          <t>BH01-W_20260415_01</t>
        </is>
      </c>
      <c r="I28" s="92">
        <f>IF(OR(H28="",AI28=0),0,IF(INDEX(Samples[樣品重複筆數],AI28)=1,AI28,0))</f>
        <v/>
      </c>
      <c r="J28" s="92">
        <f>IF(OR(COUNTA($A28:$D28)=0,I28=0),"",IF(INDEX(Samples[介質],I28)="","",INDEX(Samples[介質],I28)))</f>
        <v/>
      </c>
      <c r="K28" s="92">
        <f>IF(OR(COUNTA($A28:$D28)=0,T28=0),"",IF(INDEX(DB_04[標準單位],T28)="","",INDEX(DB_04[標準單位],T28)))</f>
        <v/>
      </c>
      <c r="L28" s="92">
        <f>IF(COUNTA($A28:$D28)=0,"",IF(OR(C28="",K28=""),"",IF(C28=K28,1,IF(COUNTIFS(DB_06[換算鍵],C28&amp;"|"&amp;K28,DB_06[換算檢查],"OK")=1,INDEX(DB_06[乘數],MATCH(C28&amp;"|"&amp;K28,DB_06[換算鍵],0)),""))))</f>
        <v/>
      </c>
      <c r="M28" s="92">
        <f>UPPER(SUBSTITUTE(SUBSTITUTE(SUBSTITUTE(SUBSTITUTE(TRIM(B28&amp;""),"＜","&lt;"),"＞","&gt;"),"≤","&lt;="),"≥","&gt;="))</f>
        <v/>
      </c>
      <c r="N28" s="92">
        <f>IF(M28="","",IF(OR(M28="ND",M28="N.D."),"ND",IF(OR(M28="NA",M28="N/A",M28="N.A."),"NA",IF(OR(LEFT(M28,2)="&lt;=",LEFT(M28,2)="&gt;="),LEFT(M28,2),IF(OR(LEFT(M28,1)="&lt;",LEFT(M28,1)="&gt;"),LEFT(M28,1),"數值")))))</f>
        <v/>
      </c>
      <c r="O28" s="92">
        <f>IF(OR(N28="",N28="ND",N28="NA"),"",IF(N28="數值",M28,TRIM(MID(M28,LEN(N28)+1,99))))</f>
        <v/>
      </c>
      <c r="P28" s="92">
        <f>IF(O28="","",IFERROR(IF(OR(OR(ISNUMBER(SEARCH("%",O28)),ISNUMBER(SEARCH(" ",O28)),ISNUMBER(SEARCH(",",O28))),OR(SUBSTITUTE(SUBSTITUTE(SUBSTITUTE(SUBSTITUTE(SUBSTITUTE(SUBSTITUTE(SUBSTITUTE(SUBSTITUTE(SUBSTITUTE(SUBSTITUTE(SUBSTITUTE(SUBSTITUTE(SUBSTITUTE(SUBSTITUTE(SUBSTITUTE(SUBSTITUTE(SUBSTITUTE(SUBSTITUTE("x"&amp;O28,"0",""),"1",""),"2",""),"3",""),"4",""),"5",""),"6",""),"7",""),"8",""),"9",""),".",""),"E",""),"+",""),"-",""),"&lt;",""),"&gt;",""),"=","")," ","")&lt;&gt;"x",ISNUMBER(SEARCH("-",SUBSTITUTE(SUBSTITUTE("x"&amp;MID(O28,2,99),"E-","E"),"E+","E"))),ISNUMBER(SEARCH("+",SUBSTITUTE(SUBSTITUTE("x"&amp;MID(O28,2,99),"E-","E"),"E+","E"))))),"",IF(ISNUMBER(AH28),AH28,NA())),""))</f>
        <v/>
      </c>
      <c r="Q28" s="92">
        <f>IF(AND(ISNUMBER(L28),ISNUMBER(P28)),L28*P28,"")</f>
        <v/>
      </c>
      <c r="R28" s="92">
        <f>IF(OR(COUNTA($A28:$D28)=0,U28=0),"",IF(INDEX(DB_05[管制設定值],U28)="","",INDEX(DB_05[管制設定值],U28)))</f>
        <v/>
      </c>
      <c r="S28" s="92">
        <f>IF(OR(COUNTA($A28:$D28)=0,U28=0),"",IF(INDEX(DB_05[監測設定值],U28)="","",INDEX(DB_05[監測設定值],U28)))</f>
        <v/>
      </c>
      <c r="T28" s="92">
        <f>IF(COUNTA($A28:$D28)=0,"",IF(COUNTIFS(DB_04[測項鍵],V28)=1,MATCH(V28,DB_04[測項鍵],0),0))</f>
        <v/>
      </c>
      <c r="U28" s="92">
        <f>IF(COUNTA($A28:$D28)=0,"",IF(COUNTIFS(DB_05[標準鍵],W28)=1,MATCH(W28,DB_05[標準鍵],0),0))</f>
        <v/>
      </c>
      <c r="V28" s="92">
        <f>IF(OR(J28="",A28=""),"",J28&amp;"|"&amp;A28)</f>
        <v/>
      </c>
      <c r="W28" s="92">
        <f>IF(OR('07_QAQC'!$C$3="",V28=""),"",'07_QAQC'!$C$3&amp;"|"&amp;V28)</f>
        <v/>
      </c>
      <c r="X28" s="92">
        <f>IF(OR(H28="",A28=""),"",LEN(H28)&amp;":"&amp;H28&amp;LEN(A28)&amp;":"&amp;A28)</f>
        <v/>
      </c>
      <c r="Y28" s="93">
        <f>IF(COUNTA($A28:$D28)=0,"",IF(I28=0,"樣品未建或重複",IF(INDEX(Samples[樣品檢查],I28)="","OK",INDEX(Samples[樣品檢查],I28))))</f>
        <v/>
      </c>
      <c r="Z28" s="93">
        <f>IF(COUNTA($A28:$D28)=0,"",IF(B28="","缺原始值",IF(OR(B28="-",B28="--"),"無資料",IF(N28="NA","不適用",IF(N28="ND","OK",IF(NOT(ISNUMBER(P28)),"格式待核",IF(AND(N28&lt;&gt;"數值",P28&lt;0),"界限不得為負","OK")))))))</f>
        <v/>
      </c>
      <c r="AA28" s="93">
        <f>IF(COUNTA(A28:D28)=0,"",IF(OR(A28="",H28=""),"缺識別欄位",IF(IF(LEN("="&amp;SUBSTITUTE(SUBSTITUTE(SUBSTITUTE(X28,"~","~~"),"*","~*"),"?","~?"))&lt;=255,COUNTIF(Results[結果識別鍵],"="&amp;SUBSTITUTE(SUBSTITUTE(SUBSTITUTE(X28,"~","~~"),"*","~*"),"?","~?")),COUNTIFS(Results[關聯鍵],"="&amp;SUBSTITUTE(SUBSTITUTE(SUBSTITUTE(H28,"~","~~"),"*","~*"),"?","~?"),Results[分析項目],"="&amp;SUBSTITUTE(SUBSTITUTE(SUBSTITUTE(A28,"~","~~"),"*","~*"),"?","~?")))&gt;1,"同關聯鍵測項重複","OK")))</f>
        <v/>
      </c>
      <c r="AB28" s="93">
        <f>IF(COUNTA($A28:$D28)=0,"",IF(OR(C28="",K28=""),"缺單位",IF(NOT(ISNUMBER(L28)),"單位不相容",IF(L28=1,"OK","已換算"))))</f>
        <v/>
      </c>
      <c r="AC28" s="93">
        <f>IF(COUNTA($A28:$D28)=0,"",IF('07_QAQC'!$C$3="","未選比較版本",IF(U28=0,IF(COUNTIFS(DB_05[標準鍵],W28)&gt;1,"標準鍵重複","未訂此介質／測項門檻"),IF(INDEX(DB_05[版本檢查],U28)&lt;&gt;"OK","標準主檔待核",IF(INDEX(DB_05[標準單位],U28)&lt;&gt;K28,"標準單位不符",IF(INDEX(DB_05[核對狀態],U28)="停用","停用",IF(F28="","缺採樣日期",IF(OR(AND(INDEX(DB_05[生效日],U28)&lt;&gt;"",F28&lt;INDEX(DB_05[生效日],U28)),AND(INDEX(DB_05[失效日],U28)&lt;&gt;"",F28&gt;INDEX(DB_05[失效日],U28))),"日期不適用",INDEX(DB_05[核對狀態],U28)))))))))</f>
        <v/>
      </c>
      <c r="AD28" s="93">
        <f>IF(COUNTA($A28:$D28)=0,"",IF(AC28="未訂此介質／測項門檻",AC28,IF(AC28&lt;&gt;"已核對","標準待核",IF(R28="","未訂管制值",IF(NOT(ISNUMBER(L28)),"單位待核",IF(N28="ND","無法判定（ND無界限）",IF(N28="NA","不適用",IF(Z28&lt;&gt;"OK",Z28,IF(N28="數值",IF(Q28&gt;=R28,"達管制值","未達管制值"),IF(OR(N28="&lt;",N28="&lt;="),IF(OR(Q28&lt;R28,AND(N28="&lt;",Q28=R28)),"未達管制值","無法判定"),IF(OR(N28="&gt;",N28="&gt;="),IF(Q28&gt;=R28,"達管制值","無法判定"),"格式待核")))))))))))</f>
        <v/>
      </c>
      <c r="AE28" s="93">
        <f>IF(COUNTA($A28:$D28)=0,"",IF(AC28="未訂此介質／測項門檻",AC28,IF(AC28&lt;&gt;"已核對","標準待核",IF(S28="","未訂監測值",IF(NOT(ISNUMBER(L28)),"單位待核",IF(N28="ND","無法判定（ND無界限）",IF(N28="NA","不適用",IF(Z28&lt;&gt;"OK",Z28,IF(N28="數值",IF(Q28&gt;=S28,"達監測值","未達監測值"),IF(OR(N28="&lt;",N28="&lt;="),IF(OR(Q28&lt;S28,AND(N28="&lt;",Q28=S28)),"未達監測值","無法判定"),IF(OR(N28="&gt;",N28="&gt;="),IF(Q28&gt;=S28,"達監測值","無法判定"),"格式待核")))))))))))</f>
        <v/>
      </c>
      <c r="AF28" s="93">
        <f>IF(COUNTA($A28:$D28)=0,"",IF(OR(E28="",A28="",B28="",C28=""),"缺必要欄位",IF(Y28&lt;&gt;"OK","樣品資料待補",IF(T28=0,"測項未建或重複",IF(INDEX(DB_04[啟用],T28)&lt;&gt;"是","測項停用",IF(AND(Z28&lt;&gt;"OK",Z28&lt;&gt;"不適用"),Z28,IF(AND(AB28&lt;&gt;"OK",AB28&lt;&gt;"已換算"),"單位待核",IF(AA28&lt;&gt;"OK",AA28,"OK"))))))))</f>
        <v/>
      </c>
      <c r="AG28" s="93">
        <f>IF(COUNTA($A28:$D28)=0,"",IF(N28="ND","ND取0",IF(OR(N28="&lt;",N28="&lt;="),"界限除以2",IF(N28="NA","不適用",IF(OR(N28="&gt;",N28="&gt;="),"保留界限數值","保留原數值")))))</f>
        <v/>
      </c>
      <c r="AH28" s="92">
        <f>IF(O28="","",IFERROR(_xlfn.NUMBERVALUE(O28,".",","),""))</f>
        <v/>
      </c>
      <c r="AI28" s="92">
        <f>IF(H28="","",IFERROR(MATCH(H28,Samples[樣品編號],0),0))</f>
        <v/>
      </c>
    </row>
    <row r="29">
      <c r="A29" s="27" t="inlineStr">
        <is>
          <t>EC</t>
        </is>
      </c>
      <c r="B29" s="28" t="inlineStr">
        <is>
          <t>0.44</t>
        </is>
      </c>
      <c r="C29" s="27" t="inlineStr">
        <is>
          <t>mS/cm</t>
        </is>
      </c>
      <c r="D29" s="39" t="inlineStr">
        <is>
          <t>合成資料，非實測；method=field; temperature=25; temperature_compensated=25C; reference_temperature=25</t>
        </is>
      </c>
      <c r="E29" s="29">
        <f>IF(OR(I29="",I29=0),"",IF(INDEX(Samples[監測點],I29)="","",INDEX(Samples[監測點],I29)))</f>
        <v/>
      </c>
      <c r="F29" s="90">
        <f>IF(OR(I29="",I29=0),"",IF(INDEX(Samples[採樣日期],I29)="","",INDEX(Samples[採樣日期],I29)))</f>
        <v/>
      </c>
      <c r="G29" s="91">
        <f>IF(OR(M29="",M29="NA",M29="N/A"),"",IF(OR(M29="ND",M29="N.D."),0,IFERROR(IF(OR(OR(ISNUMBER(SEARCH("%",O29)),ISNUMBER(SEARCH(" ",O29)),ISNUMBER(SEARCH(",",O29))),OR(SUBSTITUTE(SUBSTITUTE(SUBSTITUTE(SUBSTITUTE(SUBSTITUTE(SUBSTITUTE(SUBSTITUTE(SUBSTITUTE(SUBSTITUTE(SUBSTITUTE(SUBSTITUTE(SUBSTITUTE(SUBSTITUTE(SUBSTITUTE(SUBSTITUTE(SUBSTITUTE(SUBSTITUTE(SUBSTITUTE("x"&amp;M29,"0",""),"1",""),"2",""),"3",""),"4",""),"5",""),"6",""),"7",""),"8",""),"9",""),".",""),"E",""),"+",""),"-",""),"&lt;",""),"&gt;",""),"=","")," ","")&lt;&gt;"x",ISNUMBER(SEARCH("-",SUBSTITUTE(SUBSTITUTE("x"&amp;MID(M29,2,99),"E-","E"),"E+","E"))),ISNUMBER(SEARCH("+",SUBSTITUTE(SUBSTITUTE("x"&amp;MID(M29,2,99),"E-","E"),"E+","E"))))),"",IF(AND(OR(LEFT(M29,1)="&lt;",LEFT(M29,1)="&gt;"),IF(O29="",0,IF(ISNUMBER(AH29),AH29,NA()))&lt;0),"",IF(O29="",0,IF(ISNUMBER(AH29),AH29,NA()))/IF(LEFT(M29,1)="&lt;",2,1))),"")))</f>
        <v/>
      </c>
      <c r="H29" s="57" t="inlineStr">
        <is>
          <t>BH01-W_20260415_01</t>
        </is>
      </c>
      <c r="I29" s="92">
        <f>IF(OR(H29="",AI29=0),0,IF(INDEX(Samples[樣品重複筆數],AI29)=1,AI29,0))</f>
        <v/>
      </c>
      <c r="J29" s="92">
        <f>IF(OR(COUNTA($A29:$D29)=0,I29=0),"",IF(INDEX(Samples[介質],I29)="","",INDEX(Samples[介質],I29)))</f>
        <v/>
      </c>
      <c r="K29" s="92">
        <f>IF(OR(COUNTA($A29:$D29)=0,T29=0),"",IF(INDEX(DB_04[標準單位],T29)="","",INDEX(DB_04[標準單位],T29)))</f>
        <v/>
      </c>
      <c r="L29" s="92">
        <f>IF(COUNTA($A29:$D29)=0,"",IF(OR(C29="",K29=""),"",IF(C29=K29,1,IF(COUNTIFS(DB_06[換算鍵],C29&amp;"|"&amp;K29,DB_06[換算檢查],"OK")=1,INDEX(DB_06[乘數],MATCH(C29&amp;"|"&amp;K29,DB_06[換算鍵],0)),""))))</f>
        <v/>
      </c>
      <c r="M29" s="92">
        <f>UPPER(SUBSTITUTE(SUBSTITUTE(SUBSTITUTE(SUBSTITUTE(TRIM(B29&amp;""),"＜","&lt;"),"＞","&gt;"),"≤","&lt;="),"≥","&gt;="))</f>
        <v/>
      </c>
      <c r="N29" s="92">
        <f>IF(M29="","",IF(OR(M29="ND",M29="N.D."),"ND",IF(OR(M29="NA",M29="N/A",M29="N.A."),"NA",IF(OR(LEFT(M29,2)="&lt;=",LEFT(M29,2)="&gt;="),LEFT(M29,2),IF(OR(LEFT(M29,1)="&lt;",LEFT(M29,1)="&gt;"),LEFT(M29,1),"數值")))))</f>
        <v/>
      </c>
      <c r="O29" s="92">
        <f>IF(OR(N29="",N29="ND",N29="NA"),"",IF(N29="數值",M29,TRIM(MID(M29,LEN(N29)+1,99))))</f>
        <v/>
      </c>
      <c r="P29" s="92">
        <f>IF(O29="","",IFERROR(IF(OR(OR(ISNUMBER(SEARCH("%",O29)),ISNUMBER(SEARCH(" ",O29)),ISNUMBER(SEARCH(",",O29))),OR(SUBSTITUTE(SUBSTITUTE(SUBSTITUTE(SUBSTITUTE(SUBSTITUTE(SUBSTITUTE(SUBSTITUTE(SUBSTITUTE(SUBSTITUTE(SUBSTITUTE(SUBSTITUTE(SUBSTITUTE(SUBSTITUTE(SUBSTITUTE(SUBSTITUTE(SUBSTITUTE(SUBSTITUTE(SUBSTITUTE("x"&amp;O29,"0",""),"1",""),"2",""),"3",""),"4",""),"5",""),"6",""),"7",""),"8",""),"9",""),".",""),"E",""),"+",""),"-",""),"&lt;",""),"&gt;",""),"=","")," ","")&lt;&gt;"x",ISNUMBER(SEARCH("-",SUBSTITUTE(SUBSTITUTE("x"&amp;MID(O29,2,99),"E-","E"),"E+","E"))),ISNUMBER(SEARCH("+",SUBSTITUTE(SUBSTITUTE("x"&amp;MID(O29,2,99),"E-","E"),"E+","E"))))),"",IF(ISNUMBER(AH29),AH29,NA())),""))</f>
        <v/>
      </c>
      <c r="Q29" s="92">
        <f>IF(AND(ISNUMBER(L29),ISNUMBER(P29)),L29*P29,"")</f>
        <v/>
      </c>
      <c r="R29" s="92">
        <f>IF(OR(COUNTA($A29:$D29)=0,U29=0),"",IF(INDEX(DB_05[管制設定值],U29)="","",INDEX(DB_05[管制設定值],U29)))</f>
        <v/>
      </c>
      <c r="S29" s="92">
        <f>IF(OR(COUNTA($A29:$D29)=0,U29=0),"",IF(INDEX(DB_05[監測設定值],U29)="","",INDEX(DB_05[監測設定值],U29)))</f>
        <v/>
      </c>
      <c r="T29" s="92">
        <f>IF(COUNTA($A29:$D29)=0,"",IF(COUNTIFS(DB_04[測項鍵],V29)=1,MATCH(V29,DB_04[測項鍵],0),0))</f>
        <v/>
      </c>
      <c r="U29" s="92">
        <f>IF(COUNTA($A29:$D29)=0,"",IF(COUNTIFS(DB_05[標準鍵],W29)=1,MATCH(W29,DB_05[標準鍵],0),0))</f>
        <v/>
      </c>
      <c r="V29" s="92">
        <f>IF(OR(J29="",A29=""),"",J29&amp;"|"&amp;A29)</f>
        <v/>
      </c>
      <c r="W29" s="92">
        <f>IF(OR('07_QAQC'!$C$3="",V29=""),"",'07_QAQC'!$C$3&amp;"|"&amp;V29)</f>
        <v/>
      </c>
      <c r="X29" s="92">
        <f>IF(OR(H29="",A29=""),"",LEN(H29)&amp;":"&amp;H29&amp;LEN(A29)&amp;":"&amp;A29)</f>
        <v/>
      </c>
      <c r="Y29" s="93">
        <f>IF(COUNTA($A29:$D29)=0,"",IF(I29=0,"樣品未建或重複",IF(INDEX(Samples[樣品檢查],I29)="","OK",INDEX(Samples[樣品檢查],I29))))</f>
        <v/>
      </c>
      <c r="Z29" s="93">
        <f>IF(COUNTA($A29:$D29)=0,"",IF(B29="","缺原始值",IF(OR(B29="-",B29="--"),"無資料",IF(N29="NA","不適用",IF(N29="ND","OK",IF(NOT(ISNUMBER(P29)),"格式待核",IF(AND(N29&lt;&gt;"數值",P29&lt;0),"界限不得為負","OK")))))))</f>
        <v/>
      </c>
      <c r="AA29" s="93">
        <f>IF(COUNTA(A29:D29)=0,"",IF(OR(A29="",H29=""),"缺識別欄位",IF(IF(LEN("="&amp;SUBSTITUTE(SUBSTITUTE(SUBSTITUTE(X29,"~","~~"),"*","~*"),"?","~?"))&lt;=255,COUNTIF(Results[結果識別鍵],"="&amp;SUBSTITUTE(SUBSTITUTE(SUBSTITUTE(X29,"~","~~"),"*","~*"),"?","~?")),COUNTIFS(Results[關聯鍵],"="&amp;SUBSTITUTE(SUBSTITUTE(SUBSTITUTE(H29,"~","~~"),"*","~*"),"?","~?"),Results[分析項目],"="&amp;SUBSTITUTE(SUBSTITUTE(SUBSTITUTE(A29,"~","~~"),"*","~*"),"?","~?")))&gt;1,"同關聯鍵測項重複","OK")))</f>
        <v/>
      </c>
      <c r="AB29" s="93">
        <f>IF(COUNTA($A29:$D29)=0,"",IF(OR(C29="",K29=""),"缺單位",IF(NOT(ISNUMBER(L29)),"單位不相容",IF(L29=1,"OK","已換算"))))</f>
        <v/>
      </c>
      <c r="AC29" s="93">
        <f>IF(COUNTA($A29:$D29)=0,"",IF('07_QAQC'!$C$3="","未選比較版本",IF(U29=0,IF(COUNTIFS(DB_05[標準鍵],W29)&gt;1,"標準鍵重複","未訂此介質／測項門檻"),IF(INDEX(DB_05[版本檢查],U29)&lt;&gt;"OK","標準主檔待核",IF(INDEX(DB_05[標準單位],U29)&lt;&gt;K29,"標準單位不符",IF(INDEX(DB_05[核對狀態],U29)="停用","停用",IF(F29="","缺採樣日期",IF(OR(AND(INDEX(DB_05[生效日],U29)&lt;&gt;"",F29&lt;INDEX(DB_05[生效日],U29)),AND(INDEX(DB_05[失效日],U29)&lt;&gt;"",F29&gt;INDEX(DB_05[失效日],U29))),"日期不適用",INDEX(DB_05[核對狀態],U29)))))))))</f>
        <v/>
      </c>
      <c r="AD29" s="93">
        <f>IF(COUNTA($A29:$D29)=0,"",IF(AC29="未訂此介質／測項門檻",AC29,IF(AC29&lt;&gt;"已核對","標準待核",IF(R29="","未訂管制值",IF(NOT(ISNUMBER(L29)),"單位待核",IF(N29="ND","無法判定（ND無界限）",IF(N29="NA","不適用",IF(Z29&lt;&gt;"OK",Z29,IF(N29="數值",IF(Q29&gt;=R29,"達管制值","未達管制值"),IF(OR(N29="&lt;",N29="&lt;="),IF(OR(Q29&lt;R29,AND(N29="&lt;",Q29=R29)),"未達管制值","無法判定"),IF(OR(N29="&gt;",N29="&gt;="),IF(Q29&gt;=R29,"達管制值","無法判定"),"格式待核")))))))))))</f>
        <v/>
      </c>
      <c r="AE29" s="93">
        <f>IF(COUNTA($A29:$D29)=0,"",IF(AC29="未訂此介質／測項門檻",AC29,IF(AC29&lt;&gt;"已核對","標準待核",IF(S29="","未訂監測值",IF(NOT(ISNUMBER(L29)),"單位待核",IF(N29="ND","無法判定（ND無界限）",IF(N29="NA","不適用",IF(Z29&lt;&gt;"OK",Z29,IF(N29="數值",IF(Q29&gt;=S29,"達監測值","未達監測值"),IF(OR(N29="&lt;",N29="&lt;="),IF(OR(Q29&lt;S29,AND(N29="&lt;",Q29=S29)),"未達監測值","無法判定"),IF(OR(N29="&gt;",N29="&gt;="),IF(Q29&gt;=S29,"達監測值","無法判定"),"格式待核")))))))))))</f>
        <v/>
      </c>
      <c r="AF29" s="93">
        <f>IF(COUNTA($A29:$D29)=0,"",IF(OR(E29="",A29="",B29="",C29=""),"缺必要欄位",IF(Y29&lt;&gt;"OK","樣品資料待補",IF(T29=0,"測項未建或重複",IF(INDEX(DB_04[啟用],T29)&lt;&gt;"是","測項停用",IF(AND(Z29&lt;&gt;"OK",Z29&lt;&gt;"不適用"),Z29,IF(AND(AB29&lt;&gt;"OK",AB29&lt;&gt;"已換算"),"單位待核",IF(AA29&lt;&gt;"OK",AA29,"OK"))))))))</f>
        <v/>
      </c>
      <c r="AG29" s="93">
        <f>IF(COUNTA($A29:$D29)=0,"",IF(N29="ND","ND取0",IF(OR(N29="&lt;",N29="&lt;="),"界限除以2",IF(N29="NA","不適用",IF(OR(N29="&gt;",N29="&gt;="),"保留界限數值","保留原數值")))))</f>
        <v/>
      </c>
      <c r="AH29" s="92">
        <f>IF(O29="","",IFERROR(_xlfn.NUMBERVALUE(O29,".",","),""))</f>
        <v/>
      </c>
      <c r="AI29" s="92">
        <f>IF(H29="","",IFERROR(MATCH(H29,Samples[樣品編號],0),0))</f>
        <v/>
      </c>
    </row>
    <row r="30">
      <c r="A30" s="27" t="inlineStr">
        <is>
          <t>DO</t>
        </is>
      </c>
      <c r="B30" s="28" t="inlineStr">
        <is>
          <t>6.7</t>
        </is>
      </c>
      <c r="C30" s="27" t="inlineStr">
        <is>
          <t>mg/L</t>
        </is>
      </c>
      <c r="D30" s="39" t="inlineStr">
        <is>
          <t>合成資料，非實測；method=field</t>
        </is>
      </c>
      <c r="E30" s="29">
        <f>IF(OR(I30="",I30=0),"",IF(INDEX(Samples[監測點],I30)="","",INDEX(Samples[監測點],I30)))</f>
        <v/>
      </c>
      <c r="F30" s="90">
        <f>IF(OR(I30="",I30=0),"",IF(INDEX(Samples[採樣日期],I30)="","",INDEX(Samples[採樣日期],I30)))</f>
        <v/>
      </c>
      <c r="G30" s="91">
        <f>IF(OR(M30="",M30="NA",M30="N/A"),"",IF(OR(M30="ND",M30="N.D."),0,IFERROR(IF(OR(OR(ISNUMBER(SEARCH("%",O30)),ISNUMBER(SEARCH(" ",O30)),ISNUMBER(SEARCH(",",O30))),OR(SUBSTITUTE(SUBSTITUTE(SUBSTITUTE(SUBSTITUTE(SUBSTITUTE(SUBSTITUTE(SUBSTITUTE(SUBSTITUTE(SUBSTITUTE(SUBSTITUTE(SUBSTITUTE(SUBSTITUTE(SUBSTITUTE(SUBSTITUTE(SUBSTITUTE(SUBSTITUTE(SUBSTITUTE(SUBSTITUTE("x"&amp;M30,"0",""),"1",""),"2",""),"3",""),"4",""),"5",""),"6",""),"7",""),"8",""),"9",""),".",""),"E",""),"+",""),"-",""),"&lt;",""),"&gt;",""),"=","")," ","")&lt;&gt;"x",ISNUMBER(SEARCH("-",SUBSTITUTE(SUBSTITUTE("x"&amp;MID(M30,2,99),"E-","E"),"E+","E"))),ISNUMBER(SEARCH("+",SUBSTITUTE(SUBSTITUTE("x"&amp;MID(M30,2,99),"E-","E"),"E+","E"))))),"",IF(AND(OR(LEFT(M30,1)="&lt;",LEFT(M30,1)="&gt;"),IF(O30="",0,IF(ISNUMBER(AH30),AH30,NA()))&lt;0),"",IF(O30="",0,IF(ISNUMBER(AH30),AH30,NA()))/IF(LEFT(M30,1)="&lt;",2,1))),"")))</f>
        <v/>
      </c>
      <c r="H30" s="57" t="inlineStr">
        <is>
          <t>BH01-W_20260415_01</t>
        </is>
      </c>
      <c r="I30" s="92">
        <f>IF(OR(H30="",AI30=0),0,IF(INDEX(Samples[樣品重複筆數],AI30)=1,AI30,0))</f>
        <v/>
      </c>
      <c r="J30" s="92">
        <f>IF(OR(COUNTA($A30:$D30)=0,I30=0),"",IF(INDEX(Samples[介質],I30)="","",INDEX(Samples[介質],I30)))</f>
        <v/>
      </c>
      <c r="K30" s="92">
        <f>IF(OR(COUNTA($A30:$D30)=0,T30=0),"",IF(INDEX(DB_04[標準單位],T30)="","",INDEX(DB_04[標準單位],T30)))</f>
        <v/>
      </c>
      <c r="L30" s="92">
        <f>IF(COUNTA($A30:$D30)=0,"",IF(OR(C30="",K30=""),"",IF(C30=K30,1,IF(COUNTIFS(DB_06[換算鍵],C30&amp;"|"&amp;K30,DB_06[換算檢查],"OK")=1,INDEX(DB_06[乘數],MATCH(C30&amp;"|"&amp;K30,DB_06[換算鍵],0)),""))))</f>
        <v/>
      </c>
      <c r="M30" s="92">
        <f>UPPER(SUBSTITUTE(SUBSTITUTE(SUBSTITUTE(SUBSTITUTE(TRIM(B30&amp;""),"＜","&lt;"),"＞","&gt;"),"≤","&lt;="),"≥","&gt;="))</f>
        <v/>
      </c>
      <c r="N30" s="92">
        <f>IF(M30="","",IF(OR(M30="ND",M30="N.D."),"ND",IF(OR(M30="NA",M30="N/A",M30="N.A."),"NA",IF(OR(LEFT(M30,2)="&lt;=",LEFT(M30,2)="&gt;="),LEFT(M30,2),IF(OR(LEFT(M30,1)="&lt;",LEFT(M30,1)="&gt;"),LEFT(M30,1),"數值")))))</f>
        <v/>
      </c>
      <c r="O30" s="92">
        <f>IF(OR(N30="",N30="ND",N30="NA"),"",IF(N30="數值",M30,TRIM(MID(M30,LEN(N30)+1,99))))</f>
        <v/>
      </c>
      <c r="P30" s="92">
        <f>IF(O30="","",IFERROR(IF(OR(OR(ISNUMBER(SEARCH("%",O30)),ISNUMBER(SEARCH(" ",O30)),ISNUMBER(SEARCH(",",O30))),OR(SUBSTITUTE(SUBSTITUTE(SUBSTITUTE(SUBSTITUTE(SUBSTITUTE(SUBSTITUTE(SUBSTITUTE(SUBSTITUTE(SUBSTITUTE(SUBSTITUTE(SUBSTITUTE(SUBSTITUTE(SUBSTITUTE(SUBSTITUTE(SUBSTITUTE(SUBSTITUTE(SUBSTITUTE(SUBSTITUTE("x"&amp;O30,"0",""),"1",""),"2",""),"3",""),"4",""),"5",""),"6",""),"7",""),"8",""),"9",""),".",""),"E",""),"+",""),"-",""),"&lt;",""),"&gt;",""),"=","")," ","")&lt;&gt;"x",ISNUMBER(SEARCH("-",SUBSTITUTE(SUBSTITUTE("x"&amp;MID(O30,2,99),"E-","E"),"E+","E"))),ISNUMBER(SEARCH("+",SUBSTITUTE(SUBSTITUTE("x"&amp;MID(O30,2,99),"E-","E"),"E+","E"))))),"",IF(ISNUMBER(AH30),AH30,NA())),""))</f>
        <v/>
      </c>
      <c r="Q30" s="92">
        <f>IF(AND(ISNUMBER(L30),ISNUMBER(P30)),L30*P30,"")</f>
        <v/>
      </c>
      <c r="R30" s="92">
        <f>IF(OR(COUNTA($A30:$D30)=0,U30=0),"",IF(INDEX(DB_05[管制設定值],U30)="","",INDEX(DB_05[管制設定值],U30)))</f>
        <v/>
      </c>
      <c r="S30" s="92">
        <f>IF(OR(COUNTA($A30:$D30)=0,U30=0),"",IF(INDEX(DB_05[監測設定值],U30)="","",INDEX(DB_05[監測設定值],U30)))</f>
        <v/>
      </c>
      <c r="T30" s="92">
        <f>IF(COUNTA($A30:$D30)=0,"",IF(COUNTIFS(DB_04[測項鍵],V30)=1,MATCH(V30,DB_04[測項鍵],0),0))</f>
        <v/>
      </c>
      <c r="U30" s="92">
        <f>IF(COUNTA($A30:$D30)=0,"",IF(COUNTIFS(DB_05[標準鍵],W30)=1,MATCH(W30,DB_05[標準鍵],0),0))</f>
        <v/>
      </c>
      <c r="V30" s="92">
        <f>IF(OR(J30="",A30=""),"",J30&amp;"|"&amp;A30)</f>
        <v/>
      </c>
      <c r="W30" s="92">
        <f>IF(OR('07_QAQC'!$C$3="",V30=""),"",'07_QAQC'!$C$3&amp;"|"&amp;V30)</f>
        <v/>
      </c>
      <c r="X30" s="92">
        <f>IF(OR(H30="",A30=""),"",LEN(H30)&amp;":"&amp;H30&amp;LEN(A30)&amp;":"&amp;A30)</f>
        <v/>
      </c>
      <c r="Y30" s="93">
        <f>IF(COUNTA($A30:$D30)=0,"",IF(I30=0,"樣品未建或重複",IF(INDEX(Samples[樣品檢查],I30)="","OK",INDEX(Samples[樣品檢查],I30))))</f>
        <v/>
      </c>
      <c r="Z30" s="93">
        <f>IF(COUNTA($A30:$D30)=0,"",IF(B30="","缺原始值",IF(OR(B30="-",B30="--"),"無資料",IF(N30="NA","不適用",IF(N30="ND","OK",IF(NOT(ISNUMBER(P30)),"格式待核",IF(AND(N30&lt;&gt;"數值",P30&lt;0),"界限不得為負","OK")))))))</f>
        <v/>
      </c>
      <c r="AA30" s="93">
        <f>IF(COUNTA(A30:D30)=0,"",IF(OR(A30="",H30=""),"缺識別欄位",IF(IF(LEN("="&amp;SUBSTITUTE(SUBSTITUTE(SUBSTITUTE(X30,"~","~~"),"*","~*"),"?","~?"))&lt;=255,COUNTIF(Results[結果識別鍵],"="&amp;SUBSTITUTE(SUBSTITUTE(SUBSTITUTE(X30,"~","~~"),"*","~*"),"?","~?")),COUNTIFS(Results[關聯鍵],"="&amp;SUBSTITUTE(SUBSTITUTE(SUBSTITUTE(H30,"~","~~"),"*","~*"),"?","~?"),Results[分析項目],"="&amp;SUBSTITUTE(SUBSTITUTE(SUBSTITUTE(A30,"~","~~"),"*","~*"),"?","~?")))&gt;1,"同關聯鍵測項重複","OK")))</f>
        <v/>
      </c>
      <c r="AB30" s="93">
        <f>IF(COUNTA($A30:$D30)=0,"",IF(OR(C30="",K30=""),"缺單位",IF(NOT(ISNUMBER(L30)),"單位不相容",IF(L30=1,"OK","已換算"))))</f>
        <v/>
      </c>
      <c r="AC30" s="93">
        <f>IF(COUNTA($A30:$D30)=0,"",IF('07_QAQC'!$C$3="","未選比較版本",IF(U30=0,IF(COUNTIFS(DB_05[標準鍵],W30)&gt;1,"標準鍵重複","未訂此介質／測項門檻"),IF(INDEX(DB_05[版本檢查],U30)&lt;&gt;"OK","標準主檔待核",IF(INDEX(DB_05[標準單位],U30)&lt;&gt;K30,"標準單位不符",IF(INDEX(DB_05[核對狀態],U30)="停用","停用",IF(F30="","缺採樣日期",IF(OR(AND(INDEX(DB_05[生效日],U30)&lt;&gt;"",F30&lt;INDEX(DB_05[生效日],U30)),AND(INDEX(DB_05[失效日],U30)&lt;&gt;"",F30&gt;INDEX(DB_05[失效日],U30))),"日期不適用",INDEX(DB_05[核對狀態],U30)))))))))</f>
        <v/>
      </c>
      <c r="AD30" s="93">
        <f>IF(COUNTA($A30:$D30)=0,"",IF(AC30="未訂此介質／測項門檻",AC30,IF(AC30&lt;&gt;"已核對","標準待核",IF(R30="","未訂管制值",IF(NOT(ISNUMBER(L30)),"單位待核",IF(N30="ND","無法判定（ND無界限）",IF(N30="NA","不適用",IF(Z30&lt;&gt;"OK",Z30,IF(N30="數值",IF(Q30&gt;=R30,"達管制值","未達管制值"),IF(OR(N30="&lt;",N30="&lt;="),IF(OR(Q30&lt;R30,AND(N30="&lt;",Q30=R30)),"未達管制值","無法判定"),IF(OR(N30="&gt;",N30="&gt;="),IF(Q30&gt;=R30,"達管制值","無法判定"),"格式待核")))))))))))</f>
        <v/>
      </c>
      <c r="AE30" s="93">
        <f>IF(COUNTA($A30:$D30)=0,"",IF(AC30="未訂此介質／測項門檻",AC30,IF(AC30&lt;&gt;"已核對","標準待核",IF(S30="","未訂監測值",IF(NOT(ISNUMBER(L30)),"單位待核",IF(N30="ND","無法判定（ND無界限）",IF(N30="NA","不適用",IF(Z30&lt;&gt;"OK",Z30,IF(N30="數值",IF(Q30&gt;=S30,"達監測值","未達監測值"),IF(OR(N30="&lt;",N30="&lt;="),IF(OR(Q30&lt;S30,AND(N30="&lt;",Q30=S30)),"未達監測值","無法判定"),IF(OR(N30="&gt;",N30="&gt;="),IF(Q30&gt;=S30,"達監測值","無法判定"),"格式待核")))))))))))</f>
        <v/>
      </c>
      <c r="AF30" s="93">
        <f>IF(COUNTA($A30:$D30)=0,"",IF(OR(E30="",A30="",B30="",C30=""),"缺必要欄位",IF(Y30&lt;&gt;"OK","樣品資料待補",IF(T30=0,"測項未建或重複",IF(INDEX(DB_04[啟用],T30)&lt;&gt;"是","測項停用",IF(AND(Z30&lt;&gt;"OK",Z30&lt;&gt;"不適用"),Z30,IF(AND(AB30&lt;&gt;"OK",AB30&lt;&gt;"已換算"),"單位待核",IF(AA30&lt;&gt;"OK",AA30,"OK"))))))))</f>
        <v/>
      </c>
      <c r="AG30" s="93">
        <f>IF(COUNTA($A30:$D30)=0,"",IF(N30="ND","ND取0",IF(OR(N30="&lt;",N30="&lt;="),"界限除以2",IF(N30="NA","不適用",IF(OR(N30="&gt;",N30="&gt;="),"保留界限數值","保留原數值")))))</f>
        <v/>
      </c>
      <c r="AH30" s="92">
        <f>IF(O30="","",IFERROR(_xlfn.NUMBERVALUE(O30,".",","),""))</f>
        <v/>
      </c>
      <c r="AI30" s="92">
        <f>IF(H30="","",IFERROR(MATCH(H30,Samples[樣品編號],0),0))</f>
        <v/>
      </c>
    </row>
    <row r="31">
      <c r="A31" s="27" t="inlineStr">
        <is>
          <t>溶氧飽和度</t>
        </is>
      </c>
      <c r="B31" s="28" t="inlineStr">
        <is>
          <t>79</t>
        </is>
      </c>
      <c r="C31" s="27" t="inlineStr">
        <is>
          <t>%</t>
        </is>
      </c>
      <c r="D31" s="39" t="inlineStr">
        <is>
          <t>合成資料，非實測；method=field</t>
        </is>
      </c>
      <c r="E31" s="29">
        <f>IF(OR(I31="",I31=0),"",IF(INDEX(Samples[監測點],I31)="","",INDEX(Samples[監測點],I31)))</f>
        <v/>
      </c>
      <c r="F31" s="90">
        <f>IF(OR(I31="",I31=0),"",IF(INDEX(Samples[採樣日期],I31)="","",INDEX(Samples[採樣日期],I31)))</f>
        <v/>
      </c>
      <c r="G31" s="91">
        <f>IF(OR(M31="",M31="NA",M31="N/A"),"",IF(OR(M31="ND",M31="N.D."),0,IFERROR(IF(OR(OR(ISNUMBER(SEARCH("%",O31)),ISNUMBER(SEARCH(" ",O31)),ISNUMBER(SEARCH(",",O31))),OR(SUBSTITUTE(SUBSTITUTE(SUBSTITUTE(SUBSTITUTE(SUBSTITUTE(SUBSTITUTE(SUBSTITUTE(SUBSTITUTE(SUBSTITUTE(SUBSTITUTE(SUBSTITUTE(SUBSTITUTE(SUBSTITUTE(SUBSTITUTE(SUBSTITUTE(SUBSTITUTE(SUBSTITUTE(SUBSTITUTE("x"&amp;M31,"0",""),"1",""),"2",""),"3",""),"4",""),"5",""),"6",""),"7",""),"8",""),"9",""),".",""),"E",""),"+",""),"-",""),"&lt;",""),"&gt;",""),"=","")," ","")&lt;&gt;"x",ISNUMBER(SEARCH("-",SUBSTITUTE(SUBSTITUTE("x"&amp;MID(M31,2,99),"E-","E"),"E+","E"))),ISNUMBER(SEARCH("+",SUBSTITUTE(SUBSTITUTE("x"&amp;MID(M31,2,99),"E-","E"),"E+","E"))))),"",IF(AND(OR(LEFT(M31,1)="&lt;",LEFT(M31,1)="&gt;"),IF(O31="",0,IF(ISNUMBER(AH31),AH31,NA()))&lt;0),"",IF(O31="",0,IF(ISNUMBER(AH31),AH31,NA()))/IF(LEFT(M31,1)="&lt;",2,1))),"")))</f>
        <v/>
      </c>
      <c r="H31" s="57" t="inlineStr">
        <is>
          <t>BH01-W_20260415_01</t>
        </is>
      </c>
      <c r="I31" s="92">
        <f>IF(OR(H31="",AI31=0),0,IF(INDEX(Samples[樣品重複筆數],AI31)=1,AI31,0))</f>
        <v/>
      </c>
      <c r="J31" s="92">
        <f>IF(OR(COUNTA($A31:$D31)=0,I31=0),"",IF(INDEX(Samples[介質],I31)="","",INDEX(Samples[介質],I31)))</f>
        <v/>
      </c>
      <c r="K31" s="92">
        <f>IF(OR(COUNTA($A31:$D31)=0,T31=0),"",IF(INDEX(DB_04[標準單位],T31)="","",INDEX(DB_04[標準單位],T31)))</f>
        <v/>
      </c>
      <c r="L31" s="92">
        <f>IF(COUNTA($A31:$D31)=0,"",IF(OR(C31="",K31=""),"",IF(C31=K31,1,IF(COUNTIFS(DB_06[換算鍵],C31&amp;"|"&amp;K31,DB_06[換算檢查],"OK")=1,INDEX(DB_06[乘數],MATCH(C31&amp;"|"&amp;K31,DB_06[換算鍵],0)),""))))</f>
        <v/>
      </c>
      <c r="M31" s="92">
        <f>UPPER(SUBSTITUTE(SUBSTITUTE(SUBSTITUTE(SUBSTITUTE(TRIM(B31&amp;""),"＜","&lt;"),"＞","&gt;"),"≤","&lt;="),"≥","&gt;="))</f>
        <v/>
      </c>
      <c r="N31" s="92">
        <f>IF(M31="","",IF(OR(M31="ND",M31="N.D."),"ND",IF(OR(M31="NA",M31="N/A",M31="N.A."),"NA",IF(OR(LEFT(M31,2)="&lt;=",LEFT(M31,2)="&gt;="),LEFT(M31,2),IF(OR(LEFT(M31,1)="&lt;",LEFT(M31,1)="&gt;"),LEFT(M31,1),"數值")))))</f>
        <v/>
      </c>
      <c r="O31" s="92">
        <f>IF(OR(N31="",N31="ND",N31="NA"),"",IF(N31="數值",M31,TRIM(MID(M31,LEN(N31)+1,99))))</f>
        <v/>
      </c>
      <c r="P31" s="92">
        <f>IF(O31="","",IFERROR(IF(OR(OR(ISNUMBER(SEARCH("%",O31)),ISNUMBER(SEARCH(" ",O31)),ISNUMBER(SEARCH(",",O31))),OR(SUBSTITUTE(SUBSTITUTE(SUBSTITUTE(SUBSTITUTE(SUBSTITUTE(SUBSTITUTE(SUBSTITUTE(SUBSTITUTE(SUBSTITUTE(SUBSTITUTE(SUBSTITUTE(SUBSTITUTE(SUBSTITUTE(SUBSTITUTE(SUBSTITUTE(SUBSTITUTE(SUBSTITUTE(SUBSTITUTE("x"&amp;O31,"0",""),"1",""),"2",""),"3",""),"4",""),"5",""),"6",""),"7",""),"8",""),"9",""),".",""),"E",""),"+",""),"-",""),"&lt;",""),"&gt;",""),"=","")," ","")&lt;&gt;"x",ISNUMBER(SEARCH("-",SUBSTITUTE(SUBSTITUTE("x"&amp;MID(O31,2,99),"E-","E"),"E+","E"))),ISNUMBER(SEARCH("+",SUBSTITUTE(SUBSTITUTE("x"&amp;MID(O31,2,99),"E-","E"),"E+","E"))))),"",IF(ISNUMBER(AH31),AH31,NA())),""))</f>
        <v/>
      </c>
      <c r="Q31" s="92">
        <f>IF(AND(ISNUMBER(L31),ISNUMBER(P31)),L31*P31,"")</f>
        <v/>
      </c>
      <c r="R31" s="92">
        <f>IF(OR(COUNTA($A31:$D31)=0,U31=0),"",IF(INDEX(DB_05[管制設定值],U31)="","",INDEX(DB_05[管制設定值],U31)))</f>
        <v/>
      </c>
      <c r="S31" s="92">
        <f>IF(OR(COUNTA($A31:$D31)=0,U31=0),"",IF(INDEX(DB_05[監測設定值],U31)="","",INDEX(DB_05[監測設定值],U31)))</f>
        <v/>
      </c>
      <c r="T31" s="92">
        <f>IF(COUNTA($A31:$D31)=0,"",IF(COUNTIFS(DB_04[測項鍵],V31)=1,MATCH(V31,DB_04[測項鍵],0),0))</f>
        <v/>
      </c>
      <c r="U31" s="92">
        <f>IF(COUNTA($A31:$D31)=0,"",IF(COUNTIFS(DB_05[標準鍵],W31)=1,MATCH(W31,DB_05[標準鍵],0),0))</f>
        <v/>
      </c>
      <c r="V31" s="92">
        <f>IF(OR(J31="",A31=""),"",J31&amp;"|"&amp;A31)</f>
        <v/>
      </c>
      <c r="W31" s="92">
        <f>IF(OR('07_QAQC'!$C$3="",V31=""),"",'07_QAQC'!$C$3&amp;"|"&amp;V31)</f>
        <v/>
      </c>
      <c r="X31" s="92">
        <f>IF(OR(H31="",A31=""),"",LEN(H31)&amp;":"&amp;H31&amp;LEN(A31)&amp;":"&amp;A31)</f>
        <v/>
      </c>
      <c r="Y31" s="93">
        <f>IF(COUNTA($A31:$D31)=0,"",IF(I31=0,"樣品未建或重複",IF(INDEX(Samples[樣品檢查],I31)="","OK",INDEX(Samples[樣品檢查],I31))))</f>
        <v/>
      </c>
      <c r="Z31" s="93">
        <f>IF(COUNTA($A31:$D31)=0,"",IF(B31="","缺原始值",IF(OR(B31="-",B31="--"),"無資料",IF(N31="NA","不適用",IF(N31="ND","OK",IF(NOT(ISNUMBER(P31)),"格式待核",IF(AND(N31&lt;&gt;"數值",P31&lt;0),"界限不得為負","OK")))))))</f>
        <v/>
      </c>
      <c r="AA31" s="93">
        <f>IF(COUNTA(A31:D31)=0,"",IF(OR(A31="",H31=""),"缺識別欄位",IF(IF(LEN("="&amp;SUBSTITUTE(SUBSTITUTE(SUBSTITUTE(X31,"~","~~"),"*","~*"),"?","~?"))&lt;=255,COUNTIF(Results[結果識別鍵],"="&amp;SUBSTITUTE(SUBSTITUTE(SUBSTITUTE(X31,"~","~~"),"*","~*"),"?","~?")),COUNTIFS(Results[關聯鍵],"="&amp;SUBSTITUTE(SUBSTITUTE(SUBSTITUTE(H31,"~","~~"),"*","~*"),"?","~?"),Results[分析項目],"="&amp;SUBSTITUTE(SUBSTITUTE(SUBSTITUTE(A31,"~","~~"),"*","~*"),"?","~?")))&gt;1,"同關聯鍵測項重複","OK")))</f>
        <v/>
      </c>
      <c r="AB31" s="93">
        <f>IF(COUNTA($A31:$D31)=0,"",IF(OR(C31="",K31=""),"缺單位",IF(NOT(ISNUMBER(L31)),"單位不相容",IF(L31=1,"OK","已換算"))))</f>
        <v/>
      </c>
      <c r="AC31" s="93">
        <f>IF(COUNTA($A31:$D31)=0,"",IF('07_QAQC'!$C$3="","未選比較版本",IF(U31=0,IF(COUNTIFS(DB_05[標準鍵],W31)&gt;1,"標準鍵重複","未訂此介質／測項門檻"),IF(INDEX(DB_05[版本檢查],U31)&lt;&gt;"OK","標準主檔待核",IF(INDEX(DB_05[標準單位],U31)&lt;&gt;K31,"標準單位不符",IF(INDEX(DB_05[核對狀態],U31)="停用","停用",IF(F31="","缺採樣日期",IF(OR(AND(INDEX(DB_05[生效日],U31)&lt;&gt;"",F31&lt;INDEX(DB_05[生效日],U31)),AND(INDEX(DB_05[失效日],U31)&lt;&gt;"",F31&gt;INDEX(DB_05[失效日],U31))),"日期不適用",INDEX(DB_05[核對狀態],U31)))))))))</f>
        <v/>
      </c>
      <c r="AD31" s="93">
        <f>IF(COUNTA($A31:$D31)=0,"",IF(AC31="未訂此介質／測項門檻",AC31,IF(AC31&lt;&gt;"已核對","標準待核",IF(R31="","未訂管制值",IF(NOT(ISNUMBER(L31)),"單位待核",IF(N31="ND","無法判定（ND無界限）",IF(N31="NA","不適用",IF(Z31&lt;&gt;"OK",Z31,IF(N31="數值",IF(Q31&gt;=R31,"達管制值","未達管制值"),IF(OR(N31="&lt;",N31="&lt;="),IF(OR(Q31&lt;R31,AND(N31="&lt;",Q31=R31)),"未達管制值","無法判定"),IF(OR(N31="&gt;",N31="&gt;="),IF(Q31&gt;=R31,"達管制值","無法判定"),"格式待核")))))))))))</f>
        <v/>
      </c>
      <c r="AE31" s="93">
        <f>IF(COUNTA($A31:$D31)=0,"",IF(AC31="未訂此介質／測項門檻",AC31,IF(AC31&lt;&gt;"已核對","標準待核",IF(S31="","未訂監測值",IF(NOT(ISNUMBER(L31)),"單位待核",IF(N31="ND","無法判定（ND無界限）",IF(N31="NA","不適用",IF(Z31&lt;&gt;"OK",Z31,IF(N31="數值",IF(Q31&gt;=S31,"達監測值","未達監測值"),IF(OR(N31="&lt;",N31="&lt;="),IF(OR(Q31&lt;S31,AND(N31="&lt;",Q31=S31)),"未達監測值","無法判定"),IF(OR(N31="&gt;",N31="&gt;="),IF(Q31&gt;=S31,"達監測值","無法判定"),"格式待核")))))))))))</f>
        <v/>
      </c>
      <c r="AF31" s="93">
        <f>IF(COUNTA($A31:$D31)=0,"",IF(OR(E31="",A31="",B31="",C31=""),"缺必要欄位",IF(Y31&lt;&gt;"OK","樣品資料待補",IF(T31=0,"測項未建或重複",IF(INDEX(DB_04[啟用],T31)&lt;&gt;"是","測項停用",IF(AND(Z31&lt;&gt;"OK",Z31&lt;&gt;"不適用"),Z31,IF(AND(AB31&lt;&gt;"OK",AB31&lt;&gt;"已換算"),"單位待核",IF(AA31&lt;&gt;"OK",AA31,"OK"))))))))</f>
        <v/>
      </c>
      <c r="AG31" s="93">
        <f>IF(COUNTA($A31:$D31)=0,"",IF(N31="ND","ND取0",IF(OR(N31="&lt;",N31="&lt;="),"界限除以2",IF(N31="NA","不適用",IF(OR(N31="&gt;",N31="&gt;="),"保留界限數值","保留原數值")))))</f>
        <v/>
      </c>
      <c r="AH31" s="92">
        <f>IF(O31="","",IFERROR(_xlfn.NUMBERVALUE(O31,".",","),""))</f>
        <v/>
      </c>
      <c r="AI31" s="92">
        <f>IF(H31="","",IFERROR(MATCH(H31,Samples[樣品編號],0),0))</f>
        <v/>
      </c>
    </row>
    <row r="32">
      <c r="A32" s="27" t="inlineStr">
        <is>
          <t>ORP</t>
        </is>
      </c>
      <c r="B32" s="28" t="inlineStr">
        <is>
          <t>75</t>
        </is>
      </c>
      <c r="C32" s="27" t="inlineStr">
        <is>
          <t>mV</t>
        </is>
      </c>
      <c r="D32" s="39" t="inlineStr">
        <is>
          <t>合成資料，非實測；method=field; reference_electrode=Ag/AgCl; calibration=verified</t>
        </is>
      </c>
      <c r="E32" s="29">
        <f>IF(OR(I32="",I32=0),"",IF(INDEX(Samples[監測點],I32)="","",INDEX(Samples[監測點],I32)))</f>
        <v/>
      </c>
      <c r="F32" s="90">
        <f>IF(OR(I32="",I32=0),"",IF(INDEX(Samples[採樣日期],I32)="","",INDEX(Samples[採樣日期],I32)))</f>
        <v/>
      </c>
      <c r="G32" s="91">
        <f>IF(OR(M32="",M32="NA",M32="N/A"),"",IF(OR(M32="ND",M32="N.D."),0,IFERROR(IF(OR(OR(ISNUMBER(SEARCH("%",O32)),ISNUMBER(SEARCH(" ",O32)),ISNUMBER(SEARCH(",",O32))),OR(SUBSTITUTE(SUBSTITUTE(SUBSTITUTE(SUBSTITUTE(SUBSTITUTE(SUBSTITUTE(SUBSTITUTE(SUBSTITUTE(SUBSTITUTE(SUBSTITUTE(SUBSTITUTE(SUBSTITUTE(SUBSTITUTE(SUBSTITUTE(SUBSTITUTE(SUBSTITUTE(SUBSTITUTE(SUBSTITUTE("x"&amp;M32,"0",""),"1",""),"2",""),"3",""),"4",""),"5",""),"6",""),"7",""),"8",""),"9",""),".",""),"E",""),"+",""),"-",""),"&lt;",""),"&gt;",""),"=","")," ","")&lt;&gt;"x",ISNUMBER(SEARCH("-",SUBSTITUTE(SUBSTITUTE("x"&amp;MID(M32,2,99),"E-","E"),"E+","E"))),ISNUMBER(SEARCH("+",SUBSTITUTE(SUBSTITUTE("x"&amp;MID(M32,2,99),"E-","E"),"E+","E"))))),"",IF(AND(OR(LEFT(M32,1)="&lt;",LEFT(M32,1)="&gt;"),IF(O32="",0,IF(ISNUMBER(AH32),AH32,NA()))&lt;0),"",IF(O32="",0,IF(ISNUMBER(AH32),AH32,NA()))/IF(LEFT(M32,1)="&lt;",2,1))),"")))</f>
        <v/>
      </c>
      <c r="H32" s="57" t="inlineStr">
        <is>
          <t>BH01-W_20260415_01</t>
        </is>
      </c>
      <c r="I32" s="92">
        <f>IF(OR(H32="",AI32=0),0,IF(INDEX(Samples[樣品重複筆數],AI32)=1,AI32,0))</f>
        <v/>
      </c>
      <c r="J32" s="92">
        <f>IF(OR(COUNTA($A32:$D32)=0,I32=0),"",IF(INDEX(Samples[介質],I32)="","",INDEX(Samples[介質],I32)))</f>
        <v/>
      </c>
      <c r="K32" s="92">
        <f>IF(OR(COUNTA($A32:$D32)=0,T32=0),"",IF(INDEX(DB_04[標準單位],T32)="","",INDEX(DB_04[標準單位],T32)))</f>
        <v/>
      </c>
      <c r="L32" s="92">
        <f>IF(COUNTA($A32:$D32)=0,"",IF(OR(C32="",K32=""),"",IF(C32=K32,1,IF(COUNTIFS(DB_06[換算鍵],C32&amp;"|"&amp;K32,DB_06[換算檢查],"OK")=1,INDEX(DB_06[乘數],MATCH(C32&amp;"|"&amp;K32,DB_06[換算鍵],0)),""))))</f>
        <v/>
      </c>
      <c r="M32" s="92">
        <f>UPPER(SUBSTITUTE(SUBSTITUTE(SUBSTITUTE(SUBSTITUTE(TRIM(B32&amp;""),"＜","&lt;"),"＞","&gt;"),"≤","&lt;="),"≥","&gt;="))</f>
        <v/>
      </c>
      <c r="N32" s="92">
        <f>IF(M32="","",IF(OR(M32="ND",M32="N.D."),"ND",IF(OR(M32="NA",M32="N/A",M32="N.A."),"NA",IF(OR(LEFT(M32,2)="&lt;=",LEFT(M32,2)="&gt;="),LEFT(M32,2),IF(OR(LEFT(M32,1)="&lt;",LEFT(M32,1)="&gt;"),LEFT(M32,1),"數值")))))</f>
        <v/>
      </c>
      <c r="O32" s="92">
        <f>IF(OR(N32="",N32="ND",N32="NA"),"",IF(N32="數值",M32,TRIM(MID(M32,LEN(N32)+1,99))))</f>
        <v/>
      </c>
      <c r="P32" s="92">
        <f>IF(O32="","",IFERROR(IF(OR(OR(ISNUMBER(SEARCH("%",O32)),ISNUMBER(SEARCH(" ",O32)),ISNUMBER(SEARCH(",",O32))),OR(SUBSTITUTE(SUBSTITUTE(SUBSTITUTE(SUBSTITUTE(SUBSTITUTE(SUBSTITUTE(SUBSTITUTE(SUBSTITUTE(SUBSTITUTE(SUBSTITUTE(SUBSTITUTE(SUBSTITUTE(SUBSTITUTE(SUBSTITUTE(SUBSTITUTE(SUBSTITUTE(SUBSTITUTE(SUBSTITUTE("x"&amp;O32,"0",""),"1",""),"2",""),"3",""),"4",""),"5",""),"6",""),"7",""),"8",""),"9",""),".",""),"E",""),"+",""),"-",""),"&lt;",""),"&gt;",""),"=","")," ","")&lt;&gt;"x",ISNUMBER(SEARCH("-",SUBSTITUTE(SUBSTITUTE("x"&amp;MID(O32,2,99),"E-","E"),"E+","E"))),ISNUMBER(SEARCH("+",SUBSTITUTE(SUBSTITUTE("x"&amp;MID(O32,2,99),"E-","E"),"E+","E"))))),"",IF(ISNUMBER(AH32),AH32,NA())),""))</f>
        <v/>
      </c>
      <c r="Q32" s="92">
        <f>IF(AND(ISNUMBER(L32),ISNUMBER(P32)),L32*P32,"")</f>
        <v/>
      </c>
      <c r="R32" s="92">
        <f>IF(OR(COUNTA($A32:$D32)=0,U32=0),"",IF(INDEX(DB_05[管制設定值],U32)="","",INDEX(DB_05[管制設定值],U32)))</f>
        <v/>
      </c>
      <c r="S32" s="92">
        <f>IF(OR(COUNTA($A32:$D32)=0,U32=0),"",IF(INDEX(DB_05[監測設定值],U32)="","",INDEX(DB_05[監測設定值],U32)))</f>
        <v/>
      </c>
      <c r="T32" s="92">
        <f>IF(COUNTA($A32:$D32)=0,"",IF(COUNTIFS(DB_04[測項鍵],V32)=1,MATCH(V32,DB_04[測項鍵],0),0))</f>
        <v/>
      </c>
      <c r="U32" s="92">
        <f>IF(COUNTA($A32:$D32)=0,"",IF(COUNTIFS(DB_05[標準鍵],W32)=1,MATCH(W32,DB_05[標準鍵],0),0))</f>
        <v/>
      </c>
      <c r="V32" s="92">
        <f>IF(OR(J32="",A32=""),"",J32&amp;"|"&amp;A32)</f>
        <v/>
      </c>
      <c r="W32" s="92">
        <f>IF(OR('07_QAQC'!$C$3="",V32=""),"",'07_QAQC'!$C$3&amp;"|"&amp;V32)</f>
        <v/>
      </c>
      <c r="X32" s="92">
        <f>IF(OR(H32="",A32=""),"",LEN(H32)&amp;":"&amp;H32&amp;LEN(A32)&amp;":"&amp;A32)</f>
        <v/>
      </c>
      <c r="Y32" s="93">
        <f>IF(COUNTA($A32:$D32)=0,"",IF(I32=0,"樣品未建或重複",IF(INDEX(Samples[樣品檢查],I32)="","OK",INDEX(Samples[樣品檢查],I32))))</f>
        <v/>
      </c>
      <c r="Z32" s="93">
        <f>IF(COUNTA($A32:$D32)=0,"",IF(B32="","缺原始值",IF(OR(B32="-",B32="--"),"無資料",IF(N32="NA","不適用",IF(N32="ND","OK",IF(NOT(ISNUMBER(P32)),"格式待核",IF(AND(N32&lt;&gt;"數值",P32&lt;0),"界限不得為負","OK")))))))</f>
        <v/>
      </c>
      <c r="AA32" s="93">
        <f>IF(COUNTA(A32:D32)=0,"",IF(OR(A32="",H32=""),"缺識別欄位",IF(IF(LEN("="&amp;SUBSTITUTE(SUBSTITUTE(SUBSTITUTE(X32,"~","~~"),"*","~*"),"?","~?"))&lt;=255,COUNTIF(Results[結果識別鍵],"="&amp;SUBSTITUTE(SUBSTITUTE(SUBSTITUTE(X32,"~","~~"),"*","~*"),"?","~?")),COUNTIFS(Results[關聯鍵],"="&amp;SUBSTITUTE(SUBSTITUTE(SUBSTITUTE(H32,"~","~~"),"*","~*"),"?","~?"),Results[分析項目],"="&amp;SUBSTITUTE(SUBSTITUTE(SUBSTITUTE(A32,"~","~~"),"*","~*"),"?","~?")))&gt;1,"同關聯鍵測項重複","OK")))</f>
        <v/>
      </c>
      <c r="AB32" s="93">
        <f>IF(COUNTA($A32:$D32)=0,"",IF(OR(C32="",K32=""),"缺單位",IF(NOT(ISNUMBER(L32)),"單位不相容",IF(L32=1,"OK","已換算"))))</f>
        <v/>
      </c>
      <c r="AC32" s="93">
        <f>IF(COUNTA($A32:$D32)=0,"",IF('07_QAQC'!$C$3="","未選比較版本",IF(U32=0,IF(COUNTIFS(DB_05[標準鍵],W32)&gt;1,"標準鍵重複","未訂此介質／測項門檻"),IF(INDEX(DB_05[版本檢查],U32)&lt;&gt;"OK","標準主檔待核",IF(INDEX(DB_05[標準單位],U32)&lt;&gt;K32,"標準單位不符",IF(INDEX(DB_05[核對狀態],U32)="停用","停用",IF(F32="","缺採樣日期",IF(OR(AND(INDEX(DB_05[生效日],U32)&lt;&gt;"",F32&lt;INDEX(DB_05[生效日],U32)),AND(INDEX(DB_05[失效日],U32)&lt;&gt;"",F32&gt;INDEX(DB_05[失效日],U32))),"日期不適用",INDEX(DB_05[核對狀態],U32)))))))))</f>
        <v/>
      </c>
      <c r="AD32" s="93">
        <f>IF(COUNTA($A32:$D32)=0,"",IF(AC32="未訂此介質／測項門檻",AC32,IF(AC32&lt;&gt;"已核對","標準待核",IF(R32="","未訂管制值",IF(NOT(ISNUMBER(L32)),"單位待核",IF(N32="ND","無法判定（ND無界限）",IF(N32="NA","不適用",IF(Z32&lt;&gt;"OK",Z32,IF(N32="數值",IF(Q32&gt;=R32,"達管制值","未達管制值"),IF(OR(N32="&lt;",N32="&lt;="),IF(OR(Q32&lt;R32,AND(N32="&lt;",Q32=R32)),"未達管制值","無法判定"),IF(OR(N32="&gt;",N32="&gt;="),IF(Q32&gt;=R32,"達管制值","無法判定"),"格式待核")))))))))))</f>
        <v/>
      </c>
      <c r="AE32" s="93">
        <f>IF(COUNTA($A32:$D32)=0,"",IF(AC32="未訂此介質／測項門檻",AC32,IF(AC32&lt;&gt;"已核對","標準待核",IF(S32="","未訂監測值",IF(NOT(ISNUMBER(L32)),"單位待核",IF(N32="ND","無法判定（ND無界限）",IF(N32="NA","不適用",IF(Z32&lt;&gt;"OK",Z32,IF(N32="數值",IF(Q32&gt;=S32,"達監測值","未達監測值"),IF(OR(N32="&lt;",N32="&lt;="),IF(OR(Q32&lt;S32,AND(N32="&lt;",Q32=S32)),"未達監測值","無法判定"),IF(OR(N32="&gt;",N32="&gt;="),IF(Q32&gt;=S32,"達監測值","無法判定"),"格式待核")))))))))))</f>
        <v/>
      </c>
      <c r="AF32" s="93">
        <f>IF(COUNTA($A32:$D32)=0,"",IF(OR(E32="",A32="",B32="",C32=""),"缺必要欄位",IF(Y32&lt;&gt;"OK","樣品資料待補",IF(T32=0,"測項未建或重複",IF(INDEX(DB_04[啟用],T32)&lt;&gt;"是","測項停用",IF(AND(Z32&lt;&gt;"OK",Z32&lt;&gt;"不適用"),Z32,IF(AND(AB32&lt;&gt;"OK",AB32&lt;&gt;"已換算"),"單位待核",IF(AA32&lt;&gt;"OK",AA32,"OK"))))))))</f>
        <v/>
      </c>
      <c r="AG32" s="93">
        <f>IF(COUNTA($A32:$D32)=0,"",IF(N32="ND","ND取0",IF(OR(N32="&lt;",N32="&lt;="),"界限除以2",IF(N32="NA","不適用",IF(OR(N32="&gt;",N32="&gt;="),"保留界限數值","保留原數值")))))</f>
        <v/>
      </c>
      <c r="AH32" s="92">
        <f>IF(O32="","",IFERROR(_xlfn.NUMBERVALUE(O32,".",","),""))</f>
        <v/>
      </c>
      <c r="AI32" s="92">
        <f>IF(H32="","",IFERROR(MATCH(H32,Samples[樣品編號],0),0))</f>
        <v/>
      </c>
    </row>
    <row r="33">
      <c r="A33" s="27" t="inlineStr">
        <is>
          <t>總有機碳</t>
        </is>
      </c>
      <c r="B33" s="28" t="inlineStr">
        <is>
          <t>2.3</t>
        </is>
      </c>
      <c r="C33" s="27" t="inlineStr">
        <is>
          <t>mg/L</t>
        </is>
      </c>
      <c r="D33" s="39" t="inlineStr">
        <is>
          <t>合成資料，非實測；method=lab</t>
        </is>
      </c>
      <c r="E33" s="29">
        <f>IF(OR(I33="",I33=0),"",IF(INDEX(Samples[監測點],I33)="","",INDEX(Samples[監測點],I33)))</f>
        <v/>
      </c>
      <c r="F33" s="90">
        <f>IF(OR(I33="",I33=0),"",IF(INDEX(Samples[採樣日期],I33)="","",INDEX(Samples[採樣日期],I33)))</f>
        <v/>
      </c>
      <c r="G33" s="91">
        <f>IF(OR(M33="",M33="NA",M33="N/A"),"",IF(OR(M33="ND",M33="N.D."),0,IFERROR(IF(OR(OR(ISNUMBER(SEARCH("%",O33)),ISNUMBER(SEARCH(" ",O33)),ISNUMBER(SEARCH(",",O33))),OR(SUBSTITUTE(SUBSTITUTE(SUBSTITUTE(SUBSTITUTE(SUBSTITUTE(SUBSTITUTE(SUBSTITUTE(SUBSTITUTE(SUBSTITUTE(SUBSTITUTE(SUBSTITUTE(SUBSTITUTE(SUBSTITUTE(SUBSTITUTE(SUBSTITUTE(SUBSTITUTE(SUBSTITUTE(SUBSTITUTE("x"&amp;M33,"0",""),"1",""),"2",""),"3",""),"4",""),"5",""),"6",""),"7",""),"8",""),"9",""),".",""),"E",""),"+",""),"-",""),"&lt;",""),"&gt;",""),"=","")," ","")&lt;&gt;"x",ISNUMBER(SEARCH("-",SUBSTITUTE(SUBSTITUTE("x"&amp;MID(M33,2,99),"E-","E"),"E+","E"))),ISNUMBER(SEARCH("+",SUBSTITUTE(SUBSTITUTE("x"&amp;MID(M33,2,99),"E-","E"),"E+","E"))))),"",IF(AND(OR(LEFT(M33,1)="&lt;",LEFT(M33,1)="&gt;"),IF(O33="",0,IF(ISNUMBER(AH33),AH33,NA()))&lt;0),"",IF(O33="",0,IF(ISNUMBER(AH33),AH33,NA()))/IF(LEFT(M33,1)="&lt;",2,1))),"")))</f>
        <v/>
      </c>
      <c r="H33" s="57" t="inlineStr">
        <is>
          <t>BH01-W_20260415_01</t>
        </is>
      </c>
      <c r="I33" s="92">
        <f>IF(OR(H33="",AI33=0),0,IF(INDEX(Samples[樣品重複筆數],AI33)=1,AI33,0))</f>
        <v/>
      </c>
      <c r="J33" s="92">
        <f>IF(OR(COUNTA($A33:$D33)=0,I33=0),"",IF(INDEX(Samples[介質],I33)="","",INDEX(Samples[介質],I33)))</f>
        <v/>
      </c>
      <c r="K33" s="92">
        <f>IF(OR(COUNTA($A33:$D33)=0,T33=0),"",IF(INDEX(DB_04[標準單位],T33)="","",INDEX(DB_04[標準單位],T33)))</f>
        <v/>
      </c>
      <c r="L33" s="92">
        <f>IF(COUNTA($A33:$D33)=0,"",IF(OR(C33="",K33=""),"",IF(C33=K33,1,IF(COUNTIFS(DB_06[換算鍵],C33&amp;"|"&amp;K33,DB_06[換算檢查],"OK")=1,INDEX(DB_06[乘數],MATCH(C33&amp;"|"&amp;K33,DB_06[換算鍵],0)),""))))</f>
        <v/>
      </c>
      <c r="M33" s="92">
        <f>UPPER(SUBSTITUTE(SUBSTITUTE(SUBSTITUTE(SUBSTITUTE(TRIM(B33&amp;""),"＜","&lt;"),"＞","&gt;"),"≤","&lt;="),"≥","&gt;="))</f>
        <v/>
      </c>
      <c r="N33" s="92">
        <f>IF(M33="","",IF(OR(M33="ND",M33="N.D."),"ND",IF(OR(M33="NA",M33="N/A",M33="N.A."),"NA",IF(OR(LEFT(M33,2)="&lt;=",LEFT(M33,2)="&gt;="),LEFT(M33,2),IF(OR(LEFT(M33,1)="&lt;",LEFT(M33,1)="&gt;"),LEFT(M33,1),"數值")))))</f>
        <v/>
      </c>
      <c r="O33" s="92">
        <f>IF(OR(N33="",N33="ND",N33="NA"),"",IF(N33="數值",M33,TRIM(MID(M33,LEN(N33)+1,99))))</f>
        <v/>
      </c>
      <c r="P33" s="92">
        <f>IF(O33="","",IFERROR(IF(OR(OR(ISNUMBER(SEARCH("%",O33)),ISNUMBER(SEARCH(" ",O33)),ISNUMBER(SEARCH(",",O33))),OR(SUBSTITUTE(SUBSTITUTE(SUBSTITUTE(SUBSTITUTE(SUBSTITUTE(SUBSTITUTE(SUBSTITUTE(SUBSTITUTE(SUBSTITUTE(SUBSTITUTE(SUBSTITUTE(SUBSTITUTE(SUBSTITUTE(SUBSTITUTE(SUBSTITUTE(SUBSTITUTE(SUBSTITUTE(SUBSTITUTE("x"&amp;O33,"0",""),"1",""),"2",""),"3",""),"4",""),"5",""),"6",""),"7",""),"8",""),"9",""),".",""),"E",""),"+",""),"-",""),"&lt;",""),"&gt;",""),"=","")," ","")&lt;&gt;"x",ISNUMBER(SEARCH("-",SUBSTITUTE(SUBSTITUTE("x"&amp;MID(O33,2,99),"E-","E"),"E+","E"))),ISNUMBER(SEARCH("+",SUBSTITUTE(SUBSTITUTE("x"&amp;MID(O33,2,99),"E-","E"),"E+","E"))))),"",IF(ISNUMBER(AH33),AH33,NA())),""))</f>
        <v/>
      </c>
      <c r="Q33" s="92">
        <f>IF(AND(ISNUMBER(L33),ISNUMBER(P33)),L33*P33,"")</f>
        <v/>
      </c>
      <c r="R33" s="92">
        <f>IF(OR(COUNTA($A33:$D33)=0,U33=0),"",IF(INDEX(DB_05[管制設定值],U33)="","",INDEX(DB_05[管制設定值],U33)))</f>
        <v/>
      </c>
      <c r="S33" s="92">
        <f>IF(OR(COUNTA($A33:$D33)=0,U33=0),"",IF(INDEX(DB_05[監測設定值],U33)="","",INDEX(DB_05[監測設定值],U33)))</f>
        <v/>
      </c>
      <c r="T33" s="92">
        <f>IF(COUNTA($A33:$D33)=0,"",IF(COUNTIFS(DB_04[測項鍵],V33)=1,MATCH(V33,DB_04[測項鍵],0),0))</f>
        <v/>
      </c>
      <c r="U33" s="92">
        <f>IF(COUNTA($A33:$D33)=0,"",IF(COUNTIFS(DB_05[標準鍵],W33)=1,MATCH(W33,DB_05[標準鍵],0),0))</f>
        <v/>
      </c>
      <c r="V33" s="92">
        <f>IF(OR(J33="",A33=""),"",J33&amp;"|"&amp;A33)</f>
        <v/>
      </c>
      <c r="W33" s="92">
        <f>IF(OR('07_QAQC'!$C$3="",V33=""),"",'07_QAQC'!$C$3&amp;"|"&amp;V33)</f>
        <v/>
      </c>
      <c r="X33" s="92">
        <f>IF(OR(H33="",A33=""),"",LEN(H33)&amp;":"&amp;H33&amp;LEN(A33)&amp;":"&amp;A33)</f>
        <v/>
      </c>
      <c r="Y33" s="93">
        <f>IF(COUNTA($A33:$D33)=0,"",IF(I33=0,"樣品未建或重複",IF(INDEX(Samples[樣品檢查],I33)="","OK",INDEX(Samples[樣品檢查],I33))))</f>
        <v/>
      </c>
      <c r="Z33" s="93">
        <f>IF(COUNTA($A33:$D33)=0,"",IF(B33="","缺原始值",IF(OR(B33="-",B33="--"),"無資料",IF(N33="NA","不適用",IF(N33="ND","OK",IF(NOT(ISNUMBER(P33)),"格式待核",IF(AND(N33&lt;&gt;"數值",P33&lt;0),"界限不得為負","OK")))))))</f>
        <v/>
      </c>
      <c r="AA33" s="93">
        <f>IF(COUNTA(A33:D33)=0,"",IF(OR(A33="",H33=""),"缺識別欄位",IF(IF(LEN("="&amp;SUBSTITUTE(SUBSTITUTE(SUBSTITUTE(X33,"~","~~"),"*","~*"),"?","~?"))&lt;=255,COUNTIF(Results[結果識別鍵],"="&amp;SUBSTITUTE(SUBSTITUTE(SUBSTITUTE(X33,"~","~~"),"*","~*"),"?","~?")),COUNTIFS(Results[關聯鍵],"="&amp;SUBSTITUTE(SUBSTITUTE(SUBSTITUTE(H33,"~","~~"),"*","~*"),"?","~?"),Results[分析項目],"="&amp;SUBSTITUTE(SUBSTITUTE(SUBSTITUTE(A33,"~","~~"),"*","~*"),"?","~?")))&gt;1,"同關聯鍵測項重複","OK")))</f>
        <v/>
      </c>
      <c r="AB33" s="93">
        <f>IF(COUNTA($A33:$D33)=0,"",IF(OR(C33="",K33=""),"缺單位",IF(NOT(ISNUMBER(L33)),"單位不相容",IF(L33=1,"OK","已換算"))))</f>
        <v/>
      </c>
      <c r="AC33" s="93">
        <f>IF(COUNTA($A33:$D33)=0,"",IF('07_QAQC'!$C$3="","未選比較版本",IF(U33=0,IF(COUNTIFS(DB_05[標準鍵],W33)&gt;1,"標準鍵重複","未訂此介質／測項門檻"),IF(INDEX(DB_05[版本檢查],U33)&lt;&gt;"OK","標準主檔待核",IF(INDEX(DB_05[標準單位],U33)&lt;&gt;K33,"標準單位不符",IF(INDEX(DB_05[核對狀態],U33)="停用","停用",IF(F33="","缺採樣日期",IF(OR(AND(INDEX(DB_05[生效日],U33)&lt;&gt;"",F33&lt;INDEX(DB_05[生效日],U33)),AND(INDEX(DB_05[失效日],U33)&lt;&gt;"",F33&gt;INDEX(DB_05[失效日],U33))),"日期不適用",INDEX(DB_05[核對狀態],U33)))))))))</f>
        <v/>
      </c>
      <c r="AD33" s="93">
        <f>IF(COUNTA($A33:$D33)=0,"",IF(AC33="未訂此介質／測項門檻",AC33,IF(AC33&lt;&gt;"已核對","標準待核",IF(R33="","未訂管制值",IF(NOT(ISNUMBER(L33)),"單位待核",IF(N33="ND","無法判定（ND無界限）",IF(N33="NA","不適用",IF(Z33&lt;&gt;"OK",Z33,IF(N33="數值",IF(Q33&gt;=R33,"達管制值","未達管制值"),IF(OR(N33="&lt;",N33="&lt;="),IF(OR(Q33&lt;R33,AND(N33="&lt;",Q33=R33)),"未達管制值","無法判定"),IF(OR(N33="&gt;",N33="&gt;="),IF(Q33&gt;=R33,"達管制值","無法判定"),"格式待核")))))))))))</f>
        <v/>
      </c>
      <c r="AE33" s="93">
        <f>IF(COUNTA($A33:$D33)=0,"",IF(AC33="未訂此介質／測項門檻",AC33,IF(AC33&lt;&gt;"已核對","標準待核",IF(S33="","未訂監測值",IF(NOT(ISNUMBER(L33)),"單位待核",IF(N33="ND","無法判定（ND無界限）",IF(N33="NA","不適用",IF(Z33&lt;&gt;"OK",Z33,IF(N33="數值",IF(Q33&gt;=S33,"達監測值","未達監測值"),IF(OR(N33="&lt;",N33="&lt;="),IF(OR(Q33&lt;S33,AND(N33="&lt;",Q33=S33)),"未達監測值","無法判定"),IF(OR(N33="&gt;",N33="&gt;="),IF(Q33&gt;=S33,"達監測值","無法判定"),"格式待核")))))))))))</f>
        <v/>
      </c>
      <c r="AF33" s="93">
        <f>IF(COUNTA($A33:$D33)=0,"",IF(OR(E33="",A33="",B33="",C33=""),"缺必要欄位",IF(Y33&lt;&gt;"OK","樣品資料待補",IF(T33=0,"測項未建或重複",IF(INDEX(DB_04[啟用],T33)&lt;&gt;"是","測項停用",IF(AND(Z33&lt;&gt;"OK",Z33&lt;&gt;"不適用"),Z33,IF(AND(AB33&lt;&gt;"OK",AB33&lt;&gt;"已換算"),"單位待核",IF(AA33&lt;&gt;"OK",AA33,"OK"))))))))</f>
        <v/>
      </c>
      <c r="AG33" s="93">
        <f>IF(COUNTA($A33:$D33)=0,"",IF(N33="ND","ND取0",IF(OR(N33="&lt;",N33="&lt;="),"界限除以2",IF(N33="NA","不適用",IF(OR(N33="&gt;",N33="&gt;="),"保留界限數值","保留原數值")))))</f>
        <v/>
      </c>
      <c r="AH33" s="92">
        <f>IF(O33="","",IFERROR(_xlfn.NUMBERVALUE(O33,".",","),""))</f>
        <v/>
      </c>
      <c r="AI33" s="92">
        <f>IF(H33="","",IFERROR(MATCH(H33,Samples[樣品編號],0),0))</f>
        <v/>
      </c>
    </row>
    <row r="34">
      <c r="A34" s="27" t="inlineStr">
        <is>
          <t>鋅</t>
        </is>
      </c>
      <c r="B34" s="28" t="inlineStr">
        <is>
          <t>106</t>
        </is>
      </c>
      <c r="C34" s="27" t="inlineStr">
        <is>
          <t>mg/kg</t>
        </is>
      </c>
      <c r="D34" s="39" t="inlineStr">
        <is>
          <t>合成資料，非實測；method=XRF; basis=dry</t>
        </is>
      </c>
      <c r="E34" s="29">
        <f>IF(OR(I34="",I34=0),"",IF(INDEX(Samples[監測點],I34)="","",INDEX(Samples[監測點],I34)))</f>
        <v/>
      </c>
      <c r="F34" s="90">
        <f>IF(OR(I34="",I34=0),"",IF(INDEX(Samples[採樣日期],I34)="","",INDEX(Samples[採樣日期],I34)))</f>
        <v/>
      </c>
      <c r="G34" s="91">
        <f>IF(OR(M34="",M34="NA",M34="N/A"),"",IF(OR(M34="ND",M34="N.D."),0,IFERROR(IF(OR(OR(ISNUMBER(SEARCH("%",O34)),ISNUMBER(SEARCH(" ",O34)),ISNUMBER(SEARCH(",",O34))),OR(SUBSTITUTE(SUBSTITUTE(SUBSTITUTE(SUBSTITUTE(SUBSTITUTE(SUBSTITUTE(SUBSTITUTE(SUBSTITUTE(SUBSTITUTE(SUBSTITUTE(SUBSTITUTE(SUBSTITUTE(SUBSTITUTE(SUBSTITUTE(SUBSTITUTE(SUBSTITUTE(SUBSTITUTE(SUBSTITUTE("x"&amp;M34,"0",""),"1",""),"2",""),"3",""),"4",""),"5",""),"6",""),"7",""),"8",""),"9",""),".",""),"E",""),"+",""),"-",""),"&lt;",""),"&gt;",""),"=","")," ","")&lt;&gt;"x",ISNUMBER(SEARCH("-",SUBSTITUTE(SUBSTITUTE("x"&amp;MID(M34,2,99),"E-","E"),"E+","E"))),ISNUMBER(SEARCH("+",SUBSTITUTE(SUBSTITUTE("x"&amp;MID(M34,2,99),"E-","E"),"E+","E"))))),"",IF(AND(OR(LEFT(M34,1)="&lt;",LEFT(M34,1)="&gt;"),IF(O34="",0,IF(ISNUMBER(AH34),AH34,NA()))&lt;0),"",IF(O34="",0,IF(ISNUMBER(AH34),AH34,NA()))/IF(LEFT(M34,1)="&lt;",2,1))),"")))</f>
        <v/>
      </c>
      <c r="H34" s="57" t="inlineStr">
        <is>
          <t>BH01-S_20260415_02</t>
        </is>
      </c>
      <c r="I34" s="92">
        <f>IF(OR(H34="",AI34=0),0,IF(INDEX(Samples[樣品重複筆數],AI34)=1,AI34,0))</f>
        <v/>
      </c>
      <c r="J34" s="92">
        <f>IF(OR(COUNTA($A34:$D34)=0,I34=0),"",IF(INDEX(Samples[介質],I34)="","",INDEX(Samples[介質],I34)))</f>
        <v/>
      </c>
      <c r="K34" s="92">
        <f>IF(OR(COUNTA($A34:$D34)=0,T34=0),"",IF(INDEX(DB_04[標準單位],T34)="","",INDEX(DB_04[標準單位],T34)))</f>
        <v/>
      </c>
      <c r="L34" s="92">
        <f>IF(COUNTA($A34:$D34)=0,"",IF(OR(C34="",K34=""),"",IF(C34=K34,1,IF(COUNTIFS(DB_06[換算鍵],C34&amp;"|"&amp;K34,DB_06[換算檢查],"OK")=1,INDEX(DB_06[乘數],MATCH(C34&amp;"|"&amp;K34,DB_06[換算鍵],0)),""))))</f>
        <v/>
      </c>
      <c r="M34" s="92">
        <f>UPPER(SUBSTITUTE(SUBSTITUTE(SUBSTITUTE(SUBSTITUTE(TRIM(B34&amp;""),"＜","&lt;"),"＞","&gt;"),"≤","&lt;="),"≥","&gt;="))</f>
        <v/>
      </c>
      <c r="N34" s="92">
        <f>IF(M34="","",IF(OR(M34="ND",M34="N.D."),"ND",IF(OR(M34="NA",M34="N/A",M34="N.A."),"NA",IF(OR(LEFT(M34,2)="&lt;=",LEFT(M34,2)="&gt;="),LEFT(M34,2),IF(OR(LEFT(M34,1)="&lt;",LEFT(M34,1)="&gt;"),LEFT(M34,1),"數值")))))</f>
        <v/>
      </c>
      <c r="O34" s="92">
        <f>IF(OR(N34="",N34="ND",N34="NA"),"",IF(N34="數值",M34,TRIM(MID(M34,LEN(N34)+1,99))))</f>
        <v/>
      </c>
      <c r="P34" s="92">
        <f>IF(O34="","",IFERROR(IF(OR(OR(ISNUMBER(SEARCH("%",O34)),ISNUMBER(SEARCH(" ",O34)),ISNUMBER(SEARCH(",",O34))),OR(SUBSTITUTE(SUBSTITUTE(SUBSTITUTE(SUBSTITUTE(SUBSTITUTE(SUBSTITUTE(SUBSTITUTE(SUBSTITUTE(SUBSTITUTE(SUBSTITUTE(SUBSTITUTE(SUBSTITUTE(SUBSTITUTE(SUBSTITUTE(SUBSTITUTE(SUBSTITUTE(SUBSTITUTE(SUBSTITUTE("x"&amp;O34,"0",""),"1",""),"2",""),"3",""),"4",""),"5",""),"6",""),"7",""),"8",""),"9",""),".",""),"E",""),"+",""),"-",""),"&lt;",""),"&gt;",""),"=","")," ","")&lt;&gt;"x",ISNUMBER(SEARCH("-",SUBSTITUTE(SUBSTITUTE("x"&amp;MID(O34,2,99),"E-","E"),"E+","E"))),ISNUMBER(SEARCH("+",SUBSTITUTE(SUBSTITUTE("x"&amp;MID(O34,2,99),"E-","E"),"E+","E"))))),"",IF(ISNUMBER(AH34),AH34,NA())),""))</f>
        <v/>
      </c>
      <c r="Q34" s="92">
        <f>IF(AND(ISNUMBER(L34),ISNUMBER(P34)),L34*P34,"")</f>
        <v/>
      </c>
      <c r="R34" s="92">
        <f>IF(OR(COUNTA($A34:$D34)=0,U34=0),"",IF(INDEX(DB_05[管制設定值],U34)="","",INDEX(DB_05[管制設定值],U34)))</f>
        <v/>
      </c>
      <c r="S34" s="92">
        <f>IF(OR(COUNTA($A34:$D34)=0,U34=0),"",IF(INDEX(DB_05[監測設定值],U34)="","",INDEX(DB_05[監測設定值],U34)))</f>
        <v/>
      </c>
      <c r="T34" s="92">
        <f>IF(COUNTA($A34:$D34)=0,"",IF(COUNTIFS(DB_04[測項鍵],V34)=1,MATCH(V34,DB_04[測項鍵],0),0))</f>
        <v/>
      </c>
      <c r="U34" s="92">
        <f>IF(COUNTA($A34:$D34)=0,"",IF(COUNTIFS(DB_05[標準鍵],W34)=1,MATCH(W34,DB_05[標準鍵],0),0))</f>
        <v/>
      </c>
      <c r="V34" s="92">
        <f>IF(OR(J34="",A34=""),"",J34&amp;"|"&amp;A34)</f>
        <v/>
      </c>
      <c r="W34" s="92">
        <f>IF(OR('07_QAQC'!$C$3="",V34=""),"",'07_QAQC'!$C$3&amp;"|"&amp;V34)</f>
        <v/>
      </c>
      <c r="X34" s="92">
        <f>IF(OR(H34="",A34=""),"",LEN(H34)&amp;":"&amp;H34&amp;LEN(A34)&amp;":"&amp;A34)</f>
        <v/>
      </c>
      <c r="Y34" s="93">
        <f>IF(COUNTA($A34:$D34)=0,"",IF(I34=0,"樣品未建或重複",IF(INDEX(Samples[樣品檢查],I34)="","OK",INDEX(Samples[樣品檢查],I34))))</f>
        <v/>
      </c>
      <c r="Z34" s="93">
        <f>IF(COUNTA($A34:$D34)=0,"",IF(B34="","缺原始值",IF(OR(B34="-",B34="--"),"無資料",IF(N34="NA","不適用",IF(N34="ND","OK",IF(NOT(ISNUMBER(P34)),"格式待核",IF(AND(N34&lt;&gt;"數值",P34&lt;0),"界限不得為負","OK")))))))</f>
        <v/>
      </c>
      <c r="AA34" s="93">
        <f>IF(COUNTA(A34:D34)=0,"",IF(OR(A34="",H34=""),"缺識別欄位",IF(IF(LEN("="&amp;SUBSTITUTE(SUBSTITUTE(SUBSTITUTE(X34,"~","~~"),"*","~*"),"?","~?"))&lt;=255,COUNTIF(Results[結果識別鍵],"="&amp;SUBSTITUTE(SUBSTITUTE(SUBSTITUTE(X34,"~","~~"),"*","~*"),"?","~?")),COUNTIFS(Results[關聯鍵],"="&amp;SUBSTITUTE(SUBSTITUTE(SUBSTITUTE(H34,"~","~~"),"*","~*"),"?","~?"),Results[分析項目],"="&amp;SUBSTITUTE(SUBSTITUTE(SUBSTITUTE(A34,"~","~~"),"*","~*"),"?","~?")))&gt;1,"同關聯鍵測項重複","OK")))</f>
        <v/>
      </c>
      <c r="AB34" s="93">
        <f>IF(COUNTA($A34:$D34)=0,"",IF(OR(C34="",K34=""),"缺單位",IF(NOT(ISNUMBER(L34)),"單位不相容",IF(L34=1,"OK","已換算"))))</f>
        <v/>
      </c>
      <c r="AC34" s="93">
        <f>IF(COUNTA($A34:$D34)=0,"",IF('07_QAQC'!$C$3="","未選比較版本",IF(U34=0,IF(COUNTIFS(DB_05[標準鍵],W34)&gt;1,"標準鍵重複","未訂此介質／測項門檻"),IF(INDEX(DB_05[版本檢查],U34)&lt;&gt;"OK","標準主檔待核",IF(INDEX(DB_05[標準單位],U34)&lt;&gt;K34,"標準單位不符",IF(INDEX(DB_05[核對狀態],U34)="停用","停用",IF(F34="","缺採樣日期",IF(OR(AND(INDEX(DB_05[生效日],U34)&lt;&gt;"",F34&lt;INDEX(DB_05[生效日],U34)),AND(INDEX(DB_05[失效日],U34)&lt;&gt;"",F34&gt;INDEX(DB_05[失效日],U34))),"日期不適用",INDEX(DB_05[核對狀態],U34)))))))))</f>
        <v/>
      </c>
      <c r="AD34" s="93">
        <f>IF(COUNTA($A34:$D34)=0,"",IF(AC34="未訂此介質／測項門檻",AC34,IF(AC34&lt;&gt;"已核對","標準待核",IF(R34="","未訂管制值",IF(NOT(ISNUMBER(L34)),"單位待核",IF(N34="ND","無法判定（ND無界限）",IF(N34="NA","不適用",IF(Z34&lt;&gt;"OK",Z34,IF(N34="數值",IF(Q34&gt;=R34,"達管制值","未達管制值"),IF(OR(N34="&lt;",N34="&lt;="),IF(OR(Q34&lt;R34,AND(N34="&lt;",Q34=R34)),"未達管制值","無法判定"),IF(OR(N34="&gt;",N34="&gt;="),IF(Q34&gt;=R34,"達管制值","無法判定"),"格式待核")))))))))))</f>
        <v/>
      </c>
      <c r="AE34" s="93">
        <f>IF(COUNTA($A34:$D34)=0,"",IF(AC34="未訂此介質／測項門檻",AC34,IF(AC34&lt;&gt;"已核對","標準待核",IF(S34="","未訂監測值",IF(NOT(ISNUMBER(L34)),"單位待核",IF(N34="ND","無法判定（ND無界限）",IF(N34="NA","不適用",IF(Z34&lt;&gt;"OK",Z34,IF(N34="數值",IF(Q34&gt;=S34,"達監測值","未達監測值"),IF(OR(N34="&lt;",N34="&lt;="),IF(OR(Q34&lt;S34,AND(N34="&lt;",Q34=S34)),"未達監測值","無法判定"),IF(OR(N34="&gt;",N34="&gt;="),IF(Q34&gt;=S34,"達監測值","無法判定"),"格式待核")))))))))))</f>
        <v/>
      </c>
      <c r="AF34" s="93">
        <f>IF(COUNTA($A34:$D34)=0,"",IF(OR(E34="",A34="",B34="",C34=""),"缺必要欄位",IF(Y34&lt;&gt;"OK","樣品資料待補",IF(T34=0,"測項未建或重複",IF(INDEX(DB_04[啟用],T34)&lt;&gt;"是","測項停用",IF(AND(Z34&lt;&gt;"OK",Z34&lt;&gt;"不適用"),Z34,IF(AND(AB34&lt;&gt;"OK",AB34&lt;&gt;"已換算"),"單位待核",IF(AA34&lt;&gt;"OK",AA34,"OK"))))))))</f>
        <v/>
      </c>
      <c r="AG34" s="93">
        <f>IF(COUNTA($A34:$D34)=0,"",IF(N34="ND","ND取0",IF(OR(N34="&lt;",N34="&lt;="),"界限除以2",IF(N34="NA","不適用",IF(OR(N34="&gt;",N34="&gt;="),"保留界限數值","保留原數值")))))</f>
        <v/>
      </c>
      <c r="AH34" s="92">
        <f>IF(O34="","",IFERROR(_xlfn.NUMBERVALUE(O34,".",","),""))</f>
        <v/>
      </c>
      <c r="AI34" s="92">
        <f>IF(H34="","",IFERROR(MATCH(H34,Samples[樣品編號],0),0))</f>
        <v/>
      </c>
    </row>
    <row r="35">
      <c r="A35" s="27" t="inlineStr">
        <is>
          <t>總有機碳</t>
        </is>
      </c>
      <c r="B35" s="28" t="inlineStr">
        <is>
          <t>0.29</t>
        </is>
      </c>
      <c r="C35" s="27" t="inlineStr">
        <is>
          <t>%</t>
        </is>
      </c>
      <c r="D35" s="39" t="inlineStr">
        <is>
          <t>合成資料，非實測；method=lab; basis=dry</t>
        </is>
      </c>
      <c r="E35" s="29">
        <f>IF(OR(I35="",I35=0),"",IF(INDEX(Samples[監測點],I35)="","",INDEX(Samples[監測點],I35)))</f>
        <v/>
      </c>
      <c r="F35" s="90">
        <f>IF(OR(I35="",I35=0),"",IF(INDEX(Samples[採樣日期],I35)="","",INDEX(Samples[採樣日期],I35)))</f>
        <v/>
      </c>
      <c r="G35" s="91">
        <f>IF(OR(M35="",M35="NA",M35="N/A"),"",IF(OR(M35="ND",M35="N.D."),0,IFERROR(IF(OR(OR(ISNUMBER(SEARCH("%",O35)),ISNUMBER(SEARCH(" ",O35)),ISNUMBER(SEARCH(",",O35))),OR(SUBSTITUTE(SUBSTITUTE(SUBSTITUTE(SUBSTITUTE(SUBSTITUTE(SUBSTITUTE(SUBSTITUTE(SUBSTITUTE(SUBSTITUTE(SUBSTITUTE(SUBSTITUTE(SUBSTITUTE(SUBSTITUTE(SUBSTITUTE(SUBSTITUTE(SUBSTITUTE(SUBSTITUTE(SUBSTITUTE("x"&amp;M35,"0",""),"1",""),"2",""),"3",""),"4",""),"5",""),"6",""),"7",""),"8",""),"9",""),".",""),"E",""),"+",""),"-",""),"&lt;",""),"&gt;",""),"=","")," ","")&lt;&gt;"x",ISNUMBER(SEARCH("-",SUBSTITUTE(SUBSTITUTE("x"&amp;MID(M35,2,99),"E-","E"),"E+","E"))),ISNUMBER(SEARCH("+",SUBSTITUTE(SUBSTITUTE("x"&amp;MID(M35,2,99),"E-","E"),"E+","E"))))),"",IF(AND(OR(LEFT(M35,1)="&lt;",LEFT(M35,1)="&gt;"),IF(O35="",0,IF(ISNUMBER(AH35),AH35,NA()))&lt;0),"",IF(O35="",0,IF(ISNUMBER(AH35),AH35,NA()))/IF(LEFT(M35,1)="&lt;",2,1))),"")))</f>
        <v/>
      </c>
      <c r="H35" s="57" t="inlineStr">
        <is>
          <t>BH01-S_20260415_02</t>
        </is>
      </c>
      <c r="I35" s="92">
        <f>IF(OR(H35="",AI35=0),0,IF(INDEX(Samples[樣品重複筆數],AI35)=1,AI35,0))</f>
        <v/>
      </c>
      <c r="J35" s="92">
        <f>IF(OR(COUNTA($A35:$D35)=0,I35=0),"",IF(INDEX(Samples[介質],I35)="","",INDEX(Samples[介質],I35)))</f>
        <v/>
      </c>
      <c r="K35" s="92">
        <f>IF(OR(COUNTA($A35:$D35)=0,T35=0),"",IF(INDEX(DB_04[標準單位],T35)="","",INDEX(DB_04[標準單位],T35)))</f>
        <v/>
      </c>
      <c r="L35" s="92">
        <f>IF(COUNTA($A35:$D35)=0,"",IF(OR(C35="",K35=""),"",IF(C35=K35,1,IF(COUNTIFS(DB_06[換算鍵],C35&amp;"|"&amp;K35,DB_06[換算檢查],"OK")=1,INDEX(DB_06[乘數],MATCH(C35&amp;"|"&amp;K35,DB_06[換算鍵],0)),""))))</f>
        <v/>
      </c>
      <c r="M35" s="92">
        <f>UPPER(SUBSTITUTE(SUBSTITUTE(SUBSTITUTE(SUBSTITUTE(TRIM(B35&amp;""),"＜","&lt;"),"＞","&gt;"),"≤","&lt;="),"≥","&gt;="))</f>
        <v/>
      </c>
      <c r="N35" s="92">
        <f>IF(M35="","",IF(OR(M35="ND",M35="N.D."),"ND",IF(OR(M35="NA",M35="N/A",M35="N.A."),"NA",IF(OR(LEFT(M35,2)="&lt;=",LEFT(M35,2)="&gt;="),LEFT(M35,2),IF(OR(LEFT(M35,1)="&lt;",LEFT(M35,1)="&gt;"),LEFT(M35,1),"數值")))))</f>
        <v/>
      </c>
      <c r="O35" s="92">
        <f>IF(OR(N35="",N35="ND",N35="NA"),"",IF(N35="數值",M35,TRIM(MID(M35,LEN(N35)+1,99))))</f>
        <v/>
      </c>
      <c r="P35" s="92">
        <f>IF(O35="","",IFERROR(IF(OR(OR(ISNUMBER(SEARCH("%",O35)),ISNUMBER(SEARCH(" ",O35)),ISNUMBER(SEARCH(",",O35))),OR(SUBSTITUTE(SUBSTITUTE(SUBSTITUTE(SUBSTITUTE(SUBSTITUTE(SUBSTITUTE(SUBSTITUTE(SUBSTITUTE(SUBSTITUTE(SUBSTITUTE(SUBSTITUTE(SUBSTITUTE(SUBSTITUTE(SUBSTITUTE(SUBSTITUTE(SUBSTITUTE(SUBSTITUTE(SUBSTITUTE("x"&amp;O35,"0",""),"1",""),"2",""),"3",""),"4",""),"5",""),"6",""),"7",""),"8",""),"9",""),".",""),"E",""),"+",""),"-",""),"&lt;",""),"&gt;",""),"=","")," ","")&lt;&gt;"x",ISNUMBER(SEARCH("-",SUBSTITUTE(SUBSTITUTE("x"&amp;MID(O35,2,99),"E-","E"),"E+","E"))),ISNUMBER(SEARCH("+",SUBSTITUTE(SUBSTITUTE("x"&amp;MID(O35,2,99),"E-","E"),"E+","E"))))),"",IF(ISNUMBER(AH35),AH35,NA())),""))</f>
        <v/>
      </c>
      <c r="Q35" s="92">
        <f>IF(AND(ISNUMBER(L35),ISNUMBER(P35)),L35*P35,"")</f>
        <v/>
      </c>
      <c r="R35" s="92">
        <f>IF(OR(COUNTA($A35:$D35)=0,U35=0),"",IF(INDEX(DB_05[管制設定值],U35)="","",INDEX(DB_05[管制設定值],U35)))</f>
        <v/>
      </c>
      <c r="S35" s="92">
        <f>IF(OR(COUNTA($A35:$D35)=0,U35=0),"",IF(INDEX(DB_05[監測設定值],U35)="","",INDEX(DB_05[監測設定值],U35)))</f>
        <v/>
      </c>
      <c r="T35" s="92">
        <f>IF(COUNTA($A35:$D35)=0,"",IF(COUNTIFS(DB_04[測項鍵],V35)=1,MATCH(V35,DB_04[測項鍵],0),0))</f>
        <v/>
      </c>
      <c r="U35" s="92">
        <f>IF(COUNTA($A35:$D35)=0,"",IF(COUNTIFS(DB_05[標準鍵],W35)=1,MATCH(W35,DB_05[標準鍵],0),0))</f>
        <v/>
      </c>
      <c r="V35" s="92">
        <f>IF(OR(J35="",A35=""),"",J35&amp;"|"&amp;A35)</f>
        <v/>
      </c>
      <c r="W35" s="92">
        <f>IF(OR('07_QAQC'!$C$3="",V35=""),"",'07_QAQC'!$C$3&amp;"|"&amp;V35)</f>
        <v/>
      </c>
      <c r="X35" s="92">
        <f>IF(OR(H35="",A35=""),"",LEN(H35)&amp;":"&amp;H35&amp;LEN(A35)&amp;":"&amp;A35)</f>
        <v/>
      </c>
      <c r="Y35" s="93">
        <f>IF(COUNTA($A35:$D35)=0,"",IF(I35=0,"樣品未建或重複",IF(INDEX(Samples[樣品檢查],I35)="","OK",INDEX(Samples[樣品檢查],I35))))</f>
        <v/>
      </c>
      <c r="Z35" s="93">
        <f>IF(COUNTA($A35:$D35)=0,"",IF(B35="","缺原始值",IF(OR(B35="-",B35="--"),"無資料",IF(N35="NA","不適用",IF(N35="ND","OK",IF(NOT(ISNUMBER(P35)),"格式待核",IF(AND(N35&lt;&gt;"數值",P35&lt;0),"界限不得為負","OK")))))))</f>
        <v/>
      </c>
      <c r="AA35" s="93">
        <f>IF(COUNTA(A35:D35)=0,"",IF(OR(A35="",H35=""),"缺識別欄位",IF(IF(LEN("="&amp;SUBSTITUTE(SUBSTITUTE(SUBSTITUTE(X35,"~","~~"),"*","~*"),"?","~?"))&lt;=255,COUNTIF(Results[結果識別鍵],"="&amp;SUBSTITUTE(SUBSTITUTE(SUBSTITUTE(X35,"~","~~"),"*","~*"),"?","~?")),COUNTIFS(Results[關聯鍵],"="&amp;SUBSTITUTE(SUBSTITUTE(SUBSTITUTE(H35,"~","~~"),"*","~*"),"?","~?"),Results[分析項目],"="&amp;SUBSTITUTE(SUBSTITUTE(SUBSTITUTE(A35,"~","~~"),"*","~*"),"?","~?")))&gt;1,"同關聯鍵測項重複","OK")))</f>
        <v/>
      </c>
      <c r="AB35" s="93">
        <f>IF(COUNTA($A35:$D35)=0,"",IF(OR(C35="",K35=""),"缺單位",IF(NOT(ISNUMBER(L35)),"單位不相容",IF(L35=1,"OK","已換算"))))</f>
        <v/>
      </c>
      <c r="AC35" s="93">
        <f>IF(COUNTA($A35:$D35)=0,"",IF('07_QAQC'!$C$3="","未選比較版本",IF(U35=0,IF(COUNTIFS(DB_05[標準鍵],W35)&gt;1,"標準鍵重複","未訂此介質／測項門檻"),IF(INDEX(DB_05[版本檢查],U35)&lt;&gt;"OK","標準主檔待核",IF(INDEX(DB_05[標準單位],U35)&lt;&gt;K35,"標準單位不符",IF(INDEX(DB_05[核對狀態],U35)="停用","停用",IF(F35="","缺採樣日期",IF(OR(AND(INDEX(DB_05[生效日],U35)&lt;&gt;"",F35&lt;INDEX(DB_05[生效日],U35)),AND(INDEX(DB_05[失效日],U35)&lt;&gt;"",F35&gt;INDEX(DB_05[失效日],U35))),"日期不適用",INDEX(DB_05[核對狀態],U35)))))))))</f>
        <v/>
      </c>
      <c r="AD35" s="93">
        <f>IF(COUNTA($A35:$D35)=0,"",IF(AC35="未訂此介質／測項門檻",AC35,IF(AC35&lt;&gt;"已核對","標準待核",IF(R35="","未訂管制值",IF(NOT(ISNUMBER(L35)),"單位待核",IF(N35="ND","無法判定（ND無界限）",IF(N35="NA","不適用",IF(Z35&lt;&gt;"OK",Z35,IF(N35="數值",IF(Q35&gt;=R35,"達管制值","未達管制值"),IF(OR(N35="&lt;",N35="&lt;="),IF(OR(Q35&lt;R35,AND(N35="&lt;",Q35=R35)),"未達管制值","無法判定"),IF(OR(N35="&gt;",N35="&gt;="),IF(Q35&gt;=R35,"達管制值","無法判定"),"格式待核")))))))))))</f>
        <v/>
      </c>
      <c r="AE35" s="93">
        <f>IF(COUNTA($A35:$D35)=0,"",IF(AC35="未訂此介質／測項門檻",AC35,IF(AC35&lt;&gt;"已核對","標準待核",IF(S35="","未訂監測值",IF(NOT(ISNUMBER(L35)),"單位待核",IF(N35="ND","無法判定（ND無界限）",IF(N35="NA","不適用",IF(Z35&lt;&gt;"OK",Z35,IF(N35="數值",IF(Q35&gt;=S35,"達監測值","未達監測值"),IF(OR(N35="&lt;",N35="&lt;="),IF(OR(Q35&lt;S35,AND(N35="&lt;",Q35=S35)),"未達監測值","無法判定"),IF(OR(N35="&gt;",N35="&gt;="),IF(Q35&gt;=S35,"達監測值","無法判定"),"格式待核")))))))))))</f>
        <v/>
      </c>
      <c r="AF35" s="93">
        <f>IF(COUNTA($A35:$D35)=0,"",IF(OR(E35="",A35="",B35="",C35=""),"缺必要欄位",IF(Y35&lt;&gt;"OK","樣品資料待補",IF(T35=0,"測項未建或重複",IF(INDEX(DB_04[啟用],T35)&lt;&gt;"是","測項停用",IF(AND(Z35&lt;&gt;"OK",Z35&lt;&gt;"不適用"),Z35,IF(AND(AB35&lt;&gt;"OK",AB35&lt;&gt;"已換算"),"單位待核",IF(AA35&lt;&gt;"OK",AA35,"OK"))))))))</f>
        <v/>
      </c>
      <c r="AG35" s="93">
        <f>IF(COUNTA($A35:$D35)=0,"",IF(N35="ND","ND取0",IF(OR(N35="&lt;",N35="&lt;="),"界限除以2",IF(N35="NA","不適用",IF(OR(N35="&gt;",N35="&gt;="),"保留界限數值","保留原數值")))))</f>
        <v/>
      </c>
      <c r="AH35" s="92">
        <f>IF(O35="","",IFERROR(_xlfn.NUMBERVALUE(O35,".",","),""))</f>
        <v/>
      </c>
      <c r="AI35" s="92">
        <f>IF(H35="","",IFERROR(MATCH(H35,Samples[樣品編號],0),0))</f>
        <v/>
      </c>
    </row>
    <row r="36">
      <c r="A36" s="27" t="inlineStr">
        <is>
          <t>pH</t>
        </is>
      </c>
      <c r="B36" s="28" t="inlineStr">
        <is>
          <t>6.55</t>
        </is>
      </c>
      <c r="C36" s="27" t="inlineStr">
        <is>
          <t>無因次</t>
        </is>
      </c>
      <c r="D36" s="39" t="inlineStr">
        <is>
          <t>合成資料，非實測；method=field</t>
        </is>
      </c>
      <c r="E36" s="29">
        <f>IF(OR(I36="",I36=0),"",IF(INDEX(Samples[監測點],I36)="","",INDEX(Samples[監測點],I36)))</f>
        <v/>
      </c>
      <c r="F36" s="90">
        <f>IF(OR(I36="",I36=0),"",IF(INDEX(Samples[採樣日期],I36)="","",INDEX(Samples[採樣日期],I36)))</f>
        <v/>
      </c>
      <c r="G36" s="91">
        <f>IF(OR(M36="",M36="NA",M36="N/A"),"",IF(OR(M36="ND",M36="N.D."),0,IFERROR(IF(OR(OR(ISNUMBER(SEARCH("%",O36)),ISNUMBER(SEARCH(" ",O36)),ISNUMBER(SEARCH(",",O36))),OR(SUBSTITUTE(SUBSTITUTE(SUBSTITUTE(SUBSTITUTE(SUBSTITUTE(SUBSTITUTE(SUBSTITUTE(SUBSTITUTE(SUBSTITUTE(SUBSTITUTE(SUBSTITUTE(SUBSTITUTE(SUBSTITUTE(SUBSTITUTE(SUBSTITUTE(SUBSTITUTE(SUBSTITUTE(SUBSTITUTE("x"&amp;M36,"0",""),"1",""),"2",""),"3",""),"4",""),"5",""),"6",""),"7",""),"8",""),"9",""),".",""),"E",""),"+",""),"-",""),"&lt;",""),"&gt;",""),"=","")," ","")&lt;&gt;"x",ISNUMBER(SEARCH("-",SUBSTITUTE(SUBSTITUTE("x"&amp;MID(M36,2,99),"E-","E"),"E+","E"))),ISNUMBER(SEARCH("+",SUBSTITUTE(SUBSTITUTE("x"&amp;MID(M36,2,99),"E-","E"),"E+","E"))))),"",IF(AND(OR(LEFT(M36,1)="&lt;",LEFT(M36,1)="&gt;"),IF(O36="",0,IF(ISNUMBER(AH36),AH36,NA()))&lt;0),"",IF(O36="",0,IF(ISNUMBER(AH36),AH36,NA()))/IF(LEFT(M36,1)="&lt;",2,1))),"")))</f>
        <v/>
      </c>
      <c r="H36" s="57" t="inlineStr">
        <is>
          <t>BH01-W_20260415_02</t>
        </is>
      </c>
      <c r="I36" s="92">
        <f>IF(OR(H36="",AI36=0),0,IF(INDEX(Samples[樣品重複筆數],AI36)=1,AI36,0))</f>
        <v/>
      </c>
      <c r="J36" s="92">
        <f>IF(OR(COUNTA($A36:$D36)=0,I36=0),"",IF(INDEX(Samples[介質],I36)="","",INDEX(Samples[介質],I36)))</f>
        <v/>
      </c>
      <c r="K36" s="92">
        <f>IF(OR(COUNTA($A36:$D36)=0,T36=0),"",IF(INDEX(DB_04[標準單位],T36)="","",INDEX(DB_04[標準單位],T36)))</f>
        <v/>
      </c>
      <c r="L36" s="92">
        <f>IF(COUNTA($A36:$D36)=0,"",IF(OR(C36="",K36=""),"",IF(C36=K36,1,IF(COUNTIFS(DB_06[換算鍵],C36&amp;"|"&amp;K36,DB_06[換算檢查],"OK")=1,INDEX(DB_06[乘數],MATCH(C36&amp;"|"&amp;K36,DB_06[換算鍵],0)),""))))</f>
        <v/>
      </c>
      <c r="M36" s="92">
        <f>UPPER(SUBSTITUTE(SUBSTITUTE(SUBSTITUTE(SUBSTITUTE(TRIM(B36&amp;""),"＜","&lt;"),"＞","&gt;"),"≤","&lt;="),"≥","&gt;="))</f>
        <v/>
      </c>
      <c r="N36" s="92">
        <f>IF(M36="","",IF(OR(M36="ND",M36="N.D."),"ND",IF(OR(M36="NA",M36="N/A",M36="N.A."),"NA",IF(OR(LEFT(M36,2)="&lt;=",LEFT(M36,2)="&gt;="),LEFT(M36,2),IF(OR(LEFT(M36,1)="&lt;",LEFT(M36,1)="&gt;"),LEFT(M36,1),"數值")))))</f>
        <v/>
      </c>
      <c r="O36" s="92">
        <f>IF(OR(N36="",N36="ND",N36="NA"),"",IF(N36="數值",M36,TRIM(MID(M36,LEN(N36)+1,99))))</f>
        <v/>
      </c>
      <c r="P36" s="92">
        <f>IF(O36="","",IFERROR(IF(OR(OR(ISNUMBER(SEARCH("%",O36)),ISNUMBER(SEARCH(" ",O36)),ISNUMBER(SEARCH(",",O36))),OR(SUBSTITUTE(SUBSTITUTE(SUBSTITUTE(SUBSTITUTE(SUBSTITUTE(SUBSTITUTE(SUBSTITUTE(SUBSTITUTE(SUBSTITUTE(SUBSTITUTE(SUBSTITUTE(SUBSTITUTE(SUBSTITUTE(SUBSTITUTE(SUBSTITUTE(SUBSTITUTE(SUBSTITUTE(SUBSTITUTE("x"&amp;O36,"0",""),"1",""),"2",""),"3",""),"4",""),"5",""),"6",""),"7",""),"8",""),"9",""),".",""),"E",""),"+",""),"-",""),"&lt;",""),"&gt;",""),"=","")," ","")&lt;&gt;"x",ISNUMBER(SEARCH("-",SUBSTITUTE(SUBSTITUTE("x"&amp;MID(O36,2,99),"E-","E"),"E+","E"))),ISNUMBER(SEARCH("+",SUBSTITUTE(SUBSTITUTE("x"&amp;MID(O36,2,99),"E-","E"),"E+","E"))))),"",IF(ISNUMBER(AH36),AH36,NA())),""))</f>
        <v/>
      </c>
      <c r="Q36" s="92">
        <f>IF(AND(ISNUMBER(L36),ISNUMBER(P36)),L36*P36,"")</f>
        <v/>
      </c>
      <c r="R36" s="92">
        <f>IF(OR(COUNTA($A36:$D36)=0,U36=0),"",IF(INDEX(DB_05[管制設定值],U36)="","",INDEX(DB_05[管制設定值],U36)))</f>
        <v/>
      </c>
      <c r="S36" s="92">
        <f>IF(OR(COUNTA($A36:$D36)=0,U36=0),"",IF(INDEX(DB_05[監測設定值],U36)="","",INDEX(DB_05[監測設定值],U36)))</f>
        <v/>
      </c>
      <c r="T36" s="92">
        <f>IF(COUNTA($A36:$D36)=0,"",IF(COUNTIFS(DB_04[測項鍵],V36)=1,MATCH(V36,DB_04[測項鍵],0),0))</f>
        <v/>
      </c>
      <c r="U36" s="92">
        <f>IF(COUNTA($A36:$D36)=0,"",IF(COUNTIFS(DB_05[標準鍵],W36)=1,MATCH(W36,DB_05[標準鍵],0),0))</f>
        <v/>
      </c>
      <c r="V36" s="92">
        <f>IF(OR(J36="",A36=""),"",J36&amp;"|"&amp;A36)</f>
        <v/>
      </c>
      <c r="W36" s="92">
        <f>IF(OR('07_QAQC'!$C$3="",V36=""),"",'07_QAQC'!$C$3&amp;"|"&amp;V36)</f>
        <v/>
      </c>
      <c r="X36" s="92">
        <f>IF(OR(H36="",A36=""),"",LEN(H36)&amp;":"&amp;H36&amp;LEN(A36)&amp;":"&amp;A36)</f>
        <v/>
      </c>
      <c r="Y36" s="93">
        <f>IF(COUNTA($A36:$D36)=0,"",IF(I36=0,"樣品未建或重複",IF(INDEX(Samples[樣品檢查],I36)="","OK",INDEX(Samples[樣品檢查],I36))))</f>
        <v/>
      </c>
      <c r="Z36" s="93">
        <f>IF(COUNTA($A36:$D36)=0,"",IF(B36="","缺原始值",IF(OR(B36="-",B36="--"),"無資料",IF(N36="NA","不適用",IF(N36="ND","OK",IF(NOT(ISNUMBER(P36)),"格式待核",IF(AND(N36&lt;&gt;"數值",P36&lt;0),"界限不得為負","OK")))))))</f>
        <v/>
      </c>
      <c r="AA36" s="93">
        <f>IF(COUNTA(A36:D36)=0,"",IF(OR(A36="",H36=""),"缺識別欄位",IF(IF(LEN("="&amp;SUBSTITUTE(SUBSTITUTE(SUBSTITUTE(X36,"~","~~"),"*","~*"),"?","~?"))&lt;=255,COUNTIF(Results[結果識別鍵],"="&amp;SUBSTITUTE(SUBSTITUTE(SUBSTITUTE(X36,"~","~~"),"*","~*"),"?","~?")),COUNTIFS(Results[關聯鍵],"="&amp;SUBSTITUTE(SUBSTITUTE(SUBSTITUTE(H36,"~","~~"),"*","~*"),"?","~?"),Results[分析項目],"="&amp;SUBSTITUTE(SUBSTITUTE(SUBSTITUTE(A36,"~","~~"),"*","~*"),"?","~?")))&gt;1,"同關聯鍵測項重複","OK")))</f>
        <v/>
      </c>
      <c r="AB36" s="93">
        <f>IF(COUNTA($A36:$D36)=0,"",IF(OR(C36="",K36=""),"缺單位",IF(NOT(ISNUMBER(L36)),"單位不相容",IF(L36=1,"OK","已換算"))))</f>
        <v/>
      </c>
      <c r="AC36" s="93">
        <f>IF(COUNTA($A36:$D36)=0,"",IF('07_QAQC'!$C$3="","未選比較版本",IF(U36=0,IF(COUNTIFS(DB_05[標準鍵],W36)&gt;1,"標準鍵重複","未訂此介質／測項門檻"),IF(INDEX(DB_05[版本檢查],U36)&lt;&gt;"OK","標準主檔待核",IF(INDEX(DB_05[標準單位],U36)&lt;&gt;K36,"標準單位不符",IF(INDEX(DB_05[核對狀態],U36)="停用","停用",IF(F36="","缺採樣日期",IF(OR(AND(INDEX(DB_05[生效日],U36)&lt;&gt;"",F36&lt;INDEX(DB_05[生效日],U36)),AND(INDEX(DB_05[失效日],U36)&lt;&gt;"",F36&gt;INDEX(DB_05[失效日],U36))),"日期不適用",INDEX(DB_05[核對狀態],U36)))))))))</f>
        <v/>
      </c>
      <c r="AD36" s="93">
        <f>IF(COUNTA($A36:$D36)=0,"",IF(AC36="未訂此介質／測項門檻",AC36,IF(AC36&lt;&gt;"已核對","標準待核",IF(R36="","未訂管制值",IF(NOT(ISNUMBER(L36)),"單位待核",IF(N36="ND","無法判定（ND無界限）",IF(N36="NA","不適用",IF(Z36&lt;&gt;"OK",Z36,IF(N36="數值",IF(Q36&gt;=R36,"達管制值","未達管制值"),IF(OR(N36="&lt;",N36="&lt;="),IF(OR(Q36&lt;R36,AND(N36="&lt;",Q36=R36)),"未達管制值","無法判定"),IF(OR(N36="&gt;",N36="&gt;="),IF(Q36&gt;=R36,"達管制值","無法判定"),"格式待核")))))))))))</f>
        <v/>
      </c>
      <c r="AE36" s="93">
        <f>IF(COUNTA($A36:$D36)=0,"",IF(AC36="未訂此介質／測項門檻",AC36,IF(AC36&lt;&gt;"已核對","標準待核",IF(S36="","未訂監測值",IF(NOT(ISNUMBER(L36)),"單位待核",IF(N36="ND","無法判定（ND無界限）",IF(N36="NA","不適用",IF(Z36&lt;&gt;"OK",Z36,IF(N36="數值",IF(Q36&gt;=S36,"達監測值","未達監測值"),IF(OR(N36="&lt;",N36="&lt;="),IF(OR(Q36&lt;S36,AND(N36="&lt;",Q36=S36)),"未達監測值","無法判定"),IF(OR(N36="&gt;",N36="&gt;="),IF(Q36&gt;=S36,"達監測值","無法判定"),"格式待核")))))))))))</f>
        <v/>
      </c>
      <c r="AF36" s="93">
        <f>IF(COUNTA($A36:$D36)=0,"",IF(OR(E36="",A36="",B36="",C36=""),"缺必要欄位",IF(Y36&lt;&gt;"OK","樣品資料待補",IF(T36=0,"測項未建或重複",IF(INDEX(DB_04[啟用],T36)&lt;&gt;"是","測項停用",IF(AND(Z36&lt;&gt;"OK",Z36&lt;&gt;"不適用"),Z36,IF(AND(AB36&lt;&gt;"OK",AB36&lt;&gt;"已換算"),"單位待核",IF(AA36&lt;&gt;"OK",AA36,"OK"))))))))</f>
        <v/>
      </c>
      <c r="AG36" s="93">
        <f>IF(COUNTA($A36:$D36)=0,"",IF(N36="ND","ND取0",IF(OR(N36="&lt;",N36="&lt;="),"界限除以2",IF(N36="NA","不適用",IF(OR(N36="&gt;",N36="&gt;="),"保留界限數值","保留原數值")))))</f>
        <v/>
      </c>
      <c r="AH36" s="92">
        <f>IF(O36="","",IFERROR(_xlfn.NUMBERVALUE(O36,".",","),""))</f>
        <v/>
      </c>
      <c r="AI36" s="92">
        <f>IF(H36="","",IFERROR(MATCH(H36,Samples[樣品編號],0),0))</f>
        <v/>
      </c>
    </row>
    <row r="37">
      <c r="A37" s="27" t="inlineStr">
        <is>
          <t>EC</t>
        </is>
      </c>
      <c r="B37" s="28" t="inlineStr">
        <is>
          <t>0.54</t>
        </is>
      </c>
      <c r="C37" s="27" t="inlineStr">
        <is>
          <t>mS/cm</t>
        </is>
      </c>
      <c r="D37" s="39" t="inlineStr">
        <is>
          <t>合成資料，非實測；method=field; temperature=25; temperature_compensated=25C; reference_temperature=25</t>
        </is>
      </c>
      <c r="E37" s="29">
        <f>IF(OR(I37="",I37=0),"",IF(INDEX(Samples[監測點],I37)="","",INDEX(Samples[監測點],I37)))</f>
        <v/>
      </c>
      <c r="F37" s="90">
        <f>IF(OR(I37="",I37=0),"",IF(INDEX(Samples[採樣日期],I37)="","",INDEX(Samples[採樣日期],I37)))</f>
        <v/>
      </c>
      <c r="G37" s="91">
        <f>IF(OR(M37="",M37="NA",M37="N/A"),"",IF(OR(M37="ND",M37="N.D."),0,IFERROR(IF(OR(OR(ISNUMBER(SEARCH("%",O37)),ISNUMBER(SEARCH(" ",O37)),ISNUMBER(SEARCH(",",O37))),OR(SUBSTITUTE(SUBSTITUTE(SUBSTITUTE(SUBSTITUTE(SUBSTITUTE(SUBSTITUTE(SUBSTITUTE(SUBSTITUTE(SUBSTITUTE(SUBSTITUTE(SUBSTITUTE(SUBSTITUTE(SUBSTITUTE(SUBSTITUTE(SUBSTITUTE(SUBSTITUTE(SUBSTITUTE(SUBSTITUTE("x"&amp;M37,"0",""),"1",""),"2",""),"3",""),"4",""),"5",""),"6",""),"7",""),"8",""),"9",""),".",""),"E",""),"+",""),"-",""),"&lt;",""),"&gt;",""),"=","")," ","")&lt;&gt;"x",ISNUMBER(SEARCH("-",SUBSTITUTE(SUBSTITUTE("x"&amp;MID(M37,2,99),"E-","E"),"E+","E"))),ISNUMBER(SEARCH("+",SUBSTITUTE(SUBSTITUTE("x"&amp;MID(M37,2,99),"E-","E"),"E+","E"))))),"",IF(AND(OR(LEFT(M37,1)="&lt;",LEFT(M37,1)="&gt;"),IF(O37="",0,IF(ISNUMBER(AH37),AH37,NA()))&lt;0),"",IF(O37="",0,IF(ISNUMBER(AH37),AH37,NA()))/IF(LEFT(M37,1)="&lt;",2,1))),"")))</f>
        <v/>
      </c>
      <c r="H37" s="57" t="inlineStr">
        <is>
          <t>BH01-W_20260415_02</t>
        </is>
      </c>
      <c r="I37" s="92">
        <f>IF(OR(H37="",AI37=0),0,IF(INDEX(Samples[樣品重複筆數],AI37)=1,AI37,0))</f>
        <v/>
      </c>
      <c r="J37" s="92">
        <f>IF(OR(COUNTA($A37:$D37)=0,I37=0),"",IF(INDEX(Samples[介質],I37)="","",INDEX(Samples[介質],I37)))</f>
        <v/>
      </c>
      <c r="K37" s="92">
        <f>IF(OR(COUNTA($A37:$D37)=0,T37=0),"",IF(INDEX(DB_04[標準單位],T37)="","",INDEX(DB_04[標準單位],T37)))</f>
        <v/>
      </c>
      <c r="L37" s="92">
        <f>IF(COUNTA($A37:$D37)=0,"",IF(OR(C37="",K37=""),"",IF(C37=K37,1,IF(COUNTIFS(DB_06[換算鍵],C37&amp;"|"&amp;K37,DB_06[換算檢查],"OK")=1,INDEX(DB_06[乘數],MATCH(C37&amp;"|"&amp;K37,DB_06[換算鍵],0)),""))))</f>
        <v/>
      </c>
      <c r="M37" s="92">
        <f>UPPER(SUBSTITUTE(SUBSTITUTE(SUBSTITUTE(SUBSTITUTE(TRIM(B37&amp;""),"＜","&lt;"),"＞","&gt;"),"≤","&lt;="),"≥","&gt;="))</f>
        <v/>
      </c>
      <c r="N37" s="92">
        <f>IF(M37="","",IF(OR(M37="ND",M37="N.D."),"ND",IF(OR(M37="NA",M37="N/A",M37="N.A."),"NA",IF(OR(LEFT(M37,2)="&lt;=",LEFT(M37,2)="&gt;="),LEFT(M37,2),IF(OR(LEFT(M37,1)="&lt;",LEFT(M37,1)="&gt;"),LEFT(M37,1),"數值")))))</f>
        <v/>
      </c>
      <c r="O37" s="92">
        <f>IF(OR(N37="",N37="ND",N37="NA"),"",IF(N37="數值",M37,TRIM(MID(M37,LEN(N37)+1,99))))</f>
        <v/>
      </c>
      <c r="P37" s="92">
        <f>IF(O37="","",IFERROR(IF(OR(OR(ISNUMBER(SEARCH("%",O37)),ISNUMBER(SEARCH(" ",O37)),ISNUMBER(SEARCH(",",O37))),OR(SUBSTITUTE(SUBSTITUTE(SUBSTITUTE(SUBSTITUTE(SUBSTITUTE(SUBSTITUTE(SUBSTITUTE(SUBSTITUTE(SUBSTITUTE(SUBSTITUTE(SUBSTITUTE(SUBSTITUTE(SUBSTITUTE(SUBSTITUTE(SUBSTITUTE(SUBSTITUTE(SUBSTITUTE(SUBSTITUTE("x"&amp;O37,"0",""),"1",""),"2",""),"3",""),"4",""),"5",""),"6",""),"7",""),"8",""),"9",""),".",""),"E",""),"+",""),"-",""),"&lt;",""),"&gt;",""),"=","")," ","")&lt;&gt;"x",ISNUMBER(SEARCH("-",SUBSTITUTE(SUBSTITUTE("x"&amp;MID(O37,2,99),"E-","E"),"E+","E"))),ISNUMBER(SEARCH("+",SUBSTITUTE(SUBSTITUTE("x"&amp;MID(O37,2,99),"E-","E"),"E+","E"))))),"",IF(ISNUMBER(AH37),AH37,NA())),""))</f>
        <v/>
      </c>
      <c r="Q37" s="92">
        <f>IF(AND(ISNUMBER(L37),ISNUMBER(P37)),L37*P37,"")</f>
        <v/>
      </c>
      <c r="R37" s="92">
        <f>IF(OR(COUNTA($A37:$D37)=0,U37=0),"",IF(INDEX(DB_05[管制設定值],U37)="","",INDEX(DB_05[管制設定值],U37)))</f>
        <v/>
      </c>
      <c r="S37" s="92">
        <f>IF(OR(COUNTA($A37:$D37)=0,U37=0),"",IF(INDEX(DB_05[監測設定值],U37)="","",INDEX(DB_05[監測設定值],U37)))</f>
        <v/>
      </c>
      <c r="T37" s="92">
        <f>IF(COUNTA($A37:$D37)=0,"",IF(COUNTIFS(DB_04[測項鍵],V37)=1,MATCH(V37,DB_04[測項鍵],0),0))</f>
        <v/>
      </c>
      <c r="U37" s="92">
        <f>IF(COUNTA($A37:$D37)=0,"",IF(COUNTIFS(DB_05[標準鍵],W37)=1,MATCH(W37,DB_05[標準鍵],0),0))</f>
        <v/>
      </c>
      <c r="V37" s="92">
        <f>IF(OR(J37="",A37=""),"",J37&amp;"|"&amp;A37)</f>
        <v/>
      </c>
      <c r="W37" s="92">
        <f>IF(OR('07_QAQC'!$C$3="",V37=""),"",'07_QAQC'!$C$3&amp;"|"&amp;V37)</f>
        <v/>
      </c>
      <c r="X37" s="92">
        <f>IF(OR(H37="",A37=""),"",LEN(H37)&amp;":"&amp;H37&amp;LEN(A37)&amp;":"&amp;A37)</f>
        <v/>
      </c>
      <c r="Y37" s="93">
        <f>IF(COUNTA($A37:$D37)=0,"",IF(I37=0,"樣品未建或重複",IF(INDEX(Samples[樣品檢查],I37)="","OK",INDEX(Samples[樣品檢查],I37))))</f>
        <v/>
      </c>
      <c r="Z37" s="93">
        <f>IF(COUNTA($A37:$D37)=0,"",IF(B37="","缺原始值",IF(OR(B37="-",B37="--"),"無資料",IF(N37="NA","不適用",IF(N37="ND","OK",IF(NOT(ISNUMBER(P37)),"格式待核",IF(AND(N37&lt;&gt;"數值",P37&lt;0),"界限不得為負","OK")))))))</f>
        <v/>
      </c>
      <c r="AA37" s="93">
        <f>IF(COUNTA(A37:D37)=0,"",IF(OR(A37="",H37=""),"缺識別欄位",IF(IF(LEN("="&amp;SUBSTITUTE(SUBSTITUTE(SUBSTITUTE(X37,"~","~~"),"*","~*"),"?","~?"))&lt;=255,COUNTIF(Results[結果識別鍵],"="&amp;SUBSTITUTE(SUBSTITUTE(SUBSTITUTE(X37,"~","~~"),"*","~*"),"?","~?")),COUNTIFS(Results[關聯鍵],"="&amp;SUBSTITUTE(SUBSTITUTE(SUBSTITUTE(H37,"~","~~"),"*","~*"),"?","~?"),Results[分析項目],"="&amp;SUBSTITUTE(SUBSTITUTE(SUBSTITUTE(A37,"~","~~"),"*","~*"),"?","~?")))&gt;1,"同關聯鍵測項重複","OK")))</f>
        <v/>
      </c>
      <c r="AB37" s="93">
        <f>IF(COUNTA($A37:$D37)=0,"",IF(OR(C37="",K37=""),"缺單位",IF(NOT(ISNUMBER(L37)),"單位不相容",IF(L37=1,"OK","已換算"))))</f>
        <v/>
      </c>
      <c r="AC37" s="93">
        <f>IF(COUNTA($A37:$D37)=0,"",IF('07_QAQC'!$C$3="","未選比較版本",IF(U37=0,IF(COUNTIFS(DB_05[標準鍵],W37)&gt;1,"標準鍵重複","未訂此介質／測項門檻"),IF(INDEX(DB_05[版本檢查],U37)&lt;&gt;"OK","標準主檔待核",IF(INDEX(DB_05[標準單位],U37)&lt;&gt;K37,"標準單位不符",IF(INDEX(DB_05[核對狀態],U37)="停用","停用",IF(F37="","缺採樣日期",IF(OR(AND(INDEX(DB_05[生效日],U37)&lt;&gt;"",F37&lt;INDEX(DB_05[生效日],U37)),AND(INDEX(DB_05[失效日],U37)&lt;&gt;"",F37&gt;INDEX(DB_05[失效日],U37))),"日期不適用",INDEX(DB_05[核對狀態],U37)))))))))</f>
        <v/>
      </c>
      <c r="AD37" s="93">
        <f>IF(COUNTA($A37:$D37)=0,"",IF(AC37="未訂此介質／測項門檻",AC37,IF(AC37&lt;&gt;"已核對","標準待核",IF(R37="","未訂管制值",IF(NOT(ISNUMBER(L37)),"單位待核",IF(N37="ND","無法判定（ND無界限）",IF(N37="NA","不適用",IF(Z37&lt;&gt;"OK",Z37,IF(N37="數值",IF(Q37&gt;=R37,"達管制值","未達管制值"),IF(OR(N37="&lt;",N37="&lt;="),IF(OR(Q37&lt;R37,AND(N37="&lt;",Q37=R37)),"未達管制值","無法判定"),IF(OR(N37="&gt;",N37="&gt;="),IF(Q37&gt;=R37,"達管制值","無法判定"),"格式待核")))))))))))</f>
        <v/>
      </c>
      <c r="AE37" s="93">
        <f>IF(COUNTA($A37:$D37)=0,"",IF(AC37="未訂此介質／測項門檻",AC37,IF(AC37&lt;&gt;"已核對","標準待核",IF(S37="","未訂監測值",IF(NOT(ISNUMBER(L37)),"單位待核",IF(N37="ND","無法判定（ND無界限）",IF(N37="NA","不適用",IF(Z37&lt;&gt;"OK",Z37,IF(N37="數值",IF(Q37&gt;=S37,"達監測值","未達監測值"),IF(OR(N37="&lt;",N37="&lt;="),IF(OR(Q37&lt;S37,AND(N37="&lt;",Q37=S37)),"未達監測值","無法判定"),IF(OR(N37="&gt;",N37="&gt;="),IF(Q37&gt;=S37,"達監測值","無法判定"),"格式待核")))))))))))</f>
        <v/>
      </c>
      <c r="AF37" s="93">
        <f>IF(COUNTA($A37:$D37)=0,"",IF(OR(E37="",A37="",B37="",C37=""),"缺必要欄位",IF(Y37&lt;&gt;"OK","樣品資料待補",IF(T37=0,"測項未建或重複",IF(INDEX(DB_04[啟用],T37)&lt;&gt;"是","測項停用",IF(AND(Z37&lt;&gt;"OK",Z37&lt;&gt;"不適用"),Z37,IF(AND(AB37&lt;&gt;"OK",AB37&lt;&gt;"已換算"),"單位待核",IF(AA37&lt;&gt;"OK",AA37,"OK"))))))))</f>
        <v/>
      </c>
      <c r="AG37" s="93">
        <f>IF(COUNTA($A37:$D37)=0,"",IF(N37="ND","ND取0",IF(OR(N37="&lt;",N37="&lt;="),"界限除以2",IF(N37="NA","不適用",IF(OR(N37="&gt;",N37="&gt;="),"保留界限數值","保留原數值")))))</f>
        <v/>
      </c>
      <c r="AH37" s="92">
        <f>IF(O37="","",IFERROR(_xlfn.NUMBERVALUE(O37,".",","),""))</f>
        <v/>
      </c>
      <c r="AI37" s="92">
        <f>IF(H37="","",IFERROR(MATCH(H37,Samples[樣品編號],0),0))</f>
        <v/>
      </c>
    </row>
    <row r="38">
      <c r="A38" s="27" t="inlineStr">
        <is>
          <t>DO</t>
        </is>
      </c>
      <c r="B38" s="28" t="inlineStr">
        <is>
          <t>5.9</t>
        </is>
      </c>
      <c r="C38" s="27" t="inlineStr">
        <is>
          <t>mg/L</t>
        </is>
      </c>
      <c r="D38" s="39" t="inlineStr">
        <is>
          <t>合成資料，非實測；method=field</t>
        </is>
      </c>
      <c r="E38" s="29">
        <f>IF(OR(I38="",I38=0),"",IF(INDEX(Samples[監測點],I38)="","",INDEX(Samples[監測點],I38)))</f>
        <v/>
      </c>
      <c r="F38" s="90">
        <f>IF(OR(I38="",I38=0),"",IF(INDEX(Samples[採樣日期],I38)="","",INDEX(Samples[採樣日期],I38)))</f>
        <v/>
      </c>
      <c r="G38" s="91">
        <f>IF(OR(M38="",M38="NA",M38="N/A"),"",IF(OR(M38="ND",M38="N.D."),0,IFERROR(IF(OR(OR(ISNUMBER(SEARCH("%",O38)),ISNUMBER(SEARCH(" ",O38)),ISNUMBER(SEARCH(",",O38))),OR(SUBSTITUTE(SUBSTITUTE(SUBSTITUTE(SUBSTITUTE(SUBSTITUTE(SUBSTITUTE(SUBSTITUTE(SUBSTITUTE(SUBSTITUTE(SUBSTITUTE(SUBSTITUTE(SUBSTITUTE(SUBSTITUTE(SUBSTITUTE(SUBSTITUTE(SUBSTITUTE(SUBSTITUTE(SUBSTITUTE("x"&amp;M38,"0",""),"1",""),"2",""),"3",""),"4",""),"5",""),"6",""),"7",""),"8",""),"9",""),".",""),"E",""),"+",""),"-",""),"&lt;",""),"&gt;",""),"=","")," ","")&lt;&gt;"x",ISNUMBER(SEARCH("-",SUBSTITUTE(SUBSTITUTE("x"&amp;MID(M38,2,99),"E-","E"),"E+","E"))),ISNUMBER(SEARCH("+",SUBSTITUTE(SUBSTITUTE("x"&amp;MID(M38,2,99),"E-","E"),"E+","E"))))),"",IF(AND(OR(LEFT(M38,1)="&lt;",LEFT(M38,1)="&gt;"),IF(O38="",0,IF(ISNUMBER(AH38),AH38,NA()))&lt;0),"",IF(O38="",0,IF(ISNUMBER(AH38),AH38,NA()))/IF(LEFT(M38,1)="&lt;",2,1))),"")))</f>
        <v/>
      </c>
      <c r="H38" s="57" t="inlineStr">
        <is>
          <t>BH01-W_20260415_02</t>
        </is>
      </c>
      <c r="I38" s="92">
        <f>IF(OR(H38="",AI38=0),0,IF(INDEX(Samples[樣品重複筆數],AI38)=1,AI38,0))</f>
        <v/>
      </c>
      <c r="J38" s="92">
        <f>IF(OR(COUNTA($A38:$D38)=0,I38=0),"",IF(INDEX(Samples[介質],I38)="","",INDEX(Samples[介質],I38)))</f>
        <v/>
      </c>
      <c r="K38" s="92">
        <f>IF(OR(COUNTA($A38:$D38)=0,T38=0),"",IF(INDEX(DB_04[標準單位],T38)="","",INDEX(DB_04[標準單位],T38)))</f>
        <v/>
      </c>
      <c r="L38" s="92">
        <f>IF(COUNTA($A38:$D38)=0,"",IF(OR(C38="",K38=""),"",IF(C38=K38,1,IF(COUNTIFS(DB_06[換算鍵],C38&amp;"|"&amp;K38,DB_06[換算檢查],"OK")=1,INDEX(DB_06[乘數],MATCH(C38&amp;"|"&amp;K38,DB_06[換算鍵],0)),""))))</f>
        <v/>
      </c>
      <c r="M38" s="92">
        <f>UPPER(SUBSTITUTE(SUBSTITUTE(SUBSTITUTE(SUBSTITUTE(TRIM(B38&amp;""),"＜","&lt;"),"＞","&gt;"),"≤","&lt;="),"≥","&gt;="))</f>
        <v/>
      </c>
      <c r="N38" s="92">
        <f>IF(M38="","",IF(OR(M38="ND",M38="N.D."),"ND",IF(OR(M38="NA",M38="N/A",M38="N.A."),"NA",IF(OR(LEFT(M38,2)="&lt;=",LEFT(M38,2)="&gt;="),LEFT(M38,2),IF(OR(LEFT(M38,1)="&lt;",LEFT(M38,1)="&gt;"),LEFT(M38,1),"數值")))))</f>
        <v/>
      </c>
      <c r="O38" s="92">
        <f>IF(OR(N38="",N38="ND",N38="NA"),"",IF(N38="數值",M38,TRIM(MID(M38,LEN(N38)+1,99))))</f>
        <v/>
      </c>
      <c r="P38" s="92">
        <f>IF(O38="","",IFERROR(IF(OR(OR(ISNUMBER(SEARCH("%",O38)),ISNUMBER(SEARCH(" ",O38)),ISNUMBER(SEARCH(",",O38))),OR(SUBSTITUTE(SUBSTITUTE(SUBSTITUTE(SUBSTITUTE(SUBSTITUTE(SUBSTITUTE(SUBSTITUTE(SUBSTITUTE(SUBSTITUTE(SUBSTITUTE(SUBSTITUTE(SUBSTITUTE(SUBSTITUTE(SUBSTITUTE(SUBSTITUTE(SUBSTITUTE(SUBSTITUTE(SUBSTITUTE("x"&amp;O38,"0",""),"1",""),"2",""),"3",""),"4",""),"5",""),"6",""),"7",""),"8",""),"9",""),".",""),"E",""),"+",""),"-",""),"&lt;",""),"&gt;",""),"=","")," ","")&lt;&gt;"x",ISNUMBER(SEARCH("-",SUBSTITUTE(SUBSTITUTE("x"&amp;MID(O38,2,99),"E-","E"),"E+","E"))),ISNUMBER(SEARCH("+",SUBSTITUTE(SUBSTITUTE("x"&amp;MID(O38,2,99),"E-","E"),"E+","E"))))),"",IF(ISNUMBER(AH38),AH38,NA())),""))</f>
        <v/>
      </c>
      <c r="Q38" s="92">
        <f>IF(AND(ISNUMBER(L38),ISNUMBER(P38)),L38*P38,"")</f>
        <v/>
      </c>
      <c r="R38" s="92">
        <f>IF(OR(COUNTA($A38:$D38)=0,U38=0),"",IF(INDEX(DB_05[管制設定值],U38)="","",INDEX(DB_05[管制設定值],U38)))</f>
        <v/>
      </c>
      <c r="S38" s="92">
        <f>IF(OR(COUNTA($A38:$D38)=0,U38=0),"",IF(INDEX(DB_05[監測設定值],U38)="","",INDEX(DB_05[監測設定值],U38)))</f>
        <v/>
      </c>
      <c r="T38" s="92">
        <f>IF(COUNTA($A38:$D38)=0,"",IF(COUNTIFS(DB_04[測項鍵],V38)=1,MATCH(V38,DB_04[測項鍵],0),0))</f>
        <v/>
      </c>
      <c r="U38" s="92">
        <f>IF(COUNTA($A38:$D38)=0,"",IF(COUNTIFS(DB_05[標準鍵],W38)=1,MATCH(W38,DB_05[標準鍵],0),0))</f>
        <v/>
      </c>
      <c r="V38" s="92">
        <f>IF(OR(J38="",A38=""),"",J38&amp;"|"&amp;A38)</f>
        <v/>
      </c>
      <c r="W38" s="92">
        <f>IF(OR('07_QAQC'!$C$3="",V38=""),"",'07_QAQC'!$C$3&amp;"|"&amp;V38)</f>
        <v/>
      </c>
      <c r="X38" s="92">
        <f>IF(OR(H38="",A38=""),"",LEN(H38)&amp;":"&amp;H38&amp;LEN(A38)&amp;":"&amp;A38)</f>
        <v/>
      </c>
      <c r="Y38" s="93">
        <f>IF(COUNTA($A38:$D38)=0,"",IF(I38=0,"樣品未建或重複",IF(INDEX(Samples[樣品檢查],I38)="","OK",INDEX(Samples[樣品檢查],I38))))</f>
        <v/>
      </c>
      <c r="Z38" s="93">
        <f>IF(COUNTA($A38:$D38)=0,"",IF(B38="","缺原始值",IF(OR(B38="-",B38="--"),"無資料",IF(N38="NA","不適用",IF(N38="ND","OK",IF(NOT(ISNUMBER(P38)),"格式待核",IF(AND(N38&lt;&gt;"數值",P38&lt;0),"界限不得為負","OK")))))))</f>
        <v/>
      </c>
      <c r="AA38" s="93">
        <f>IF(COUNTA(A38:D38)=0,"",IF(OR(A38="",H38=""),"缺識別欄位",IF(IF(LEN("="&amp;SUBSTITUTE(SUBSTITUTE(SUBSTITUTE(X38,"~","~~"),"*","~*"),"?","~?"))&lt;=255,COUNTIF(Results[結果識別鍵],"="&amp;SUBSTITUTE(SUBSTITUTE(SUBSTITUTE(X38,"~","~~"),"*","~*"),"?","~?")),COUNTIFS(Results[關聯鍵],"="&amp;SUBSTITUTE(SUBSTITUTE(SUBSTITUTE(H38,"~","~~"),"*","~*"),"?","~?"),Results[分析項目],"="&amp;SUBSTITUTE(SUBSTITUTE(SUBSTITUTE(A38,"~","~~"),"*","~*"),"?","~?")))&gt;1,"同關聯鍵測項重複","OK")))</f>
        <v/>
      </c>
      <c r="AB38" s="93">
        <f>IF(COUNTA($A38:$D38)=0,"",IF(OR(C38="",K38=""),"缺單位",IF(NOT(ISNUMBER(L38)),"單位不相容",IF(L38=1,"OK","已換算"))))</f>
        <v/>
      </c>
      <c r="AC38" s="93">
        <f>IF(COUNTA($A38:$D38)=0,"",IF('07_QAQC'!$C$3="","未選比較版本",IF(U38=0,IF(COUNTIFS(DB_05[標準鍵],W38)&gt;1,"標準鍵重複","未訂此介質／測項門檻"),IF(INDEX(DB_05[版本檢查],U38)&lt;&gt;"OK","標準主檔待核",IF(INDEX(DB_05[標準單位],U38)&lt;&gt;K38,"標準單位不符",IF(INDEX(DB_05[核對狀態],U38)="停用","停用",IF(F38="","缺採樣日期",IF(OR(AND(INDEX(DB_05[生效日],U38)&lt;&gt;"",F38&lt;INDEX(DB_05[生效日],U38)),AND(INDEX(DB_05[失效日],U38)&lt;&gt;"",F38&gt;INDEX(DB_05[失效日],U38))),"日期不適用",INDEX(DB_05[核對狀態],U38)))))))))</f>
        <v/>
      </c>
      <c r="AD38" s="93">
        <f>IF(COUNTA($A38:$D38)=0,"",IF(AC38="未訂此介質／測項門檻",AC38,IF(AC38&lt;&gt;"已核對","標準待核",IF(R38="","未訂管制值",IF(NOT(ISNUMBER(L38)),"單位待核",IF(N38="ND","無法判定（ND無界限）",IF(N38="NA","不適用",IF(Z38&lt;&gt;"OK",Z38,IF(N38="數值",IF(Q38&gt;=R38,"達管制值","未達管制值"),IF(OR(N38="&lt;",N38="&lt;="),IF(OR(Q38&lt;R38,AND(N38="&lt;",Q38=R38)),"未達管制值","無法判定"),IF(OR(N38="&gt;",N38="&gt;="),IF(Q38&gt;=R38,"達管制值","無法判定"),"格式待核")))))))))))</f>
        <v/>
      </c>
      <c r="AE38" s="93">
        <f>IF(COUNTA($A38:$D38)=0,"",IF(AC38="未訂此介質／測項門檻",AC38,IF(AC38&lt;&gt;"已核對","標準待核",IF(S38="","未訂監測值",IF(NOT(ISNUMBER(L38)),"單位待核",IF(N38="ND","無法判定（ND無界限）",IF(N38="NA","不適用",IF(Z38&lt;&gt;"OK",Z38,IF(N38="數值",IF(Q38&gt;=S38,"達監測值","未達監測值"),IF(OR(N38="&lt;",N38="&lt;="),IF(OR(Q38&lt;S38,AND(N38="&lt;",Q38=S38)),"未達監測值","無法判定"),IF(OR(N38="&gt;",N38="&gt;="),IF(Q38&gt;=S38,"達監測值","無法判定"),"格式待核")))))))))))</f>
        <v/>
      </c>
      <c r="AF38" s="93">
        <f>IF(COUNTA($A38:$D38)=0,"",IF(OR(E38="",A38="",B38="",C38=""),"缺必要欄位",IF(Y38&lt;&gt;"OK","樣品資料待補",IF(T38=0,"測項未建或重複",IF(INDEX(DB_04[啟用],T38)&lt;&gt;"是","測項停用",IF(AND(Z38&lt;&gt;"OK",Z38&lt;&gt;"不適用"),Z38,IF(AND(AB38&lt;&gt;"OK",AB38&lt;&gt;"已換算"),"單位待核",IF(AA38&lt;&gt;"OK",AA38,"OK"))))))))</f>
        <v/>
      </c>
      <c r="AG38" s="93">
        <f>IF(COUNTA($A38:$D38)=0,"",IF(N38="ND","ND取0",IF(OR(N38="&lt;",N38="&lt;="),"界限除以2",IF(N38="NA","不適用",IF(OR(N38="&gt;",N38="&gt;="),"保留界限數值","保留原數值")))))</f>
        <v/>
      </c>
      <c r="AH38" s="92">
        <f>IF(O38="","",IFERROR(_xlfn.NUMBERVALUE(O38,".",","),""))</f>
        <v/>
      </c>
      <c r="AI38" s="92">
        <f>IF(H38="","",IFERROR(MATCH(H38,Samples[樣品編號],0),0))</f>
        <v/>
      </c>
    </row>
    <row r="39">
      <c r="A39" s="27" t="inlineStr">
        <is>
          <t>溶氧飽和度</t>
        </is>
      </c>
      <c r="B39" s="28" t="inlineStr">
        <is>
          <t>71</t>
        </is>
      </c>
      <c r="C39" s="27" t="inlineStr">
        <is>
          <t>%</t>
        </is>
      </c>
      <c r="D39" s="39" t="inlineStr">
        <is>
          <t>合成資料，非實測；method=field</t>
        </is>
      </c>
      <c r="E39" s="29">
        <f>IF(OR(I39="",I39=0),"",IF(INDEX(Samples[監測點],I39)="","",INDEX(Samples[監測點],I39)))</f>
        <v/>
      </c>
      <c r="F39" s="90">
        <f>IF(OR(I39="",I39=0),"",IF(INDEX(Samples[採樣日期],I39)="","",INDEX(Samples[採樣日期],I39)))</f>
        <v/>
      </c>
      <c r="G39" s="91">
        <f>IF(OR(M39="",M39="NA",M39="N/A"),"",IF(OR(M39="ND",M39="N.D."),0,IFERROR(IF(OR(OR(ISNUMBER(SEARCH("%",O39)),ISNUMBER(SEARCH(" ",O39)),ISNUMBER(SEARCH(",",O39))),OR(SUBSTITUTE(SUBSTITUTE(SUBSTITUTE(SUBSTITUTE(SUBSTITUTE(SUBSTITUTE(SUBSTITUTE(SUBSTITUTE(SUBSTITUTE(SUBSTITUTE(SUBSTITUTE(SUBSTITUTE(SUBSTITUTE(SUBSTITUTE(SUBSTITUTE(SUBSTITUTE(SUBSTITUTE(SUBSTITUTE("x"&amp;M39,"0",""),"1",""),"2",""),"3",""),"4",""),"5",""),"6",""),"7",""),"8",""),"9",""),".",""),"E",""),"+",""),"-",""),"&lt;",""),"&gt;",""),"=","")," ","")&lt;&gt;"x",ISNUMBER(SEARCH("-",SUBSTITUTE(SUBSTITUTE("x"&amp;MID(M39,2,99),"E-","E"),"E+","E"))),ISNUMBER(SEARCH("+",SUBSTITUTE(SUBSTITUTE("x"&amp;MID(M39,2,99),"E-","E"),"E+","E"))))),"",IF(AND(OR(LEFT(M39,1)="&lt;",LEFT(M39,1)="&gt;"),IF(O39="",0,IF(ISNUMBER(AH39),AH39,NA()))&lt;0),"",IF(O39="",0,IF(ISNUMBER(AH39),AH39,NA()))/IF(LEFT(M39,1)="&lt;",2,1))),"")))</f>
        <v/>
      </c>
      <c r="H39" s="57" t="inlineStr">
        <is>
          <t>BH01-W_20260415_02</t>
        </is>
      </c>
      <c r="I39" s="92">
        <f>IF(OR(H39="",AI39=0),0,IF(INDEX(Samples[樣品重複筆數],AI39)=1,AI39,0))</f>
        <v/>
      </c>
      <c r="J39" s="92">
        <f>IF(OR(COUNTA($A39:$D39)=0,I39=0),"",IF(INDEX(Samples[介質],I39)="","",INDEX(Samples[介質],I39)))</f>
        <v/>
      </c>
      <c r="K39" s="92">
        <f>IF(OR(COUNTA($A39:$D39)=0,T39=0),"",IF(INDEX(DB_04[標準單位],T39)="","",INDEX(DB_04[標準單位],T39)))</f>
        <v/>
      </c>
      <c r="L39" s="92">
        <f>IF(COUNTA($A39:$D39)=0,"",IF(OR(C39="",K39=""),"",IF(C39=K39,1,IF(COUNTIFS(DB_06[換算鍵],C39&amp;"|"&amp;K39,DB_06[換算檢查],"OK")=1,INDEX(DB_06[乘數],MATCH(C39&amp;"|"&amp;K39,DB_06[換算鍵],0)),""))))</f>
        <v/>
      </c>
      <c r="M39" s="92">
        <f>UPPER(SUBSTITUTE(SUBSTITUTE(SUBSTITUTE(SUBSTITUTE(TRIM(B39&amp;""),"＜","&lt;"),"＞","&gt;"),"≤","&lt;="),"≥","&gt;="))</f>
        <v/>
      </c>
      <c r="N39" s="92">
        <f>IF(M39="","",IF(OR(M39="ND",M39="N.D."),"ND",IF(OR(M39="NA",M39="N/A",M39="N.A."),"NA",IF(OR(LEFT(M39,2)="&lt;=",LEFT(M39,2)="&gt;="),LEFT(M39,2),IF(OR(LEFT(M39,1)="&lt;",LEFT(M39,1)="&gt;"),LEFT(M39,1),"數值")))))</f>
        <v/>
      </c>
      <c r="O39" s="92">
        <f>IF(OR(N39="",N39="ND",N39="NA"),"",IF(N39="數值",M39,TRIM(MID(M39,LEN(N39)+1,99))))</f>
        <v/>
      </c>
      <c r="P39" s="92">
        <f>IF(O39="","",IFERROR(IF(OR(OR(ISNUMBER(SEARCH("%",O39)),ISNUMBER(SEARCH(" ",O39)),ISNUMBER(SEARCH(",",O39))),OR(SUBSTITUTE(SUBSTITUTE(SUBSTITUTE(SUBSTITUTE(SUBSTITUTE(SUBSTITUTE(SUBSTITUTE(SUBSTITUTE(SUBSTITUTE(SUBSTITUTE(SUBSTITUTE(SUBSTITUTE(SUBSTITUTE(SUBSTITUTE(SUBSTITUTE(SUBSTITUTE(SUBSTITUTE(SUBSTITUTE("x"&amp;O39,"0",""),"1",""),"2",""),"3",""),"4",""),"5",""),"6",""),"7",""),"8",""),"9",""),".",""),"E",""),"+",""),"-",""),"&lt;",""),"&gt;",""),"=","")," ","")&lt;&gt;"x",ISNUMBER(SEARCH("-",SUBSTITUTE(SUBSTITUTE("x"&amp;MID(O39,2,99),"E-","E"),"E+","E"))),ISNUMBER(SEARCH("+",SUBSTITUTE(SUBSTITUTE("x"&amp;MID(O39,2,99),"E-","E"),"E+","E"))))),"",IF(ISNUMBER(AH39),AH39,NA())),""))</f>
        <v/>
      </c>
      <c r="Q39" s="92">
        <f>IF(AND(ISNUMBER(L39),ISNUMBER(P39)),L39*P39,"")</f>
        <v/>
      </c>
      <c r="R39" s="92">
        <f>IF(OR(COUNTA($A39:$D39)=0,U39=0),"",IF(INDEX(DB_05[管制設定值],U39)="","",INDEX(DB_05[管制設定值],U39)))</f>
        <v/>
      </c>
      <c r="S39" s="92">
        <f>IF(OR(COUNTA($A39:$D39)=0,U39=0),"",IF(INDEX(DB_05[監測設定值],U39)="","",INDEX(DB_05[監測設定值],U39)))</f>
        <v/>
      </c>
      <c r="T39" s="92">
        <f>IF(COUNTA($A39:$D39)=0,"",IF(COUNTIFS(DB_04[測項鍵],V39)=1,MATCH(V39,DB_04[測項鍵],0),0))</f>
        <v/>
      </c>
      <c r="U39" s="92">
        <f>IF(COUNTA($A39:$D39)=0,"",IF(COUNTIFS(DB_05[標準鍵],W39)=1,MATCH(W39,DB_05[標準鍵],0),0))</f>
        <v/>
      </c>
      <c r="V39" s="92">
        <f>IF(OR(J39="",A39=""),"",J39&amp;"|"&amp;A39)</f>
        <v/>
      </c>
      <c r="W39" s="92">
        <f>IF(OR('07_QAQC'!$C$3="",V39=""),"",'07_QAQC'!$C$3&amp;"|"&amp;V39)</f>
        <v/>
      </c>
      <c r="X39" s="92">
        <f>IF(OR(H39="",A39=""),"",LEN(H39)&amp;":"&amp;H39&amp;LEN(A39)&amp;":"&amp;A39)</f>
        <v/>
      </c>
      <c r="Y39" s="93">
        <f>IF(COUNTA($A39:$D39)=0,"",IF(I39=0,"樣品未建或重複",IF(INDEX(Samples[樣品檢查],I39)="","OK",INDEX(Samples[樣品檢查],I39))))</f>
        <v/>
      </c>
      <c r="Z39" s="93">
        <f>IF(COUNTA($A39:$D39)=0,"",IF(B39="","缺原始值",IF(OR(B39="-",B39="--"),"無資料",IF(N39="NA","不適用",IF(N39="ND","OK",IF(NOT(ISNUMBER(P39)),"格式待核",IF(AND(N39&lt;&gt;"數值",P39&lt;0),"界限不得為負","OK")))))))</f>
        <v/>
      </c>
      <c r="AA39" s="93">
        <f>IF(COUNTA(A39:D39)=0,"",IF(OR(A39="",H39=""),"缺識別欄位",IF(IF(LEN("="&amp;SUBSTITUTE(SUBSTITUTE(SUBSTITUTE(X39,"~","~~"),"*","~*"),"?","~?"))&lt;=255,COUNTIF(Results[結果識別鍵],"="&amp;SUBSTITUTE(SUBSTITUTE(SUBSTITUTE(X39,"~","~~"),"*","~*"),"?","~?")),COUNTIFS(Results[關聯鍵],"="&amp;SUBSTITUTE(SUBSTITUTE(SUBSTITUTE(H39,"~","~~"),"*","~*"),"?","~?"),Results[分析項目],"="&amp;SUBSTITUTE(SUBSTITUTE(SUBSTITUTE(A39,"~","~~"),"*","~*"),"?","~?")))&gt;1,"同關聯鍵測項重複","OK")))</f>
        <v/>
      </c>
      <c r="AB39" s="93">
        <f>IF(COUNTA($A39:$D39)=0,"",IF(OR(C39="",K39=""),"缺單位",IF(NOT(ISNUMBER(L39)),"單位不相容",IF(L39=1,"OK","已換算"))))</f>
        <v/>
      </c>
      <c r="AC39" s="93">
        <f>IF(COUNTA($A39:$D39)=0,"",IF('07_QAQC'!$C$3="","未選比較版本",IF(U39=0,IF(COUNTIFS(DB_05[標準鍵],W39)&gt;1,"標準鍵重複","未訂此介質／測項門檻"),IF(INDEX(DB_05[版本檢查],U39)&lt;&gt;"OK","標準主檔待核",IF(INDEX(DB_05[標準單位],U39)&lt;&gt;K39,"標準單位不符",IF(INDEX(DB_05[核對狀態],U39)="停用","停用",IF(F39="","缺採樣日期",IF(OR(AND(INDEX(DB_05[生效日],U39)&lt;&gt;"",F39&lt;INDEX(DB_05[生效日],U39)),AND(INDEX(DB_05[失效日],U39)&lt;&gt;"",F39&gt;INDEX(DB_05[失效日],U39))),"日期不適用",INDEX(DB_05[核對狀態],U39)))))))))</f>
        <v/>
      </c>
      <c r="AD39" s="93">
        <f>IF(COUNTA($A39:$D39)=0,"",IF(AC39="未訂此介質／測項門檻",AC39,IF(AC39&lt;&gt;"已核對","標準待核",IF(R39="","未訂管制值",IF(NOT(ISNUMBER(L39)),"單位待核",IF(N39="ND","無法判定（ND無界限）",IF(N39="NA","不適用",IF(Z39&lt;&gt;"OK",Z39,IF(N39="數值",IF(Q39&gt;=R39,"達管制值","未達管制值"),IF(OR(N39="&lt;",N39="&lt;="),IF(OR(Q39&lt;R39,AND(N39="&lt;",Q39=R39)),"未達管制值","無法判定"),IF(OR(N39="&gt;",N39="&gt;="),IF(Q39&gt;=R39,"達管制值","無法判定"),"格式待核")))))))))))</f>
        <v/>
      </c>
      <c r="AE39" s="93">
        <f>IF(COUNTA($A39:$D39)=0,"",IF(AC39="未訂此介質／測項門檻",AC39,IF(AC39&lt;&gt;"已核對","標準待核",IF(S39="","未訂監測值",IF(NOT(ISNUMBER(L39)),"單位待核",IF(N39="ND","無法判定（ND無界限）",IF(N39="NA","不適用",IF(Z39&lt;&gt;"OK",Z39,IF(N39="數值",IF(Q39&gt;=S39,"達監測值","未達監測值"),IF(OR(N39="&lt;",N39="&lt;="),IF(OR(Q39&lt;S39,AND(N39="&lt;",Q39=S39)),"未達監測值","無法判定"),IF(OR(N39="&gt;",N39="&gt;="),IF(Q39&gt;=S39,"達監測值","無法判定"),"格式待核")))))))))))</f>
        <v/>
      </c>
      <c r="AF39" s="93">
        <f>IF(COUNTA($A39:$D39)=0,"",IF(OR(E39="",A39="",B39="",C39=""),"缺必要欄位",IF(Y39&lt;&gt;"OK","樣品資料待補",IF(T39=0,"測項未建或重複",IF(INDEX(DB_04[啟用],T39)&lt;&gt;"是","測項停用",IF(AND(Z39&lt;&gt;"OK",Z39&lt;&gt;"不適用"),Z39,IF(AND(AB39&lt;&gt;"OK",AB39&lt;&gt;"已換算"),"單位待核",IF(AA39&lt;&gt;"OK",AA39,"OK"))))))))</f>
        <v/>
      </c>
      <c r="AG39" s="93">
        <f>IF(COUNTA($A39:$D39)=0,"",IF(N39="ND","ND取0",IF(OR(N39="&lt;",N39="&lt;="),"界限除以2",IF(N39="NA","不適用",IF(OR(N39="&gt;",N39="&gt;="),"保留界限數值","保留原數值")))))</f>
        <v/>
      </c>
      <c r="AH39" s="92">
        <f>IF(O39="","",IFERROR(_xlfn.NUMBERVALUE(O39,".",","),""))</f>
        <v/>
      </c>
      <c r="AI39" s="92">
        <f>IF(H39="","",IFERROR(MATCH(H39,Samples[樣品編號],0),0))</f>
        <v/>
      </c>
    </row>
    <row r="40">
      <c r="A40" s="27" t="inlineStr">
        <is>
          <t>ORP</t>
        </is>
      </c>
      <c r="B40" s="28" t="inlineStr">
        <is>
          <t>40</t>
        </is>
      </c>
      <c r="C40" s="27" t="inlineStr">
        <is>
          <t>mV</t>
        </is>
      </c>
      <c r="D40" s="39" t="inlineStr">
        <is>
          <t>合成資料，非實測；method=field; reference_electrode=Ag/AgCl; calibration=verified</t>
        </is>
      </c>
      <c r="E40" s="29">
        <f>IF(OR(I40="",I40=0),"",IF(INDEX(Samples[監測點],I40)="","",INDEX(Samples[監測點],I40)))</f>
        <v/>
      </c>
      <c r="F40" s="90">
        <f>IF(OR(I40="",I40=0),"",IF(INDEX(Samples[採樣日期],I40)="","",INDEX(Samples[採樣日期],I40)))</f>
        <v/>
      </c>
      <c r="G40" s="91">
        <f>IF(OR(M40="",M40="NA",M40="N/A"),"",IF(OR(M40="ND",M40="N.D."),0,IFERROR(IF(OR(OR(ISNUMBER(SEARCH("%",O40)),ISNUMBER(SEARCH(" ",O40)),ISNUMBER(SEARCH(",",O40))),OR(SUBSTITUTE(SUBSTITUTE(SUBSTITUTE(SUBSTITUTE(SUBSTITUTE(SUBSTITUTE(SUBSTITUTE(SUBSTITUTE(SUBSTITUTE(SUBSTITUTE(SUBSTITUTE(SUBSTITUTE(SUBSTITUTE(SUBSTITUTE(SUBSTITUTE(SUBSTITUTE(SUBSTITUTE(SUBSTITUTE("x"&amp;M40,"0",""),"1",""),"2",""),"3",""),"4",""),"5",""),"6",""),"7",""),"8",""),"9",""),".",""),"E",""),"+",""),"-",""),"&lt;",""),"&gt;",""),"=","")," ","")&lt;&gt;"x",ISNUMBER(SEARCH("-",SUBSTITUTE(SUBSTITUTE("x"&amp;MID(M40,2,99),"E-","E"),"E+","E"))),ISNUMBER(SEARCH("+",SUBSTITUTE(SUBSTITUTE("x"&amp;MID(M40,2,99),"E-","E"),"E+","E"))))),"",IF(AND(OR(LEFT(M40,1)="&lt;",LEFT(M40,1)="&gt;"),IF(O40="",0,IF(ISNUMBER(AH40),AH40,NA()))&lt;0),"",IF(O40="",0,IF(ISNUMBER(AH40),AH40,NA()))/IF(LEFT(M40,1)="&lt;",2,1))),"")))</f>
        <v/>
      </c>
      <c r="H40" s="57" t="inlineStr">
        <is>
          <t>BH01-W_20260415_02</t>
        </is>
      </c>
      <c r="I40" s="92">
        <f>IF(OR(H40="",AI40=0),0,IF(INDEX(Samples[樣品重複筆數],AI40)=1,AI40,0))</f>
        <v/>
      </c>
      <c r="J40" s="92">
        <f>IF(OR(COUNTA($A40:$D40)=0,I40=0),"",IF(INDEX(Samples[介質],I40)="","",INDEX(Samples[介質],I40)))</f>
        <v/>
      </c>
      <c r="K40" s="92">
        <f>IF(OR(COUNTA($A40:$D40)=0,T40=0),"",IF(INDEX(DB_04[標準單位],T40)="","",INDEX(DB_04[標準單位],T40)))</f>
        <v/>
      </c>
      <c r="L40" s="92">
        <f>IF(COUNTA($A40:$D40)=0,"",IF(OR(C40="",K40=""),"",IF(C40=K40,1,IF(COUNTIFS(DB_06[換算鍵],C40&amp;"|"&amp;K40,DB_06[換算檢查],"OK")=1,INDEX(DB_06[乘數],MATCH(C40&amp;"|"&amp;K40,DB_06[換算鍵],0)),""))))</f>
        <v/>
      </c>
      <c r="M40" s="92">
        <f>UPPER(SUBSTITUTE(SUBSTITUTE(SUBSTITUTE(SUBSTITUTE(TRIM(B40&amp;""),"＜","&lt;"),"＞","&gt;"),"≤","&lt;="),"≥","&gt;="))</f>
        <v/>
      </c>
      <c r="N40" s="92">
        <f>IF(M40="","",IF(OR(M40="ND",M40="N.D."),"ND",IF(OR(M40="NA",M40="N/A",M40="N.A."),"NA",IF(OR(LEFT(M40,2)="&lt;=",LEFT(M40,2)="&gt;="),LEFT(M40,2),IF(OR(LEFT(M40,1)="&lt;",LEFT(M40,1)="&gt;"),LEFT(M40,1),"數值")))))</f>
        <v/>
      </c>
      <c r="O40" s="92">
        <f>IF(OR(N40="",N40="ND",N40="NA"),"",IF(N40="數值",M40,TRIM(MID(M40,LEN(N40)+1,99))))</f>
        <v/>
      </c>
      <c r="P40" s="92">
        <f>IF(O40="","",IFERROR(IF(OR(OR(ISNUMBER(SEARCH("%",O40)),ISNUMBER(SEARCH(" ",O40)),ISNUMBER(SEARCH(",",O40))),OR(SUBSTITUTE(SUBSTITUTE(SUBSTITUTE(SUBSTITUTE(SUBSTITUTE(SUBSTITUTE(SUBSTITUTE(SUBSTITUTE(SUBSTITUTE(SUBSTITUTE(SUBSTITUTE(SUBSTITUTE(SUBSTITUTE(SUBSTITUTE(SUBSTITUTE(SUBSTITUTE(SUBSTITUTE(SUBSTITUTE("x"&amp;O40,"0",""),"1",""),"2",""),"3",""),"4",""),"5",""),"6",""),"7",""),"8",""),"9",""),".",""),"E",""),"+",""),"-",""),"&lt;",""),"&gt;",""),"=","")," ","")&lt;&gt;"x",ISNUMBER(SEARCH("-",SUBSTITUTE(SUBSTITUTE("x"&amp;MID(O40,2,99),"E-","E"),"E+","E"))),ISNUMBER(SEARCH("+",SUBSTITUTE(SUBSTITUTE("x"&amp;MID(O40,2,99),"E-","E"),"E+","E"))))),"",IF(ISNUMBER(AH40),AH40,NA())),""))</f>
        <v/>
      </c>
      <c r="Q40" s="92">
        <f>IF(AND(ISNUMBER(L40),ISNUMBER(P40)),L40*P40,"")</f>
        <v/>
      </c>
      <c r="R40" s="92">
        <f>IF(OR(COUNTA($A40:$D40)=0,U40=0),"",IF(INDEX(DB_05[管制設定值],U40)="","",INDEX(DB_05[管制設定值],U40)))</f>
        <v/>
      </c>
      <c r="S40" s="92">
        <f>IF(OR(COUNTA($A40:$D40)=0,U40=0),"",IF(INDEX(DB_05[監測設定值],U40)="","",INDEX(DB_05[監測設定值],U40)))</f>
        <v/>
      </c>
      <c r="T40" s="92">
        <f>IF(COUNTA($A40:$D40)=0,"",IF(COUNTIFS(DB_04[測項鍵],V40)=1,MATCH(V40,DB_04[測項鍵],0),0))</f>
        <v/>
      </c>
      <c r="U40" s="92">
        <f>IF(COUNTA($A40:$D40)=0,"",IF(COUNTIFS(DB_05[標準鍵],W40)=1,MATCH(W40,DB_05[標準鍵],0),0))</f>
        <v/>
      </c>
      <c r="V40" s="92">
        <f>IF(OR(J40="",A40=""),"",J40&amp;"|"&amp;A40)</f>
        <v/>
      </c>
      <c r="W40" s="92">
        <f>IF(OR('07_QAQC'!$C$3="",V40=""),"",'07_QAQC'!$C$3&amp;"|"&amp;V40)</f>
        <v/>
      </c>
      <c r="X40" s="92">
        <f>IF(OR(H40="",A40=""),"",LEN(H40)&amp;":"&amp;H40&amp;LEN(A40)&amp;":"&amp;A40)</f>
        <v/>
      </c>
      <c r="Y40" s="93">
        <f>IF(COUNTA($A40:$D40)=0,"",IF(I40=0,"樣品未建或重複",IF(INDEX(Samples[樣品檢查],I40)="","OK",INDEX(Samples[樣品檢查],I40))))</f>
        <v/>
      </c>
      <c r="Z40" s="93">
        <f>IF(COUNTA($A40:$D40)=0,"",IF(B40="","缺原始值",IF(OR(B40="-",B40="--"),"無資料",IF(N40="NA","不適用",IF(N40="ND","OK",IF(NOT(ISNUMBER(P40)),"格式待核",IF(AND(N40&lt;&gt;"數值",P40&lt;0),"界限不得為負","OK")))))))</f>
        <v/>
      </c>
      <c r="AA40" s="93">
        <f>IF(COUNTA(A40:D40)=0,"",IF(OR(A40="",H40=""),"缺識別欄位",IF(IF(LEN("="&amp;SUBSTITUTE(SUBSTITUTE(SUBSTITUTE(X40,"~","~~"),"*","~*"),"?","~?"))&lt;=255,COUNTIF(Results[結果識別鍵],"="&amp;SUBSTITUTE(SUBSTITUTE(SUBSTITUTE(X40,"~","~~"),"*","~*"),"?","~?")),COUNTIFS(Results[關聯鍵],"="&amp;SUBSTITUTE(SUBSTITUTE(SUBSTITUTE(H40,"~","~~"),"*","~*"),"?","~?"),Results[分析項目],"="&amp;SUBSTITUTE(SUBSTITUTE(SUBSTITUTE(A40,"~","~~"),"*","~*"),"?","~?")))&gt;1,"同關聯鍵測項重複","OK")))</f>
        <v/>
      </c>
      <c r="AB40" s="93">
        <f>IF(COUNTA($A40:$D40)=0,"",IF(OR(C40="",K40=""),"缺單位",IF(NOT(ISNUMBER(L40)),"單位不相容",IF(L40=1,"OK","已換算"))))</f>
        <v/>
      </c>
      <c r="AC40" s="93">
        <f>IF(COUNTA($A40:$D40)=0,"",IF('07_QAQC'!$C$3="","未選比較版本",IF(U40=0,IF(COUNTIFS(DB_05[標準鍵],W40)&gt;1,"標準鍵重複","未訂此介質／測項門檻"),IF(INDEX(DB_05[版本檢查],U40)&lt;&gt;"OK","標準主檔待核",IF(INDEX(DB_05[標準單位],U40)&lt;&gt;K40,"標準單位不符",IF(INDEX(DB_05[核對狀態],U40)="停用","停用",IF(F40="","缺採樣日期",IF(OR(AND(INDEX(DB_05[生效日],U40)&lt;&gt;"",F40&lt;INDEX(DB_05[生效日],U40)),AND(INDEX(DB_05[失效日],U40)&lt;&gt;"",F40&gt;INDEX(DB_05[失效日],U40))),"日期不適用",INDEX(DB_05[核對狀態],U40)))))))))</f>
        <v/>
      </c>
      <c r="AD40" s="93">
        <f>IF(COUNTA($A40:$D40)=0,"",IF(AC40="未訂此介質／測項門檻",AC40,IF(AC40&lt;&gt;"已核對","標準待核",IF(R40="","未訂管制值",IF(NOT(ISNUMBER(L40)),"單位待核",IF(N40="ND","無法判定（ND無界限）",IF(N40="NA","不適用",IF(Z40&lt;&gt;"OK",Z40,IF(N40="數值",IF(Q40&gt;=R40,"達管制值","未達管制值"),IF(OR(N40="&lt;",N40="&lt;="),IF(OR(Q40&lt;R40,AND(N40="&lt;",Q40=R40)),"未達管制值","無法判定"),IF(OR(N40="&gt;",N40="&gt;="),IF(Q40&gt;=R40,"達管制值","無法判定"),"格式待核")))))))))))</f>
        <v/>
      </c>
      <c r="AE40" s="93">
        <f>IF(COUNTA($A40:$D40)=0,"",IF(AC40="未訂此介質／測項門檻",AC40,IF(AC40&lt;&gt;"已核對","標準待核",IF(S40="","未訂監測值",IF(NOT(ISNUMBER(L40)),"單位待核",IF(N40="ND","無法判定（ND無界限）",IF(N40="NA","不適用",IF(Z40&lt;&gt;"OK",Z40,IF(N40="數值",IF(Q40&gt;=S40,"達監測值","未達監測值"),IF(OR(N40="&lt;",N40="&lt;="),IF(OR(Q40&lt;S40,AND(N40="&lt;",Q40=S40)),"未達監測值","無法判定"),IF(OR(N40="&gt;",N40="&gt;="),IF(Q40&gt;=S40,"達監測值","無法判定"),"格式待核")))))))))))</f>
        <v/>
      </c>
      <c r="AF40" s="93">
        <f>IF(COUNTA($A40:$D40)=0,"",IF(OR(E40="",A40="",B40="",C40=""),"缺必要欄位",IF(Y40&lt;&gt;"OK","樣品資料待補",IF(T40=0,"測項未建或重複",IF(INDEX(DB_04[啟用],T40)&lt;&gt;"是","測項停用",IF(AND(Z40&lt;&gt;"OK",Z40&lt;&gt;"不適用"),Z40,IF(AND(AB40&lt;&gt;"OK",AB40&lt;&gt;"已換算"),"單位待核",IF(AA40&lt;&gt;"OK",AA40,"OK"))))))))</f>
        <v/>
      </c>
      <c r="AG40" s="93">
        <f>IF(COUNTA($A40:$D40)=0,"",IF(N40="ND","ND取0",IF(OR(N40="&lt;",N40="&lt;="),"界限除以2",IF(N40="NA","不適用",IF(OR(N40="&gt;",N40="&gt;="),"保留界限數值","保留原數值")))))</f>
        <v/>
      </c>
      <c r="AH40" s="92">
        <f>IF(O40="","",IFERROR(_xlfn.NUMBERVALUE(O40,".",","),""))</f>
        <v/>
      </c>
      <c r="AI40" s="92">
        <f>IF(H40="","",IFERROR(MATCH(H40,Samples[樣品編號],0),0))</f>
        <v/>
      </c>
    </row>
    <row r="41">
      <c r="A41" s="27" t="inlineStr">
        <is>
          <t>總有機碳</t>
        </is>
      </c>
      <c r="B41" s="28" t="inlineStr">
        <is>
          <t>2.6</t>
        </is>
      </c>
      <c r="C41" s="27" t="inlineStr">
        <is>
          <t>mg/L</t>
        </is>
      </c>
      <c r="D41" s="39" t="inlineStr">
        <is>
          <t>合成資料，非實測；method=lab</t>
        </is>
      </c>
      <c r="E41" s="29">
        <f>IF(OR(I41="",I41=0),"",IF(INDEX(Samples[監測點],I41)="","",INDEX(Samples[監測點],I41)))</f>
        <v/>
      </c>
      <c r="F41" s="90">
        <f>IF(OR(I41="",I41=0),"",IF(INDEX(Samples[採樣日期],I41)="","",INDEX(Samples[採樣日期],I41)))</f>
        <v/>
      </c>
      <c r="G41" s="91">
        <f>IF(OR(M41="",M41="NA",M41="N/A"),"",IF(OR(M41="ND",M41="N.D."),0,IFERROR(IF(OR(OR(ISNUMBER(SEARCH("%",O41)),ISNUMBER(SEARCH(" ",O41)),ISNUMBER(SEARCH(",",O41))),OR(SUBSTITUTE(SUBSTITUTE(SUBSTITUTE(SUBSTITUTE(SUBSTITUTE(SUBSTITUTE(SUBSTITUTE(SUBSTITUTE(SUBSTITUTE(SUBSTITUTE(SUBSTITUTE(SUBSTITUTE(SUBSTITUTE(SUBSTITUTE(SUBSTITUTE(SUBSTITUTE(SUBSTITUTE(SUBSTITUTE("x"&amp;M41,"0",""),"1",""),"2",""),"3",""),"4",""),"5",""),"6",""),"7",""),"8",""),"9",""),".",""),"E",""),"+",""),"-",""),"&lt;",""),"&gt;",""),"=","")," ","")&lt;&gt;"x",ISNUMBER(SEARCH("-",SUBSTITUTE(SUBSTITUTE("x"&amp;MID(M41,2,99),"E-","E"),"E+","E"))),ISNUMBER(SEARCH("+",SUBSTITUTE(SUBSTITUTE("x"&amp;MID(M41,2,99),"E-","E"),"E+","E"))))),"",IF(AND(OR(LEFT(M41,1)="&lt;",LEFT(M41,1)="&gt;"),IF(O41="",0,IF(ISNUMBER(AH41),AH41,NA()))&lt;0),"",IF(O41="",0,IF(ISNUMBER(AH41),AH41,NA()))/IF(LEFT(M41,1)="&lt;",2,1))),"")))</f>
        <v/>
      </c>
      <c r="H41" s="57" t="inlineStr">
        <is>
          <t>BH01-W_20260415_02</t>
        </is>
      </c>
      <c r="I41" s="92">
        <f>IF(OR(H41="",AI41=0),0,IF(INDEX(Samples[樣品重複筆數],AI41)=1,AI41,0))</f>
        <v/>
      </c>
      <c r="J41" s="92">
        <f>IF(OR(COUNTA($A41:$D41)=0,I41=0),"",IF(INDEX(Samples[介質],I41)="","",INDEX(Samples[介質],I41)))</f>
        <v/>
      </c>
      <c r="K41" s="92">
        <f>IF(OR(COUNTA($A41:$D41)=0,T41=0),"",IF(INDEX(DB_04[標準單位],T41)="","",INDEX(DB_04[標準單位],T41)))</f>
        <v/>
      </c>
      <c r="L41" s="92">
        <f>IF(COUNTA($A41:$D41)=0,"",IF(OR(C41="",K41=""),"",IF(C41=K41,1,IF(COUNTIFS(DB_06[換算鍵],C41&amp;"|"&amp;K41,DB_06[換算檢查],"OK")=1,INDEX(DB_06[乘數],MATCH(C41&amp;"|"&amp;K41,DB_06[換算鍵],0)),""))))</f>
        <v/>
      </c>
      <c r="M41" s="92">
        <f>UPPER(SUBSTITUTE(SUBSTITUTE(SUBSTITUTE(SUBSTITUTE(TRIM(B41&amp;""),"＜","&lt;"),"＞","&gt;"),"≤","&lt;="),"≥","&gt;="))</f>
        <v/>
      </c>
      <c r="N41" s="92">
        <f>IF(M41="","",IF(OR(M41="ND",M41="N.D."),"ND",IF(OR(M41="NA",M41="N/A",M41="N.A."),"NA",IF(OR(LEFT(M41,2)="&lt;=",LEFT(M41,2)="&gt;="),LEFT(M41,2),IF(OR(LEFT(M41,1)="&lt;",LEFT(M41,1)="&gt;"),LEFT(M41,1),"數值")))))</f>
        <v/>
      </c>
      <c r="O41" s="92">
        <f>IF(OR(N41="",N41="ND",N41="NA"),"",IF(N41="數值",M41,TRIM(MID(M41,LEN(N41)+1,99))))</f>
        <v/>
      </c>
      <c r="P41" s="92">
        <f>IF(O41="","",IFERROR(IF(OR(OR(ISNUMBER(SEARCH("%",O41)),ISNUMBER(SEARCH(" ",O41)),ISNUMBER(SEARCH(",",O41))),OR(SUBSTITUTE(SUBSTITUTE(SUBSTITUTE(SUBSTITUTE(SUBSTITUTE(SUBSTITUTE(SUBSTITUTE(SUBSTITUTE(SUBSTITUTE(SUBSTITUTE(SUBSTITUTE(SUBSTITUTE(SUBSTITUTE(SUBSTITUTE(SUBSTITUTE(SUBSTITUTE(SUBSTITUTE(SUBSTITUTE("x"&amp;O41,"0",""),"1",""),"2",""),"3",""),"4",""),"5",""),"6",""),"7",""),"8",""),"9",""),".",""),"E",""),"+",""),"-",""),"&lt;",""),"&gt;",""),"=","")," ","")&lt;&gt;"x",ISNUMBER(SEARCH("-",SUBSTITUTE(SUBSTITUTE("x"&amp;MID(O41,2,99),"E-","E"),"E+","E"))),ISNUMBER(SEARCH("+",SUBSTITUTE(SUBSTITUTE("x"&amp;MID(O41,2,99),"E-","E"),"E+","E"))))),"",IF(ISNUMBER(AH41),AH41,NA())),""))</f>
        <v/>
      </c>
      <c r="Q41" s="92">
        <f>IF(AND(ISNUMBER(L41),ISNUMBER(P41)),L41*P41,"")</f>
        <v/>
      </c>
      <c r="R41" s="92">
        <f>IF(OR(COUNTA($A41:$D41)=0,U41=0),"",IF(INDEX(DB_05[管制設定值],U41)="","",INDEX(DB_05[管制設定值],U41)))</f>
        <v/>
      </c>
      <c r="S41" s="92">
        <f>IF(OR(COUNTA($A41:$D41)=0,U41=0),"",IF(INDEX(DB_05[監測設定值],U41)="","",INDEX(DB_05[監測設定值],U41)))</f>
        <v/>
      </c>
      <c r="T41" s="92">
        <f>IF(COUNTA($A41:$D41)=0,"",IF(COUNTIFS(DB_04[測項鍵],V41)=1,MATCH(V41,DB_04[測項鍵],0),0))</f>
        <v/>
      </c>
      <c r="U41" s="92">
        <f>IF(COUNTA($A41:$D41)=0,"",IF(COUNTIFS(DB_05[標準鍵],W41)=1,MATCH(W41,DB_05[標準鍵],0),0))</f>
        <v/>
      </c>
      <c r="V41" s="92">
        <f>IF(OR(J41="",A41=""),"",J41&amp;"|"&amp;A41)</f>
        <v/>
      </c>
      <c r="W41" s="92">
        <f>IF(OR('07_QAQC'!$C$3="",V41=""),"",'07_QAQC'!$C$3&amp;"|"&amp;V41)</f>
        <v/>
      </c>
      <c r="X41" s="92">
        <f>IF(OR(H41="",A41=""),"",LEN(H41)&amp;":"&amp;H41&amp;LEN(A41)&amp;":"&amp;A41)</f>
        <v/>
      </c>
      <c r="Y41" s="93">
        <f>IF(COUNTA($A41:$D41)=0,"",IF(I41=0,"樣品未建或重複",IF(INDEX(Samples[樣品檢查],I41)="","OK",INDEX(Samples[樣品檢查],I41))))</f>
        <v/>
      </c>
      <c r="Z41" s="93">
        <f>IF(COUNTA($A41:$D41)=0,"",IF(B41="","缺原始值",IF(OR(B41="-",B41="--"),"無資料",IF(N41="NA","不適用",IF(N41="ND","OK",IF(NOT(ISNUMBER(P41)),"格式待核",IF(AND(N41&lt;&gt;"數值",P41&lt;0),"界限不得為負","OK")))))))</f>
        <v/>
      </c>
      <c r="AA41" s="93">
        <f>IF(COUNTA(A41:D41)=0,"",IF(OR(A41="",H41=""),"缺識別欄位",IF(IF(LEN("="&amp;SUBSTITUTE(SUBSTITUTE(SUBSTITUTE(X41,"~","~~"),"*","~*"),"?","~?"))&lt;=255,COUNTIF(Results[結果識別鍵],"="&amp;SUBSTITUTE(SUBSTITUTE(SUBSTITUTE(X41,"~","~~"),"*","~*"),"?","~?")),COUNTIFS(Results[關聯鍵],"="&amp;SUBSTITUTE(SUBSTITUTE(SUBSTITUTE(H41,"~","~~"),"*","~*"),"?","~?"),Results[分析項目],"="&amp;SUBSTITUTE(SUBSTITUTE(SUBSTITUTE(A41,"~","~~"),"*","~*"),"?","~?")))&gt;1,"同關聯鍵測項重複","OK")))</f>
        <v/>
      </c>
      <c r="AB41" s="93">
        <f>IF(COUNTA($A41:$D41)=0,"",IF(OR(C41="",K41=""),"缺單位",IF(NOT(ISNUMBER(L41)),"單位不相容",IF(L41=1,"OK","已換算"))))</f>
        <v/>
      </c>
      <c r="AC41" s="93">
        <f>IF(COUNTA($A41:$D41)=0,"",IF('07_QAQC'!$C$3="","未選比較版本",IF(U41=0,IF(COUNTIFS(DB_05[標準鍵],W41)&gt;1,"標準鍵重複","未訂此介質／測項門檻"),IF(INDEX(DB_05[版本檢查],U41)&lt;&gt;"OK","標準主檔待核",IF(INDEX(DB_05[標準單位],U41)&lt;&gt;K41,"標準單位不符",IF(INDEX(DB_05[核對狀態],U41)="停用","停用",IF(F41="","缺採樣日期",IF(OR(AND(INDEX(DB_05[生效日],U41)&lt;&gt;"",F41&lt;INDEX(DB_05[生效日],U41)),AND(INDEX(DB_05[失效日],U41)&lt;&gt;"",F41&gt;INDEX(DB_05[失效日],U41))),"日期不適用",INDEX(DB_05[核對狀態],U41)))))))))</f>
        <v/>
      </c>
      <c r="AD41" s="93">
        <f>IF(COUNTA($A41:$D41)=0,"",IF(AC41="未訂此介質／測項門檻",AC41,IF(AC41&lt;&gt;"已核對","標準待核",IF(R41="","未訂管制值",IF(NOT(ISNUMBER(L41)),"單位待核",IF(N41="ND","無法判定（ND無界限）",IF(N41="NA","不適用",IF(Z41&lt;&gt;"OK",Z41,IF(N41="數值",IF(Q41&gt;=R41,"達管制值","未達管制值"),IF(OR(N41="&lt;",N41="&lt;="),IF(OR(Q41&lt;R41,AND(N41="&lt;",Q41=R41)),"未達管制值","無法判定"),IF(OR(N41="&gt;",N41="&gt;="),IF(Q41&gt;=R41,"達管制值","無法判定"),"格式待核")))))))))))</f>
        <v/>
      </c>
      <c r="AE41" s="93">
        <f>IF(COUNTA($A41:$D41)=0,"",IF(AC41="未訂此介質／測項門檻",AC41,IF(AC41&lt;&gt;"已核對","標準待核",IF(S41="","未訂監測值",IF(NOT(ISNUMBER(L41)),"單位待核",IF(N41="ND","無法判定（ND無界限）",IF(N41="NA","不適用",IF(Z41&lt;&gt;"OK",Z41,IF(N41="數值",IF(Q41&gt;=S41,"達監測值","未達監測值"),IF(OR(N41="&lt;",N41="&lt;="),IF(OR(Q41&lt;S41,AND(N41="&lt;",Q41=S41)),"未達監測值","無法判定"),IF(OR(N41="&gt;",N41="&gt;="),IF(Q41&gt;=S41,"達監測值","無法判定"),"格式待核")))))))))))</f>
        <v/>
      </c>
      <c r="AF41" s="93">
        <f>IF(COUNTA($A41:$D41)=0,"",IF(OR(E41="",A41="",B41="",C41=""),"缺必要欄位",IF(Y41&lt;&gt;"OK","樣品資料待補",IF(T41=0,"測項未建或重複",IF(INDEX(DB_04[啟用],T41)&lt;&gt;"是","測項停用",IF(AND(Z41&lt;&gt;"OK",Z41&lt;&gt;"不適用"),Z41,IF(AND(AB41&lt;&gt;"OK",AB41&lt;&gt;"已換算"),"單位待核",IF(AA41&lt;&gt;"OK",AA41,"OK"))))))))</f>
        <v/>
      </c>
      <c r="AG41" s="93">
        <f>IF(COUNTA($A41:$D41)=0,"",IF(N41="ND","ND取0",IF(OR(N41="&lt;",N41="&lt;="),"界限除以2",IF(N41="NA","不適用",IF(OR(N41="&gt;",N41="&gt;="),"保留界限數值","保留原數值")))))</f>
        <v/>
      </c>
      <c r="AH41" s="92">
        <f>IF(O41="","",IFERROR(_xlfn.NUMBERVALUE(O41,".",","),""))</f>
        <v/>
      </c>
      <c r="AI41" s="92">
        <f>IF(H41="","",IFERROR(MATCH(H41,Samples[樣品編號],0),0))</f>
        <v/>
      </c>
    </row>
    <row r="42">
      <c r="A42" s="27" t="inlineStr">
        <is>
          <t>鋅</t>
        </is>
      </c>
      <c r="B42" s="28" t="inlineStr">
        <is>
          <t>128</t>
        </is>
      </c>
      <c r="C42" s="27" t="inlineStr">
        <is>
          <t>mg/kg</t>
        </is>
      </c>
      <c r="D42" s="39" t="inlineStr">
        <is>
          <t>合成資料，非實測；method=XRF; basis=dry</t>
        </is>
      </c>
      <c r="E42" s="29">
        <f>IF(OR(I42="",I42=0),"",IF(INDEX(Samples[監測點],I42)="","",INDEX(Samples[監測點],I42)))</f>
        <v/>
      </c>
      <c r="F42" s="90">
        <f>IF(OR(I42="",I42=0),"",IF(INDEX(Samples[採樣日期],I42)="","",INDEX(Samples[採樣日期],I42)))</f>
        <v/>
      </c>
      <c r="G42" s="91">
        <f>IF(OR(M42="",M42="NA",M42="N/A"),"",IF(OR(M42="ND",M42="N.D."),0,IFERROR(IF(OR(OR(ISNUMBER(SEARCH("%",O42)),ISNUMBER(SEARCH(" ",O42)),ISNUMBER(SEARCH(",",O42))),OR(SUBSTITUTE(SUBSTITUTE(SUBSTITUTE(SUBSTITUTE(SUBSTITUTE(SUBSTITUTE(SUBSTITUTE(SUBSTITUTE(SUBSTITUTE(SUBSTITUTE(SUBSTITUTE(SUBSTITUTE(SUBSTITUTE(SUBSTITUTE(SUBSTITUTE(SUBSTITUTE(SUBSTITUTE(SUBSTITUTE("x"&amp;M42,"0",""),"1",""),"2",""),"3",""),"4",""),"5",""),"6",""),"7",""),"8",""),"9",""),".",""),"E",""),"+",""),"-",""),"&lt;",""),"&gt;",""),"=","")," ","")&lt;&gt;"x",ISNUMBER(SEARCH("-",SUBSTITUTE(SUBSTITUTE("x"&amp;MID(M42,2,99),"E-","E"),"E+","E"))),ISNUMBER(SEARCH("+",SUBSTITUTE(SUBSTITUTE("x"&amp;MID(M42,2,99),"E-","E"),"E+","E"))))),"",IF(AND(OR(LEFT(M42,1)="&lt;",LEFT(M42,1)="&gt;"),IF(O42="",0,IF(ISNUMBER(AH42),AH42,NA()))&lt;0),"",IF(O42="",0,IF(ISNUMBER(AH42),AH42,NA()))/IF(LEFT(M42,1)="&lt;",2,1))),"")))</f>
        <v/>
      </c>
      <c r="H42" s="57" t="inlineStr">
        <is>
          <t>BH01-S_20260415_03</t>
        </is>
      </c>
      <c r="I42" s="92">
        <f>IF(OR(H42="",AI42=0),0,IF(INDEX(Samples[樣品重複筆數],AI42)=1,AI42,0))</f>
        <v/>
      </c>
      <c r="J42" s="92">
        <f>IF(OR(COUNTA($A42:$D42)=0,I42=0),"",IF(INDEX(Samples[介質],I42)="","",INDEX(Samples[介質],I42)))</f>
        <v/>
      </c>
      <c r="K42" s="92">
        <f>IF(OR(COUNTA($A42:$D42)=0,T42=0),"",IF(INDEX(DB_04[標準單位],T42)="","",INDEX(DB_04[標準單位],T42)))</f>
        <v/>
      </c>
      <c r="L42" s="92">
        <f>IF(COUNTA($A42:$D42)=0,"",IF(OR(C42="",K42=""),"",IF(C42=K42,1,IF(COUNTIFS(DB_06[換算鍵],C42&amp;"|"&amp;K42,DB_06[換算檢查],"OK")=1,INDEX(DB_06[乘數],MATCH(C42&amp;"|"&amp;K42,DB_06[換算鍵],0)),""))))</f>
        <v/>
      </c>
      <c r="M42" s="92">
        <f>UPPER(SUBSTITUTE(SUBSTITUTE(SUBSTITUTE(SUBSTITUTE(TRIM(B42&amp;""),"＜","&lt;"),"＞","&gt;"),"≤","&lt;="),"≥","&gt;="))</f>
        <v/>
      </c>
      <c r="N42" s="92">
        <f>IF(M42="","",IF(OR(M42="ND",M42="N.D."),"ND",IF(OR(M42="NA",M42="N/A",M42="N.A."),"NA",IF(OR(LEFT(M42,2)="&lt;=",LEFT(M42,2)="&gt;="),LEFT(M42,2),IF(OR(LEFT(M42,1)="&lt;",LEFT(M42,1)="&gt;"),LEFT(M42,1),"數值")))))</f>
        <v/>
      </c>
      <c r="O42" s="92">
        <f>IF(OR(N42="",N42="ND",N42="NA"),"",IF(N42="數值",M42,TRIM(MID(M42,LEN(N42)+1,99))))</f>
        <v/>
      </c>
      <c r="P42" s="92">
        <f>IF(O42="","",IFERROR(IF(OR(OR(ISNUMBER(SEARCH("%",O42)),ISNUMBER(SEARCH(" ",O42)),ISNUMBER(SEARCH(",",O42))),OR(SUBSTITUTE(SUBSTITUTE(SUBSTITUTE(SUBSTITUTE(SUBSTITUTE(SUBSTITUTE(SUBSTITUTE(SUBSTITUTE(SUBSTITUTE(SUBSTITUTE(SUBSTITUTE(SUBSTITUTE(SUBSTITUTE(SUBSTITUTE(SUBSTITUTE(SUBSTITUTE(SUBSTITUTE(SUBSTITUTE("x"&amp;O42,"0",""),"1",""),"2",""),"3",""),"4",""),"5",""),"6",""),"7",""),"8",""),"9",""),".",""),"E",""),"+",""),"-",""),"&lt;",""),"&gt;",""),"=","")," ","")&lt;&gt;"x",ISNUMBER(SEARCH("-",SUBSTITUTE(SUBSTITUTE("x"&amp;MID(O42,2,99),"E-","E"),"E+","E"))),ISNUMBER(SEARCH("+",SUBSTITUTE(SUBSTITUTE("x"&amp;MID(O42,2,99),"E-","E"),"E+","E"))))),"",IF(ISNUMBER(AH42),AH42,NA())),""))</f>
        <v/>
      </c>
      <c r="Q42" s="92">
        <f>IF(AND(ISNUMBER(L42),ISNUMBER(P42)),L42*P42,"")</f>
        <v/>
      </c>
      <c r="R42" s="92">
        <f>IF(OR(COUNTA($A42:$D42)=0,U42=0),"",IF(INDEX(DB_05[管制設定值],U42)="","",INDEX(DB_05[管制設定值],U42)))</f>
        <v/>
      </c>
      <c r="S42" s="92">
        <f>IF(OR(COUNTA($A42:$D42)=0,U42=0),"",IF(INDEX(DB_05[監測設定值],U42)="","",INDEX(DB_05[監測設定值],U42)))</f>
        <v/>
      </c>
      <c r="T42" s="92">
        <f>IF(COUNTA($A42:$D42)=0,"",IF(COUNTIFS(DB_04[測項鍵],V42)=1,MATCH(V42,DB_04[測項鍵],0),0))</f>
        <v/>
      </c>
      <c r="U42" s="92">
        <f>IF(COUNTA($A42:$D42)=0,"",IF(COUNTIFS(DB_05[標準鍵],W42)=1,MATCH(W42,DB_05[標準鍵],0),0))</f>
        <v/>
      </c>
      <c r="V42" s="92">
        <f>IF(OR(J42="",A42=""),"",J42&amp;"|"&amp;A42)</f>
        <v/>
      </c>
      <c r="W42" s="92">
        <f>IF(OR('07_QAQC'!$C$3="",V42=""),"",'07_QAQC'!$C$3&amp;"|"&amp;V42)</f>
        <v/>
      </c>
      <c r="X42" s="92">
        <f>IF(OR(H42="",A42=""),"",LEN(H42)&amp;":"&amp;H42&amp;LEN(A42)&amp;":"&amp;A42)</f>
        <v/>
      </c>
      <c r="Y42" s="93">
        <f>IF(COUNTA($A42:$D42)=0,"",IF(I42=0,"樣品未建或重複",IF(INDEX(Samples[樣品檢查],I42)="","OK",INDEX(Samples[樣品檢查],I42))))</f>
        <v/>
      </c>
      <c r="Z42" s="93">
        <f>IF(COUNTA($A42:$D42)=0,"",IF(B42="","缺原始值",IF(OR(B42="-",B42="--"),"無資料",IF(N42="NA","不適用",IF(N42="ND","OK",IF(NOT(ISNUMBER(P42)),"格式待核",IF(AND(N42&lt;&gt;"數值",P42&lt;0),"界限不得為負","OK")))))))</f>
        <v/>
      </c>
      <c r="AA42" s="93">
        <f>IF(COUNTA(A42:D42)=0,"",IF(OR(A42="",H42=""),"缺識別欄位",IF(IF(LEN("="&amp;SUBSTITUTE(SUBSTITUTE(SUBSTITUTE(X42,"~","~~"),"*","~*"),"?","~?"))&lt;=255,COUNTIF(Results[結果識別鍵],"="&amp;SUBSTITUTE(SUBSTITUTE(SUBSTITUTE(X42,"~","~~"),"*","~*"),"?","~?")),COUNTIFS(Results[關聯鍵],"="&amp;SUBSTITUTE(SUBSTITUTE(SUBSTITUTE(H42,"~","~~"),"*","~*"),"?","~?"),Results[分析項目],"="&amp;SUBSTITUTE(SUBSTITUTE(SUBSTITUTE(A42,"~","~~"),"*","~*"),"?","~?")))&gt;1,"同關聯鍵測項重複","OK")))</f>
        <v/>
      </c>
      <c r="AB42" s="93">
        <f>IF(COUNTA($A42:$D42)=0,"",IF(OR(C42="",K42=""),"缺單位",IF(NOT(ISNUMBER(L42)),"單位不相容",IF(L42=1,"OK","已換算"))))</f>
        <v/>
      </c>
      <c r="AC42" s="93">
        <f>IF(COUNTA($A42:$D42)=0,"",IF('07_QAQC'!$C$3="","未選比較版本",IF(U42=0,IF(COUNTIFS(DB_05[標準鍵],W42)&gt;1,"標準鍵重複","未訂此介質／測項門檻"),IF(INDEX(DB_05[版本檢查],U42)&lt;&gt;"OK","標準主檔待核",IF(INDEX(DB_05[標準單位],U42)&lt;&gt;K42,"標準單位不符",IF(INDEX(DB_05[核對狀態],U42)="停用","停用",IF(F42="","缺採樣日期",IF(OR(AND(INDEX(DB_05[生效日],U42)&lt;&gt;"",F42&lt;INDEX(DB_05[生效日],U42)),AND(INDEX(DB_05[失效日],U42)&lt;&gt;"",F42&gt;INDEX(DB_05[失效日],U42))),"日期不適用",INDEX(DB_05[核對狀態],U42)))))))))</f>
        <v/>
      </c>
      <c r="AD42" s="93">
        <f>IF(COUNTA($A42:$D42)=0,"",IF(AC42="未訂此介質／測項門檻",AC42,IF(AC42&lt;&gt;"已核對","標準待核",IF(R42="","未訂管制值",IF(NOT(ISNUMBER(L42)),"單位待核",IF(N42="ND","無法判定（ND無界限）",IF(N42="NA","不適用",IF(Z42&lt;&gt;"OK",Z42,IF(N42="數值",IF(Q42&gt;=R42,"達管制值","未達管制值"),IF(OR(N42="&lt;",N42="&lt;="),IF(OR(Q42&lt;R42,AND(N42="&lt;",Q42=R42)),"未達管制值","無法判定"),IF(OR(N42="&gt;",N42="&gt;="),IF(Q42&gt;=R42,"達管制值","無法判定"),"格式待核")))))))))))</f>
        <v/>
      </c>
      <c r="AE42" s="93">
        <f>IF(COUNTA($A42:$D42)=0,"",IF(AC42="未訂此介質／測項門檻",AC42,IF(AC42&lt;&gt;"已核對","標準待核",IF(S42="","未訂監測值",IF(NOT(ISNUMBER(L42)),"單位待核",IF(N42="ND","無法判定（ND無界限）",IF(N42="NA","不適用",IF(Z42&lt;&gt;"OK",Z42,IF(N42="數值",IF(Q42&gt;=S42,"達監測值","未達監測值"),IF(OR(N42="&lt;",N42="&lt;="),IF(OR(Q42&lt;S42,AND(N42="&lt;",Q42=S42)),"未達監測值","無法判定"),IF(OR(N42="&gt;",N42="&gt;="),IF(Q42&gt;=S42,"達監測值","無法判定"),"格式待核")))))))))))</f>
        <v/>
      </c>
      <c r="AF42" s="93">
        <f>IF(COUNTA($A42:$D42)=0,"",IF(OR(E42="",A42="",B42="",C42=""),"缺必要欄位",IF(Y42&lt;&gt;"OK","樣品資料待補",IF(T42=0,"測項未建或重複",IF(INDEX(DB_04[啟用],T42)&lt;&gt;"是","測項停用",IF(AND(Z42&lt;&gt;"OK",Z42&lt;&gt;"不適用"),Z42,IF(AND(AB42&lt;&gt;"OK",AB42&lt;&gt;"已換算"),"單位待核",IF(AA42&lt;&gt;"OK",AA42,"OK"))))))))</f>
        <v/>
      </c>
      <c r="AG42" s="93">
        <f>IF(COUNTA($A42:$D42)=0,"",IF(N42="ND","ND取0",IF(OR(N42="&lt;",N42="&lt;="),"界限除以2",IF(N42="NA","不適用",IF(OR(N42="&gt;",N42="&gt;="),"保留界限數值","保留原數值")))))</f>
        <v/>
      </c>
      <c r="AH42" s="92">
        <f>IF(O42="","",IFERROR(_xlfn.NUMBERVALUE(O42,".",","),""))</f>
        <v/>
      </c>
      <c r="AI42" s="92">
        <f>IF(H42="","",IFERROR(MATCH(H42,Samples[樣品編號],0),0))</f>
        <v/>
      </c>
    </row>
    <row r="43">
      <c r="A43" s="27" t="inlineStr">
        <is>
          <t>總有機碳</t>
        </is>
      </c>
      <c r="B43" s="28" t="inlineStr">
        <is>
          <t>0.32</t>
        </is>
      </c>
      <c r="C43" s="27" t="inlineStr">
        <is>
          <t>%</t>
        </is>
      </c>
      <c r="D43" s="39" t="inlineStr">
        <is>
          <t>合成資料，非實測；method=lab; basis=dry</t>
        </is>
      </c>
      <c r="E43" s="29">
        <f>IF(OR(I43="",I43=0),"",IF(INDEX(Samples[監測點],I43)="","",INDEX(Samples[監測點],I43)))</f>
        <v/>
      </c>
      <c r="F43" s="90">
        <f>IF(OR(I43="",I43=0),"",IF(INDEX(Samples[採樣日期],I43)="","",INDEX(Samples[採樣日期],I43)))</f>
        <v/>
      </c>
      <c r="G43" s="91">
        <f>IF(OR(M43="",M43="NA",M43="N/A"),"",IF(OR(M43="ND",M43="N.D."),0,IFERROR(IF(OR(OR(ISNUMBER(SEARCH("%",O43)),ISNUMBER(SEARCH(" ",O43)),ISNUMBER(SEARCH(",",O43))),OR(SUBSTITUTE(SUBSTITUTE(SUBSTITUTE(SUBSTITUTE(SUBSTITUTE(SUBSTITUTE(SUBSTITUTE(SUBSTITUTE(SUBSTITUTE(SUBSTITUTE(SUBSTITUTE(SUBSTITUTE(SUBSTITUTE(SUBSTITUTE(SUBSTITUTE(SUBSTITUTE(SUBSTITUTE(SUBSTITUTE("x"&amp;M43,"0",""),"1",""),"2",""),"3",""),"4",""),"5",""),"6",""),"7",""),"8",""),"9",""),".",""),"E",""),"+",""),"-",""),"&lt;",""),"&gt;",""),"=","")," ","")&lt;&gt;"x",ISNUMBER(SEARCH("-",SUBSTITUTE(SUBSTITUTE("x"&amp;MID(M43,2,99),"E-","E"),"E+","E"))),ISNUMBER(SEARCH("+",SUBSTITUTE(SUBSTITUTE("x"&amp;MID(M43,2,99),"E-","E"),"E+","E"))))),"",IF(AND(OR(LEFT(M43,1)="&lt;",LEFT(M43,1)="&gt;"),IF(O43="",0,IF(ISNUMBER(AH43),AH43,NA()))&lt;0),"",IF(O43="",0,IF(ISNUMBER(AH43),AH43,NA()))/IF(LEFT(M43,1)="&lt;",2,1))),"")))</f>
        <v/>
      </c>
      <c r="H43" s="57" t="inlineStr">
        <is>
          <t>BH01-S_20260415_03</t>
        </is>
      </c>
      <c r="I43" s="92">
        <f>IF(OR(H43="",AI43=0),0,IF(INDEX(Samples[樣品重複筆數],AI43)=1,AI43,0))</f>
        <v/>
      </c>
      <c r="J43" s="92">
        <f>IF(OR(COUNTA($A43:$D43)=0,I43=0),"",IF(INDEX(Samples[介質],I43)="","",INDEX(Samples[介質],I43)))</f>
        <v/>
      </c>
      <c r="K43" s="92">
        <f>IF(OR(COUNTA($A43:$D43)=0,T43=0),"",IF(INDEX(DB_04[標準單位],T43)="","",INDEX(DB_04[標準單位],T43)))</f>
        <v/>
      </c>
      <c r="L43" s="92">
        <f>IF(COUNTA($A43:$D43)=0,"",IF(OR(C43="",K43=""),"",IF(C43=K43,1,IF(COUNTIFS(DB_06[換算鍵],C43&amp;"|"&amp;K43,DB_06[換算檢查],"OK")=1,INDEX(DB_06[乘數],MATCH(C43&amp;"|"&amp;K43,DB_06[換算鍵],0)),""))))</f>
        <v/>
      </c>
      <c r="M43" s="92">
        <f>UPPER(SUBSTITUTE(SUBSTITUTE(SUBSTITUTE(SUBSTITUTE(TRIM(B43&amp;""),"＜","&lt;"),"＞","&gt;"),"≤","&lt;="),"≥","&gt;="))</f>
        <v/>
      </c>
      <c r="N43" s="92">
        <f>IF(M43="","",IF(OR(M43="ND",M43="N.D."),"ND",IF(OR(M43="NA",M43="N/A",M43="N.A."),"NA",IF(OR(LEFT(M43,2)="&lt;=",LEFT(M43,2)="&gt;="),LEFT(M43,2),IF(OR(LEFT(M43,1)="&lt;",LEFT(M43,1)="&gt;"),LEFT(M43,1),"數值")))))</f>
        <v/>
      </c>
      <c r="O43" s="92">
        <f>IF(OR(N43="",N43="ND",N43="NA"),"",IF(N43="數值",M43,TRIM(MID(M43,LEN(N43)+1,99))))</f>
        <v/>
      </c>
      <c r="P43" s="92">
        <f>IF(O43="","",IFERROR(IF(OR(OR(ISNUMBER(SEARCH("%",O43)),ISNUMBER(SEARCH(" ",O43)),ISNUMBER(SEARCH(",",O43))),OR(SUBSTITUTE(SUBSTITUTE(SUBSTITUTE(SUBSTITUTE(SUBSTITUTE(SUBSTITUTE(SUBSTITUTE(SUBSTITUTE(SUBSTITUTE(SUBSTITUTE(SUBSTITUTE(SUBSTITUTE(SUBSTITUTE(SUBSTITUTE(SUBSTITUTE(SUBSTITUTE(SUBSTITUTE(SUBSTITUTE("x"&amp;O43,"0",""),"1",""),"2",""),"3",""),"4",""),"5",""),"6",""),"7",""),"8",""),"9",""),".",""),"E",""),"+",""),"-",""),"&lt;",""),"&gt;",""),"=","")," ","")&lt;&gt;"x",ISNUMBER(SEARCH("-",SUBSTITUTE(SUBSTITUTE("x"&amp;MID(O43,2,99),"E-","E"),"E+","E"))),ISNUMBER(SEARCH("+",SUBSTITUTE(SUBSTITUTE("x"&amp;MID(O43,2,99),"E-","E"),"E+","E"))))),"",IF(ISNUMBER(AH43),AH43,NA())),""))</f>
        <v/>
      </c>
      <c r="Q43" s="92">
        <f>IF(AND(ISNUMBER(L43),ISNUMBER(P43)),L43*P43,"")</f>
        <v/>
      </c>
      <c r="R43" s="92">
        <f>IF(OR(COUNTA($A43:$D43)=0,U43=0),"",IF(INDEX(DB_05[管制設定值],U43)="","",INDEX(DB_05[管制設定值],U43)))</f>
        <v/>
      </c>
      <c r="S43" s="92">
        <f>IF(OR(COUNTA($A43:$D43)=0,U43=0),"",IF(INDEX(DB_05[監測設定值],U43)="","",INDEX(DB_05[監測設定值],U43)))</f>
        <v/>
      </c>
      <c r="T43" s="92">
        <f>IF(COUNTA($A43:$D43)=0,"",IF(COUNTIFS(DB_04[測項鍵],V43)=1,MATCH(V43,DB_04[測項鍵],0),0))</f>
        <v/>
      </c>
      <c r="U43" s="92">
        <f>IF(COUNTA($A43:$D43)=0,"",IF(COUNTIFS(DB_05[標準鍵],W43)=1,MATCH(W43,DB_05[標準鍵],0),0))</f>
        <v/>
      </c>
      <c r="V43" s="92">
        <f>IF(OR(J43="",A43=""),"",J43&amp;"|"&amp;A43)</f>
        <v/>
      </c>
      <c r="W43" s="92">
        <f>IF(OR('07_QAQC'!$C$3="",V43=""),"",'07_QAQC'!$C$3&amp;"|"&amp;V43)</f>
        <v/>
      </c>
      <c r="X43" s="92">
        <f>IF(OR(H43="",A43=""),"",LEN(H43)&amp;":"&amp;H43&amp;LEN(A43)&amp;":"&amp;A43)</f>
        <v/>
      </c>
      <c r="Y43" s="93">
        <f>IF(COUNTA($A43:$D43)=0,"",IF(I43=0,"樣品未建或重複",IF(INDEX(Samples[樣品檢查],I43)="","OK",INDEX(Samples[樣品檢查],I43))))</f>
        <v/>
      </c>
      <c r="Z43" s="93">
        <f>IF(COUNTA($A43:$D43)=0,"",IF(B43="","缺原始值",IF(OR(B43="-",B43="--"),"無資料",IF(N43="NA","不適用",IF(N43="ND","OK",IF(NOT(ISNUMBER(P43)),"格式待核",IF(AND(N43&lt;&gt;"數值",P43&lt;0),"界限不得為負","OK")))))))</f>
        <v/>
      </c>
      <c r="AA43" s="93">
        <f>IF(COUNTA(A43:D43)=0,"",IF(OR(A43="",H43=""),"缺識別欄位",IF(IF(LEN("="&amp;SUBSTITUTE(SUBSTITUTE(SUBSTITUTE(X43,"~","~~"),"*","~*"),"?","~?"))&lt;=255,COUNTIF(Results[結果識別鍵],"="&amp;SUBSTITUTE(SUBSTITUTE(SUBSTITUTE(X43,"~","~~"),"*","~*"),"?","~?")),COUNTIFS(Results[關聯鍵],"="&amp;SUBSTITUTE(SUBSTITUTE(SUBSTITUTE(H43,"~","~~"),"*","~*"),"?","~?"),Results[分析項目],"="&amp;SUBSTITUTE(SUBSTITUTE(SUBSTITUTE(A43,"~","~~"),"*","~*"),"?","~?")))&gt;1,"同關聯鍵測項重複","OK")))</f>
        <v/>
      </c>
      <c r="AB43" s="93">
        <f>IF(COUNTA($A43:$D43)=0,"",IF(OR(C43="",K43=""),"缺單位",IF(NOT(ISNUMBER(L43)),"單位不相容",IF(L43=1,"OK","已換算"))))</f>
        <v/>
      </c>
      <c r="AC43" s="93">
        <f>IF(COUNTA($A43:$D43)=0,"",IF('07_QAQC'!$C$3="","未選比較版本",IF(U43=0,IF(COUNTIFS(DB_05[標準鍵],W43)&gt;1,"標準鍵重複","未訂此介質／測項門檻"),IF(INDEX(DB_05[版本檢查],U43)&lt;&gt;"OK","標準主檔待核",IF(INDEX(DB_05[標準單位],U43)&lt;&gt;K43,"標準單位不符",IF(INDEX(DB_05[核對狀態],U43)="停用","停用",IF(F43="","缺採樣日期",IF(OR(AND(INDEX(DB_05[生效日],U43)&lt;&gt;"",F43&lt;INDEX(DB_05[生效日],U43)),AND(INDEX(DB_05[失效日],U43)&lt;&gt;"",F43&gt;INDEX(DB_05[失效日],U43))),"日期不適用",INDEX(DB_05[核對狀態],U43)))))))))</f>
        <v/>
      </c>
      <c r="AD43" s="93">
        <f>IF(COUNTA($A43:$D43)=0,"",IF(AC43="未訂此介質／測項門檻",AC43,IF(AC43&lt;&gt;"已核對","標準待核",IF(R43="","未訂管制值",IF(NOT(ISNUMBER(L43)),"單位待核",IF(N43="ND","無法判定（ND無界限）",IF(N43="NA","不適用",IF(Z43&lt;&gt;"OK",Z43,IF(N43="數值",IF(Q43&gt;=R43,"達管制值","未達管制值"),IF(OR(N43="&lt;",N43="&lt;="),IF(OR(Q43&lt;R43,AND(N43="&lt;",Q43=R43)),"未達管制值","無法判定"),IF(OR(N43="&gt;",N43="&gt;="),IF(Q43&gt;=R43,"達管制值","無法判定"),"格式待核")))))))))))</f>
        <v/>
      </c>
      <c r="AE43" s="93">
        <f>IF(COUNTA($A43:$D43)=0,"",IF(AC43="未訂此介質／測項門檻",AC43,IF(AC43&lt;&gt;"已核對","標準待核",IF(S43="","未訂監測值",IF(NOT(ISNUMBER(L43)),"單位待核",IF(N43="ND","無法判定（ND無界限）",IF(N43="NA","不適用",IF(Z43&lt;&gt;"OK",Z43,IF(N43="數值",IF(Q43&gt;=S43,"達監測值","未達監測值"),IF(OR(N43="&lt;",N43="&lt;="),IF(OR(Q43&lt;S43,AND(N43="&lt;",Q43=S43)),"未達監測值","無法判定"),IF(OR(N43="&gt;",N43="&gt;="),IF(Q43&gt;=S43,"達監測值","無法判定"),"格式待核")))))))))))</f>
        <v/>
      </c>
      <c r="AF43" s="93">
        <f>IF(COUNTA($A43:$D43)=0,"",IF(OR(E43="",A43="",B43="",C43=""),"缺必要欄位",IF(Y43&lt;&gt;"OK","樣品資料待補",IF(T43=0,"測項未建或重複",IF(INDEX(DB_04[啟用],T43)&lt;&gt;"是","測項停用",IF(AND(Z43&lt;&gt;"OK",Z43&lt;&gt;"不適用"),Z43,IF(AND(AB43&lt;&gt;"OK",AB43&lt;&gt;"已換算"),"單位待核",IF(AA43&lt;&gt;"OK",AA43,"OK"))))))))</f>
        <v/>
      </c>
      <c r="AG43" s="93">
        <f>IF(COUNTA($A43:$D43)=0,"",IF(N43="ND","ND取0",IF(OR(N43="&lt;",N43="&lt;="),"界限除以2",IF(N43="NA","不適用",IF(OR(N43="&gt;",N43="&gt;="),"保留界限數值","保留原數值")))))</f>
        <v/>
      </c>
      <c r="AH43" s="92">
        <f>IF(O43="","",IFERROR(_xlfn.NUMBERVALUE(O43,".",","),""))</f>
        <v/>
      </c>
      <c r="AI43" s="92">
        <f>IF(H43="","",IFERROR(MATCH(H43,Samples[樣品編號],0),0))</f>
        <v/>
      </c>
    </row>
    <row r="44">
      <c r="A44" s="27" t="inlineStr">
        <is>
          <t>pH</t>
        </is>
      </c>
      <c r="B44" s="28" t="inlineStr">
        <is>
          <t>6.59</t>
        </is>
      </c>
      <c r="C44" s="27" t="inlineStr">
        <is>
          <t>無因次</t>
        </is>
      </c>
      <c r="D44" s="39" t="inlineStr">
        <is>
          <t>合成資料，非實測；method=field</t>
        </is>
      </c>
      <c r="E44" s="29">
        <f>IF(OR(I44="",I44=0),"",IF(INDEX(Samples[監測點],I44)="","",INDEX(Samples[監測點],I44)))</f>
        <v/>
      </c>
      <c r="F44" s="90">
        <f>IF(OR(I44="",I44=0),"",IF(INDEX(Samples[採樣日期],I44)="","",INDEX(Samples[採樣日期],I44)))</f>
        <v/>
      </c>
      <c r="G44" s="91">
        <f>IF(OR(M44="",M44="NA",M44="N/A"),"",IF(OR(M44="ND",M44="N.D."),0,IFERROR(IF(OR(OR(ISNUMBER(SEARCH("%",O44)),ISNUMBER(SEARCH(" ",O44)),ISNUMBER(SEARCH(",",O44))),OR(SUBSTITUTE(SUBSTITUTE(SUBSTITUTE(SUBSTITUTE(SUBSTITUTE(SUBSTITUTE(SUBSTITUTE(SUBSTITUTE(SUBSTITUTE(SUBSTITUTE(SUBSTITUTE(SUBSTITUTE(SUBSTITUTE(SUBSTITUTE(SUBSTITUTE(SUBSTITUTE(SUBSTITUTE(SUBSTITUTE("x"&amp;M44,"0",""),"1",""),"2",""),"3",""),"4",""),"5",""),"6",""),"7",""),"8",""),"9",""),".",""),"E",""),"+",""),"-",""),"&lt;",""),"&gt;",""),"=","")," ","")&lt;&gt;"x",ISNUMBER(SEARCH("-",SUBSTITUTE(SUBSTITUTE("x"&amp;MID(M44,2,99),"E-","E"),"E+","E"))),ISNUMBER(SEARCH("+",SUBSTITUTE(SUBSTITUTE("x"&amp;MID(M44,2,99),"E-","E"),"E+","E"))))),"",IF(AND(OR(LEFT(M44,1)="&lt;",LEFT(M44,1)="&gt;"),IF(O44="",0,IF(ISNUMBER(AH44),AH44,NA()))&lt;0),"",IF(O44="",0,IF(ISNUMBER(AH44),AH44,NA()))/IF(LEFT(M44,1)="&lt;",2,1))),"")))</f>
        <v/>
      </c>
      <c r="H44" s="57" t="inlineStr">
        <is>
          <t>BH01-W_20260415_03</t>
        </is>
      </c>
      <c r="I44" s="92">
        <f>IF(OR(H44="",AI44=0),0,IF(INDEX(Samples[樣品重複筆數],AI44)=1,AI44,0))</f>
        <v/>
      </c>
      <c r="J44" s="92">
        <f>IF(OR(COUNTA($A44:$D44)=0,I44=0),"",IF(INDEX(Samples[介質],I44)="","",INDEX(Samples[介質],I44)))</f>
        <v/>
      </c>
      <c r="K44" s="92">
        <f>IF(OR(COUNTA($A44:$D44)=0,T44=0),"",IF(INDEX(DB_04[標準單位],T44)="","",INDEX(DB_04[標準單位],T44)))</f>
        <v/>
      </c>
      <c r="L44" s="92">
        <f>IF(COUNTA($A44:$D44)=0,"",IF(OR(C44="",K44=""),"",IF(C44=K44,1,IF(COUNTIFS(DB_06[換算鍵],C44&amp;"|"&amp;K44,DB_06[換算檢查],"OK")=1,INDEX(DB_06[乘數],MATCH(C44&amp;"|"&amp;K44,DB_06[換算鍵],0)),""))))</f>
        <v/>
      </c>
      <c r="M44" s="92">
        <f>UPPER(SUBSTITUTE(SUBSTITUTE(SUBSTITUTE(SUBSTITUTE(TRIM(B44&amp;""),"＜","&lt;"),"＞","&gt;"),"≤","&lt;="),"≥","&gt;="))</f>
        <v/>
      </c>
      <c r="N44" s="92">
        <f>IF(M44="","",IF(OR(M44="ND",M44="N.D."),"ND",IF(OR(M44="NA",M44="N/A",M44="N.A."),"NA",IF(OR(LEFT(M44,2)="&lt;=",LEFT(M44,2)="&gt;="),LEFT(M44,2),IF(OR(LEFT(M44,1)="&lt;",LEFT(M44,1)="&gt;"),LEFT(M44,1),"數值")))))</f>
        <v/>
      </c>
      <c r="O44" s="92">
        <f>IF(OR(N44="",N44="ND",N44="NA"),"",IF(N44="數值",M44,TRIM(MID(M44,LEN(N44)+1,99))))</f>
        <v/>
      </c>
      <c r="P44" s="92">
        <f>IF(O44="","",IFERROR(IF(OR(OR(ISNUMBER(SEARCH("%",O44)),ISNUMBER(SEARCH(" ",O44)),ISNUMBER(SEARCH(",",O44))),OR(SUBSTITUTE(SUBSTITUTE(SUBSTITUTE(SUBSTITUTE(SUBSTITUTE(SUBSTITUTE(SUBSTITUTE(SUBSTITUTE(SUBSTITUTE(SUBSTITUTE(SUBSTITUTE(SUBSTITUTE(SUBSTITUTE(SUBSTITUTE(SUBSTITUTE(SUBSTITUTE(SUBSTITUTE(SUBSTITUTE("x"&amp;O44,"0",""),"1",""),"2",""),"3",""),"4",""),"5",""),"6",""),"7",""),"8",""),"9",""),".",""),"E",""),"+",""),"-",""),"&lt;",""),"&gt;",""),"=","")," ","")&lt;&gt;"x",ISNUMBER(SEARCH("-",SUBSTITUTE(SUBSTITUTE("x"&amp;MID(O44,2,99),"E-","E"),"E+","E"))),ISNUMBER(SEARCH("+",SUBSTITUTE(SUBSTITUTE("x"&amp;MID(O44,2,99),"E-","E"),"E+","E"))))),"",IF(ISNUMBER(AH44),AH44,NA())),""))</f>
        <v/>
      </c>
      <c r="Q44" s="92">
        <f>IF(AND(ISNUMBER(L44),ISNUMBER(P44)),L44*P44,"")</f>
        <v/>
      </c>
      <c r="R44" s="92">
        <f>IF(OR(COUNTA($A44:$D44)=0,U44=0),"",IF(INDEX(DB_05[管制設定值],U44)="","",INDEX(DB_05[管制設定值],U44)))</f>
        <v/>
      </c>
      <c r="S44" s="92">
        <f>IF(OR(COUNTA($A44:$D44)=0,U44=0),"",IF(INDEX(DB_05[監測設定值],U44)="","",INDEX(DB_05[監測設定值],U44)))</f>
        <v/>
      </c>
      <c r="T44" s="92">
        <f>IF(COUNTA($A44:$D44)=0,"",IF(COUNTIFS(DB_04[測項鍵],V44)=1,MATCH(V44,DB_04[測項鍵],0),0))</f>
        <v/>
      </c>
      <c r="U44" s="92">
        <f>IF(COUNTA($A44:$D44)=0,"",IF(COUNTIFS(DB_05[標準鍵],W44)=1,MATCH(W44,DB_05[標準鍵],0),0))</f>
        <v/>
      </c>
      <c r="V44" s="92">
        <f>IF(OR(J44="",A44=""),"",J44&amp;"|"&amp;A44)</f>
        <v/>
      </c>
      <c r="W44" s="92">
        <f>IF(OR('07_QAQC'!$C$3="",V44=""),"",'07_QAQC'!$C$3&amp;"|"&amp;V44)</f>
        <v/>
      </c>
      <c r="X44" s="92">
        <f>IF(OR(H44="",A44=""),"",LEN(H44)&amp;":"&amp;H44&amp;LEN(A44)&amp;":"&amp;A44)</f>
        <v/>
      </c>
      <c r="Y44" s="93">
        <f>IF(COUNTA($A44:$D44)=0,"",IF(I44=0,"樣品未建或重複",IF(INDEX(Samples[樣品檢查],I44)="","OK",INDEX(Samples[樣品檢查],I44))))</f>
        <v/>
      </c>
      <c r="Z44" s="93">
        <f>IF(COUNTA($A44:$D44)=0,"",IF(B44="","缺原始值",IF(OR(B44="-",B44="--"),"無資料",IF(N44="NA","不適用",IF(N44="ND","OK",IF(NOT(ISNUMBER(P44)),"格式待核",IF(AND(N44&lt;&gt;"數值",P44&lt;0),"界限不得為負","OK")))))))</f>
        <v/>
      </c>
      <c r="AA44" s="93">
        <f>IF(COUNTA(A44:D44)=0,"",IF(OR(A44="",H44=""),"缺識別欄位",IF(IF(LEN("="&amp;SUBSTITUTE(SUBSTITUTE(SUBSTITUTE(X44,"~","~~"),"*","~*"),"?","~?"))&lt;=255,COUNTIF(Results[結果識別鍵],"="&amp;SUBSTITUTE(SUBSTITUTE(SUBSTITUTE(X44,"~","~~"),"*","~*"),"?","~?")),COUNTIFS(Results[關聯鍵],"="&amp;SUBSTITUTE(SUBSTITUTE(SUBSTITUTE(H44,"~","~~"),"*","~*"),"?","~?"),Results[分析項目],"="&amp;SUBSTITUTE(SUBSTITUTE(SUBSTITUTE(A44,"~","~~"),"*","~*"),"?","~?")))&gt;1,"同關聯鍵測項重複","OK")))</f>
        <v/>
      </c>
      <c r="AB44" s="93">
        <f>IF(COUNTA($A44:$D44)=0,"",IF(OR(C44="",K44=""),"缺單位",IF(NOT(ISNUMBER(L44)),"單位不相容",IF(L44=1,"OK","已換算"))))</f>
        <v/>
      </c>
      <c r="AC44" s="93">
        <f>IF(COUNTA($A44:$D44)=0,"",IF('07_QAQC'!$C$3="","未選比較版本",IF(U44=0,IF(COUNTIFS(DB_05[標準鍵],W44)&gt;1,"標準鍵重複","未訂此介質／測項門檻"),IF(INDEX(DB_05[版本檢查],U44)&lt;&gt;"OK","標準主檔待核",IF(INDEX(DB_05[標準單位],U44)&lt;&gt;K44,"標準單位不符",IF(INDEX(DB_05[核對狀態],U44)="停用","停用",IF(F44="","缺採樣日期",IF(OR(AND(INDEX(DB_05[生效日],U44)&lt;&gt;"",F44&lt;INDEX(DB_05[生效日],U44)),AND(INDEX(DB_05[失效日],U44)&lt;&gt;"",F44&gt;INDEX(DB_05[失效日],U44))),"日期不適用",INDEX(DB_05[核對狀態],U44)))))))))</f>
        <v/>
      </c>
      <c r="AD44" s="93">
        <f>IF(COUNTA($A44:$D44)=0,"",IF(AC44="未訂此介質／測項門檻",AC44,IF(AC44&lt;&gt;"已核對","標準待核",IF(R44="","未訂管制值",IF(NOT(ISNUMBER(L44)),"單位待核",IF(N44="ND","無法判定（ND無界限）",IF(N44="NA","不適用",IF(Z44&lt;&gt;"OK",Z44,IF(N44="數值",IF(Q44&gt;=R44,"達管制值","未達管制值"),IF(OR(N44="&lt;",N44="&lt;="),IF(OR(Q44&lt;R44,AND(N44="&lt;",Q44=R44)),"未達管制值","無法判定"),IF(OR(N44="&gt;",N44="&gt;="),IF(Q44&gt;=R44,"達管制值","無法判定"),"格式待核")))))))))))</f>
        <v/>
      </c>
      <c r="AE44" s="93">
        <f>IF(COUNTA($A44:$D44)=0,"",IF(AC44="未訂此介質／測項門檻",AC44,IF(AC44&lt;&gt;"已核對","標準待核",IF(S44="","未訂監測值",IF(NOT(ISNUMBER(L44)),"單位待核",IF(N44="ND","無法判定（ND無界限）",IF(N44="NA","不適用",IF(Z44&lt;&gt;"OK",Z44,IF(N44="數值",IF(Q44&gt;=S44,"達監測值","未達監測值"),IF(OR(N44="&lt;",N44="&lt;="),IF(OR(Q44&lt;S44,AND(N44="&lt;",Q44=S44)),"未達監測值","無法判定"),IF(OR(N44="&gt;",N44="&gt;="),IF(Q44&gt;=S44,"達監測值","無法判定"),"格式待核")))))))))))</f>
        <v/>
      </c>
      <c r="AF44" s="93">
        <f>IF(COUNTA($A44:$D44)=0,"",IF(OR(E44="",A44="",B44="",C44=""),"缺必要欄位",IF(Y44&lt;&gt;"OK","樣品資料待補",IF(T44=0,"測項未建或重複",IF(INDEX(DB_04[啟用],T44)&lt;&gt;"是","測項停用",IF(AND(Z44&lt;&gt;"OK",Z44&lt;&gt;"不適用"),Z44,IF(AND(AB44&lt;&gt;"OK",AB44&lt;&gt;"已換算"),"單位待核",IF(AA44&lt;&gt;"OK",AA44,"OK"))))))))</f>
        <v/>
      </c>
      <c r="AG44" s="93">
        <f>IF(COUNTA($A44:$D44)=0,"",IF(N44="ND","ND取0",IF(OR(N44="&lt;",N44="&lt;="),"界限除以2",IF(N44="NA","不適用",IF(OR(N44="&gt;",N44="&gt;="),"保留界限數值","保留原數值")))))</f>
        <v/>
      </c>
      <c r="AH44" s="92">
        <f>IF(O44="","",IFERROR(_xlfn.NUMBERVALUE(O44,".",","),""))</f>
        <v/>
      </c>
      <c r="AI44" s="92">
        <f>IF(H44="","",IFERROR(MATCH(H44,Samples[樣品編號],0),0))</f>
        <v/>
      </c>
    </row>
    <row r="45">
      <c r="A45" s="27" t="inlineStr">
        <is>
          <t>EC</t>
        </is>
      </c>
      <c r="B45" s="28" t="inlineStr">
        <is>
          <t>0.64</t>
        </is>
      </c>
      <c r="C45" s="27" t="inlineStr">
        <is>
          <t>mS/cm</t>
        </is>
      </c>
      <c r="D45" s="39" t="inlineStr">
        <is>
          <t>合成資料，非實測；method=field; temperature=25; temperature_compensated=25C; reference_temperature=25</t>
        </is>
      </c>
      <c r="E45" s="29">
        <f>IF(OR(I45="",I45=0),"",IF(INDEX(Samples[監測點],I45)="","",INDEX(Samples[監測點],I45)))</f>
        <v/>
      </c>
      <c r="F45" s="90">
        <f>IF(OR(I45="",I45=0),"",IF(INDEX(Samples[採樣日期],I45)="","",INDEX(Samples[採樣日期],I45)))</f>
        <v/>
      </c>
      <c r="G45" s="91">
        <f>IF(OR(M45="",M45="NA",M45="N/A"),"",IF(OR(M45="ND",M45="N.D."),0,IFERROR(IF(OR(OR(ISNUMBER(SEARCH("%",O45)),ISNUMBER(SEARCH(" ",O45)),ISNUMBER(SEARCH(",",O45))),OR(SUBSTITUTE(SUBSTITUTE(SUBSTITUTE(SUBSTITUTE(SUBSTITUTE(SUBSTITUTE(SUBSTITUTE(SUBSTITUTE(SUBSTITUTE(SUBSTITUTE(SUBSTITUTE(SUBSTITUTE(SUBSTITUTE(SUBSTITUTE(SUBSTITUTE(SUBSTITUTE(SUBSTITUTE(SUBSTITUTE("x"&amp;M45,"0",""),"1",""),"2",""),"3",""),"4",""),"5",""),"6",""),"7",""),"8",""),"9",""),".",""),"E",""),"+",""),"-",""),"&lt;",""),"&gt;",""),"=","")," ","")&lt;&gt;"x",ISNUMBER(SEARCH("-",SUBSTITUTE(SUBSTITUTE("x"&amp;MID(M45,2,99),"E-","E"),"E+","E"))),ISNUMBER(SEARCH("+",SUBSTITUTE(SUBSTITUTE("x"&amp;MID(M45,2,99),"E-","E"),"E+","E"))))),"",IF(AND(OR(LEFT(M45,1)="&lt;",LEFT(M45,1)="&gt;"),IF(O45="",0,IF(ISNUMBER(AH45),AH45,NA()))&lt;0),"",IF(O45="",0,IF(ISNUMBER(AH45),AH45,NA()))/IF(LEFT(M45,1)="&lt;",2,1))),"")))</f>
        <v/>
      </c>
      <c r="H45" s="57" t="inlineStr">
        <is>
          <t>BH01-W_20260415_03</t>
        </is>
      </c>
      <c r="I45" s="92">
        <f>IF(OR(H45="",AI45=0),0,IF(INDEX(Samples[樣品重複筆數],AI45)=1,AI45,0))</f>
        <v/>
      </c>
      <c r="J45" s="92">
        <f>IF(OR(COUNTA($A45:$D45)=0,I45=0),"",IF(INDEX(Samples[介質],I45)="","",INDEX(Samples[介質],I45)))</f>
        <v/>
      </c>
      <c r="K45" s="92">
        <f>IF(OR(COUNTA($A45:$D45)=0,T45=0),"",IF(INDEX(DB_04[標準單位],T45)="","",INDEX(DB_04[標準單位],T45)))</f>
        <v/>
      </c>
      <c r="L45" s="92">
        <f>IF(COUNTA($A45:$D45)=0,"",IF(OR(C45="",K45=""),"",IF(C45=K45,1,IF(COUNTIFS(DB_06[換算鍵],C45&amp;"|"&amp;K45,DB_06[換算檢查],"OK")=1,INDEX(DB_06[乘數],MATCH(C45&amp;"|"&amp;K45,DB_06[換算鍵],0)),""))))</f>
        <v/>
      </c>
      <c r="M45" s="92">
        <f>UPPER(SUBSTITUTE(SUBSTITUTE(SUBSTITUTE(SUBSTITUTE(TRIM(B45&amp;""),"＜","&lt;"),"＞","&gt;"),"≤","&lt;="),"≥","&gt;="))</f>
        <v/>
      </c>
      <c r="N45" s="92">
        <f>IF(M45="","",IF(OR(M45="ND",M45="N.D."),"ND",IF(OR(M45="NA",M45="N/A",M45="N.A."),"NA",IF(OR(LEFT(M45,2)="&lt;=",LEFT(M45,2)="&gt;="),LEFT(M45,2),IF(OR(LEFT(M45,1)="&lt;",LEFT(M45,1)="&gt;"),LEFT(M45,1),"數值")))))</f>
        <v/>
      </c>
      <c r="O45" s="92">
        <f>IF(OR(N45="",N45="ND",N45="NA"),"",IF(N45="數值",M45,TRIM(MID(M45,LEN(N45)+1,99))))</f>
        <v/>
      </c>
      <c r="P45" s="92">
        <f>IF(O45="","",IFERROR(IF(OR(OR(ISNUMBER(SEARCH("%",O45)),ISNUMBER(SEARCH(" ",O45)),ISNUMBER(SEARCH(",",O45))),OR(SUBSTITUTE(SUBSTITUTE(SUBSTITUTE(SUBSTITUTE(SUBSTITUTE(SUBSTITUTE(SUBSTITUTE(SUBSTITUTE(SUBSTITUTE(SUBSTITUTE(SUBSTITUTE(SUBSTITUTE(SUBSTITUTE(SUBSTITUTE(SUBSTITUTE(SUBSTITUTE(SUBSTITUTE(SUBSTITUTE("x"&amp;O45,"0",""),"1",""),"2",""),"3",""),"4",""),"5",""),"6",""),"7",""),"8",""),"9",""),".",""),"E",""),"+",""),"-",""),"&lt;",""),"&gt;",""),"=","")," ","")&lt;&gt;"x",ISNUMBER(SEARCH("-",SUBSTITUTE(SUBSTITUTE("x"&amp;MID(O45,2,99),"E-","E"),"E+","E"))),ISNUMBER(SEARCH("+",SUBSTITUTE(SUBSTITUTE("x"&amp;MID(O45,2,99),"E-","E"),"E+","E"))))),"",IF(ISNUMBER(AH45),AH45,NA())),""))</f>
        <v/>
      </c>
      <c r="Q45" s="92">
        <f>IF(AND(ISNUMBER(L45),ISNUMBER(P45)),L45*P45,"")</f>
        <v/>
      </c>
      <c r="R45" s="92">
        <f>IF(OR(COUNTA($A45:$D45)=0,U45=0),"",IF(INDEX(DB_05[管制設定值],U45)="","",INDEX(DB_05[管制設定值],U45)))</f>
        <v/>
      </c>
      <c r="S45" s="92">
        <f>IF(OR(COUNTA($A45:$D45)=0,U45=0),"",IF(INDEX(DB_05[監測設定值],U45)="","",INDEX(DB_05[監測設定值],U45)))</f>
        <v/>
      </c>
      <c r="T45" s="92">
        <f>IF(COUNTA($A45:$D45)=0,"",IF(COUNTIFS(DB_04[測項鍵],V45)=1,MATCH(V45,DB_04[測項鍵],0),0))</f>
        <v/>
      </c>
      <c r="U45" s="92">
        <f>IF(COUNTA($A45:$D45)=0,"",IF(COUNTIFS(DB_05[標準鍵],W45)=1,MATCH(W45,DB_05[標準鍵],0),0))</f>
        <v/>
      </c>
      <c r="V45" s="92">
        <f>IF(OR(J45="",A45=""),"",J45&amp;"|"&amp;A45)</f>
        <v/>
      </c>
      <c r="W45" s="92">
        <f>IF(OR('07_QAQC'!$C$3="",V45=""),"",'07_QAQC'!$C$3&amp;"|"&amp;V45)</f>
        <v/>
      </c>
      <c r="X45" s="92">
        <f>IF(OR(H45="",A45=""),"",LEN(H45)&amp;":"&amp;H45&amp;LEN(A45)&amp;":"&amp;A45)</f>
        <v/>
      </c>
      <c r="Y45" s="93">
        <f>IF(COUNTA($A45:$D45)=0,"",IF(I45=0,"樣品未建或重複",IF(INDEX(Samples[樣品檢查],I45)="","OK",INDEX(Samples[樣品檢查],I45))))</f>
        <v/>
      </c>
      <c r="Z45" s="93">
        <f>IF(COUNTA($A45:$D45)=0,"",IF(B45="","缺原始值",IF(OR(B45="-",B45="--"),"無資料",IF(N45="NA","不適用",IF(N45="ND","OK",IF(NOT(ISNUMBER(P45)),"格式待核",IF(AND(N45&lt;&gt;"數值",P45&lt;0),"界限不得為負","OK")))))))</f>
        <v/>
      </c>
      <c r="AA45" s="93">
        <f>IF(COUNTA(A45:D45)=0,"",IF(OR(A45="",H45=""),"缺識別欄位",IF(IF(LEN("="&amp;SUBSTITUTE(SUBSTITUTE(SUBSTITUTE(X45,"~","~~"),"*","~*"),"?","~?"))&lt;=255,COUNTIF(Results[結果識別鍵],"="&amp;SUBSTITUTE(SUBSTITUTE(SUBSTITUTE(X45,"~","~~"),"*","~*"),"?","~?")),COUNTIFS(Results[關聯鍵],"="&amp;SUBSTITUTE(SUBSTITUTE(SUBSTITUTE(H45,"~","~~"),"*","~*"),"?","~?"),Results[分析項目],"="&amp;SUBSTITUTE(SUBSTITUTE(SUBSTITUTE(A45,"~","~~"),"*","~*"),"?","~?")))&gt;1,"同關聯鍵測項重複","OK")))</f>
        <v/>
      </c>
      <c r="AB45" s="93">
        <f>IF(COUNTA($A45:$D45)=0,"",IF(OR(C45="",K45=""),"缺單位",IF(NOT(ISNUMBER(L45)),"單位不相容",IF(L45=1,"OK","已換算"))))</f>
        <v/>
      </c>
      <c r="AC45" s="93">
        <f>IF(COUNTA($A45:$D45)=0,"",IF('07_QAQC'!$C$3="","未選比較版本",IF(U45=0,IF(COUNTIFS(DB_05[標準鍵],W45)&gt;1,"標準鍵重複","未訂此介質／測項門檻"),IF(INDEX(DB_05[版本檢查],U45)&lt;&gt;"OK","標準主檔待核",IF(INDEX(DB_05[標準單位],U45)&lt;&gt;K45,"標準單位不符",IF(INDEX(DB_05[核對狀態],U45)="停用","停用",IF(F45="","缺採樣日期",IF(OR(AND(INDEX(DB_05[生效日],U45)&lt;&gt;"",F45&lt;INDEX(DB_05[生效日],U45)),AND(INDEX(DB_05[失效日],U45)&lt;&gt;"",F45&gt;INDEX(DB_05[失效日],U45))),"日期不適用",INDEX(DB_05[核對狀態],U45)))))))))</f>
        <v/>
      </c>
      <c r="AD45" s="93">
        <f>IF(COUNTA($A45:$D45)=0,"",IF(AC45="未訂此介質／測項門檻",AC45,IF(AC45&lt;&gt;"已核對","標準待核",IF(R45="","未訂管制值",IF(NOT(ISNUMBER(L45)),"單位待核",IF(N45="ND","無法判定（ND無界限）",IF(N45="NA","不適用",IF(Z45&lt;&gt;"OK",Z45,IF(N45="數值",IF(Q45&gt;=R45,"達管制值","未達管制值"),IF(OR(N45="&lt;",N45="&lt;="),IF(OR(Q45&lt;R45,AND(N45="&lt;",Q45=R45)),"未達管制值","無法判定"),IF(OR(N45="&gt;",N45="&gt;="),IF(Q45&gt;=R45,"達管制值","無法判定"),"格式待核")))))))))))</f>
        <v/>
      </c>
      <c r="AE45" s="93">
        <f>IF(COUNTA($A45:$D45)=0,"",IF(AC45="未訂此介質／測項門檻",AC45,IF(AC45&lt;&gt;"已核對","標準待核",IF(S45="","未訂監測值",IF(NOT(ISNUMBER(L45)),"單位待核",IF(N45="ND","無法判定（ND無界限）",IF(N45="NA","不適用",IF(Z45&lt;&gt;"OK",Z45,IF(N45="數值",IF(Q45&gt;=S45,"達監測值","未達監測值"),IF(OR(N45="&lt;",N45="&lt;="),IF(OR(Q45&lt;S45,AND(N45="&lt;",Q45=S45)),"未達監測值","無法判定"),IF(OR(N45="&gt;",N45="&gt;="),IF(Q45&gt;=S45,"達監測值","無法判定"),"格式待核")))))))))))</f>
        <v/>
      </c>
      <c r="AF45" s="93">
        <f>IF(COUNTA($A45:$D45)=0,"",IF(OR(E45="",A45="",B45="",C45=""),"缺必要欄位",IF(Y45&lt;&gt;"OK","樣品資料待補",IF(T45=0,"測項未建或重複",IF(INDEX(DB_04[啟用],T45)&lt;&gt;"是","測項停用",IF(AND(Z45&lt;&gt;"OK",Z45&lt;&gt;"不適用"),Z45,IF(AND(AB45&lt;&gt;"OK",AB45&lt;&gt;"已換算"),"單位待核",IF(AA45&lt;&gt;"OK",AA45,"OK"))))))))</f>
        <v/>
      </c>
      <c r="AG45" s="93">
        <f>IF(COUNTA($A45:$D45)=0,"",IF(N45="ND","ND取0",IF(OR(N45="&lt;",N45="&lt;="),"界限除以2",IF(N45="NA","不適用",IF(OR(N45="&gt;",N45="&gt;="),"保留界限數值","保留原數值")))))</f>
        <v/>
      </c>
      <c r="AH45" s="92">
        <f>IF(O45="","",IFERROR(_xlfn.NUMBERVALUE(O45,".",","),""))</f>
        <v/>
      </c>
      <c r="AI45" s="92">
        <f>IF(H45="","",IFERROR(MATCH(H45,Samples[樣品編號],0),0))</f>
        <v/>
      </c>
    </row>
    <row r="46">
      <c r="A46" s="27" t="inlineStr">
        <is>
          <t>DO</t>
        </is>
      </c>
      <c r="B46" s="28" t="inlineStr">
        <is>
          <t>5.1</t>
        </is>
      </c>
      <c r="C46" s="27" t="inlineStr">
        <is>
          <t>mg/L</t>
        </is>
      </c>
      <c r="D46" s="39" t="inlineStr">
        <is>
          <t>合成資料，非實測；method=field</t>
        </is>
      </c>
      <c r="E46" s="29">
        <f>IF(OR(I46="",I46=0),"",IF(INDEX(Samples[監測點],I46)="","",INDEX(Samples[監測點],I46)))</f>
        <v/>
      </c>
      <c r="F46" s="90">
        <f>IF(OR(I46="",I46=0),"",IF(INDEX(Samples[採樣日期],I46)="","",INDEX(Samples[採樣日期],I46)))</f>
        <v/>
      </c>
      <c r="G46" s="91">
        <f>IF(OR(M46="",M46="NA",M46="N/A"),"",IF(OR(M46="ND",M46="N.D."),0,IFERROR(IF(OR(OR(ISNUMBER(SEARCH("%",O46)),ISNUMBER(SEARCH(" ",O46)),ISNUMBER(SEARCH(",",O46))),OR(SUBSTITUTE(SUBSTITUTE(SUBSTITUTE(SUBSTITUTE(SUBSTITUTE(SUBSTITUTE(SUBSTITUTE(SUBSTITUTE(SUBSTITUTE(SUBSTITUTE(SUBSTITUTE(SUBSTITUTE(SUBSTITUTE(SUBSTITUTE(SUBSTITUTE(SUBSTITUTE(SUBSTITUTE(SUBSTITUTE("x"&amp;M46,"0",""),"1",""),"2",""),"3",""),"4",""),"5",""),"6",""),"7",""),"8",""),"9",""),".",""),"E",""),"+",""),"-",""),"&lt;",""),"&gt;",""),"=","")," ","")&lt;&gt;"x",ISNUMBER(SEARCH("-",SUBSTITUTE(SUBSTITUTE("x"&amp;MID(M46,2,99),"E-","E"),"E+","E"))),ISNUMBER(SEARCH("+",SUBSTITUTE(SUBSTITUTE("x"&amp;MID(M46,2,99),"E-","E"),"E+","E"))))),"",IF(AND(OR(LEFT(M46,1)="&lt;",LEFT(M46,1)="&gt;"),IF(O46="",0,IF(ISNUMBER(AH46),AH46,NA()))&lt;0),"",IF(O46="",0,IF(ISNUMBER(AH46),AH46,NA()))/IF(LEFT(M46,1)="&lt;",2,1))),"")))</f>
        <v/>
      </c>
      <c r="H46" s="57" t="inlineStr">
        <is>
          <t>BH01-W_20260415_03</t>
        </is>
      </c>
      <c r="I46" s="92">
        <f>IF(OR(H46="",AI46=0),0,IF(INDEX(Samples[樣品重複筆數],AI46)=1,AI46,0))</f>
        <v/>
      </c>
      <c r="J46" s="92">
        <f>IF(OR(COUNTA($A46:$D46)=0,I46=0),"",IF(INDEX(Samples[介質],I46)="","",INDEX(Samples[介質],I46)))</f>
        <v/>
      </c>
      <c r="K46" s="92">
        <f>IF(OR(COUNTA($A46:$D46)=0,T46=0),"",IF(INDEX(DB_04[標準單位],T46)="","",INDEX(DB_04[標準單位],T46)))</f>
        <v/>
      </c>
      <c r="L46" s="92">
        <f>IF(COUNTA($A46:$D46)=0,"",IF(OR(C46="",K46=""),"",IF(C46=K46,1,IF(COUNTIFS(DB_06[換算鍵],C46&amp;"|"&amp;K46,DB_06[換算檢查],"OK")=1,INDEX(DB_06[乘數],MATCH(C46&amp;"|"&amp;K46,DB_06[換算鍵],0)),""))))</f>
        <v/>
      </c>
      <c r="M46" s="92">
        <f>UPPER(SUBSTITUTE(SUBSTITUTE(SUBSTITUTE(SUBSTITUTE(TRIM(B46&amp;""),"＜","&lt;"),"＞","&gt;"),"≤","&lt;="),"≥","&gt;="))</f>
        <v/>
      </c>
      <c r="N46" s="92">
        <f>IF(M46="","",IF(OR(M46="ND",M46="N.D."),"ND",IF(OR(M46="NA",M46="N/A",M46="N.A."),"NA",IF(OR(LEFT(M46,2)="&lt;=",LEFT(M46,2)="&gt;="),LEFT(M46,2),IF(OR(LEFT(M46,1)="&lt;",LEFT(M46,1)="&gt;"),LEFT(M46,1),"數值")))))</f>
        <v/>
      </c>
      <c r="O46" s="92">
        <f>IF(OR(N46="",N46="ND",N46="NA"),"",IF(N46="數值",M46,TRIM(MID(M46,LEN(N46)+1,99))))</f>
        <v/>
      </c>
      <c r="P46" s="92">
        <f>IF(O46="","",IFERROR(IF(OR(OR(ISNUMBER(SEARCH("%",O46)),ISNUMBER(SEARCH(" ",O46)),ISNUMBER(SEARCH(",",O46))),OR(SUBSTITUTE(SUBSTITUTE(SUBSTITUTE(SUBSTITUTE(SUBSTITUTE(SUBSTITUTE(SUBSTITUTE(SUBSTITUTE(SUBSTITUTE(SUBSTITUTE(SUBSTITUTE(SUBSTITUTE(SUBSTITUTE(SUBSTITUTE(SUBSTITUTE(SUBSTITUTE(SUBSTITUTE(SUBSTITUTE("x"&amp;O46,"0",""),"1",""),"2",""),"3",""),"4",""),"5",""),"6",""),"7",""),"8",""),"9",""),".",""),"E",""),"+",""),"-",""),"&lt;",""),"&gt;",""),"=","")," ","")&lt;&gt;"x",ISNUMBER(SEARCH("-",SUBSTITUTE(SUBSTITUTE("x"&amp;MID(O46,2,99),"E-","E"),"E+","E"))),ISNUMBER(SEARCH("+",SUBSTITUTE(SUBSTITUTE("x"&amp;MID(O46,2,99),"E-","E"),"E+","E"))))),"",IF(ISNUMBER(AH46),AH46,NA())),""))</f>
        <v/>
      </c>
      <c r="Q46" s="92">
        <f>IF(AND(ISNUMBER(L46),ISNUMBER(P46)),L46*P46,"")</f>
        <v/>
      </c>
      <c r="R46" s="92">
        <f>IF(OR(COUNTA($A46:$D46)=0,U46=0),"",IF(INDEX(DB_05[管制設定值],U46)="","",INDEX(DB_05[管制設定值],U46)))</f>
        <v/>
      </c>
      <c r="S46" s="92">
        <f>IF(OR(COUNTA($A46:$D46)=0,U46=0),"",IF(INDEX(DB_05[監測設定值],U46)="","",INDEX(DB_05[監測設定值],U46)))</f>
        <v/>
      </c>
      <c r="T46" s="92">
        <f>IF(COUNTA($A46:$D46)=0,"",IF(COUNTIFS(DB_04[測項鍵],V46)=1,MATCH(V46,DB_04[測項鍵],0),0))</f>
        <v/>
      </c>
      <c r="U46" s="92">
        <f>IF(COUNTA($A46:$D46)=0,"",IF(COUNTIFS(DB_05[標準鍵],W46)=1,MATCH(W46,DB_05[標準鍵],0),0))</f>
        <v/>
      </c>
      <c r="V46" s="92">
        <f>IF(OR(J46="",A46=""),"",J46&amp;"|"&amp;A46)</f>
        <v/>
      </c>
      <c r="W46" s="92">
        <f>IF(OR('07_QAQC'!$C$3="",V46=""),"",'07_QAQC'!$C$3&amp;"|"&amp;V46)</f>
        <v/>
      </c>
      <c r="X46" s="92">
        <f>IF(OR(H46="",A46=""),"",LEN(H46)&amp;":"&amp;H46&amp;LEN(A46)&amp;":"&amp;A46)</f>
        <v/>
      </c>
      <c r="Y46" s="93">
        <f>IF(COUNTA($A46:$D46)=0,"",IF(I46=0,"樣品未建或重複",IF(INDEX(Samples[樣品檢查],I46)="","OK",INDEX(Samples[樣品檢查],I46))))</f>
        <v/>
      </c>
      <c r="Z46" s="93">
        <f>IF(COUNTA($A46:$D46)=0,"",IF(B46="","缺原始值",IF(OR(B46="-",B46="--"),"無資料",IF(N46="NA","不適用",IF(N46="ND","OK",IF(NOT(ISNUMBER(P46)),"格式待核",IF(AND(N46&lt;&gt;"數值",P46&lt;0),"界限不得為負","OK")))))))</f>
        <v/>
      </c>
      <c r="AA46" s="93">
        <f>IF(COUNTA(A46:D46)=0,"",IF(OR(A46="",H46=""),"缺識別欄位",IF(IF(LEN("="&amp;SUBSTITUTE(SUBSTITUTE(SUBSTITUTE(X46,"~","~~"),"*","~*"),"?","~?"))&lt;=255,COUNTIF(Results[結果識別鍵],"="&amp;SUBSTITUTE(SUBSTITUTE(SUBSTITUTE(X46,"~","~~"),"*","~*"),"?","~?")),COUNTIFS(Results[關聯鍵],"="&amp;SUBSTITUTE(SUBSTITUTE(SUBSTITUTE(H46,"~","~~"),"*","~*"),"?","~?"),Results[分析項目],"="&amp;SUBSTITUTE(SUBSTITUTE(SUBSTITUTE(A46,"~","~~"),"*","~*"),"?","~?")))&gt;1,"同關聯鍵測項重複","OK")))</f>
        <v/>
      </c>
      <c r="AB46" s="93">
        <f>IF(COUNTA($A46:$D46)=0,"",IF(OR(C46="",K46=""),"缺單位",IF(NOT(ISNUMBER(L46)),"單位不相容",IF(L46=1,"OK","已換算"))))</f>
        <v/>
      </c>
      <c r="AC46" s="93">
        <f>IF(COUNTA($A46:$D46)=0,"",IF('07_QAQC'!$C$3="","未選比較版本",IF(U46=0,IF(COUNTIFS(DB_05[標準鍵],W46)&gt;1,"標準鍵重複","未訂此介質／測項門檻"),IF(INDEX(DB_05[版本檢查],U46)&lt;&gt;"OK","標準主檔待核",IF(INDEX(DB_05[標準單位],U46)&lt;&gt;K46,"標準單位不符",IF(INDEX(DB_05[核對狀態],U46)="停用","停用",IF(F46="","缺採樣日期",IF(OR(AND(INDEX(DB_05[生效日],U46)&lt;&gt;"",F46&lt;INDEX(DB_05[生效日],U46)),AND(INDEX(DB_05[失效日],U46)&lt;&gt;"",F46&gt;INDEX(DB_05[失效日],U46))),"日期不適用",INDEX(DB_05[核對狀態],U46)))))))))</f>
        <v/>
      </c>
      <c r="AD46" s="93">
        <f>IF(COUNTA($A46:$D46)=0,"",IF(AC46="未訂此介質／測項門檻",AC46,IF(AC46&lt;&gt;"已核對","標準待核",IF(R46="","未訂管制值",IF(NOT(ISNUMBER(L46)),"單位待核",IF(N46="ND","無法判定（ND無界限）",IF(N46="NA","不適用",IF(Z46&lt;&gt;"OK",Z46,IF(N46="數值",IF(Q46&gt;=R46,"達管制值","未達管制值"),IF(OR(N46="&lt;",N46="&lt;="),IF(OR(Q46&lt;R46,AND(N46="&lt;",Q46=R46)),"未達管制值","無法判定"),IF(OR(N46="&gt;",N46="&gt;="),IF(Q46&gt;=R46,"達管制值","無法判定"),"格式待核")))))))))))</f>
        <v/>
      </c>
      <c r="AE46" s="93">
        <f>IF(COUNTA($A46:$D46)=0,"",IF(AC46="未訂此介質／測項門檻",AC46,IF(AC46&lt;&gt;"已核對","標準待核",IF(S46="","未訂監測值",IF(NOT(ISNUMBER(L46)),"單位待核",IF(N46="ND","無法判定（ND無界限）",IF(N46="NA","不適用",IF(Z46&lt;&gt;"OK",Z46,IF(N46="數值",IF(Q46&gt;=S46,"達監測值","未達監測值"),IF(OR(N46="&lt;",N46="&lt;="),IF(OR(Q46&lt;S46,AND(N46="&lt;",Q46=S46)),"未達監測值","無法判定"),IF(OR(N46="&gt;",N46="&gt;="),IF(Q46&gt;=S46,"達監測值","無法判定"),"格式待核")))))))))))</f>
        <v/>
      </c>
      <c r="AF46" s="93">
        <f>IF(COUNTA($A46:$D46)=0,"",IF(OR(E46="",A46="",B46="",C46=""),"缺必要欄位",IF(Y46&lt;&gt;"OK","樣品資料待補",IF(T46=0,"測項未建或重複",IF(INDEX(DB_04[啟用],T46)&lt;&gt;"是","測項停用",IF(AND(Z46&lt;&gt;"OK",Z46&lt;&gt;"不適用"),Z46,IF(AND(AB46&lt;&gt;"OK",AB46&lt;&gt;"已換算"),"單位待核",IF(AA46&lt;&gt;"OK",AA46,"OK"))))))))</f>
        <v/>
      </c>
      <c r="AG46" s="93">
        <f>IF(COUNTA($A46:$D46)=0,"",IF(N46="ND","ND取0",IF(OR(N46="&lt;",N46="&lt;="),"界限除以2",IF(N46="NA","不適用",IF(OR(N46="&gt;",N46="&gt;="),"保留界限數值","保留原數值")))))</f>
        <v/>
      </c>
      <c r="AH46" s="92">
        <f>IF(O46="","",IFERROR(_xlfn.NUMBERVALUE(O46,".",","),""))</f>
        <v/>
      </c>
      <c r="AI46" s="92">
        <f>IF(H46="","",IFERROR(MATCH(H46,Samples[樣品編號],0),0))</f>
        <v/>
      </c>
    </row>
    <row r="47">
      <c r="A47" s="27" t="inlineStr">
        <is>
          <t>溶氧飽和度</t>
        </is>
      </c>
      <c r="B47" s="28" t="inlineStr">
        <is>
          <t>63</t>
        </is>
      </c>
      <c r="C47" s="27" t="inlineStr">
        <is>
          <t>%</t>
        </is>
      </c>
      <c r="D47" s="39" t="inlineStr">
        <is>
          <t>合成資料，非實測；method=field</t>
        </is>
      </c>
      <c r="E47" s="29">
        <f>IF(OR(I47="",I47=0),"",IF(INDEX(Samples[監測點],I47)="","",INDEX(Samples[監測點],I47)))</f>
        <v/>
      </c>
      <c r="F47" s="90">
        <f>IF(OR(I47="",I47=0),"",IF(INDEX(Samples[採樣日期],I47)="","",INDEX(Samples[採樣日期],I47)))</f>
        <v/>
      </c>
      <c r="G47" s="91">
        <f>IF(OR(M47="",M47="NA",M47="N/A"),"",IF(OR(M47="ND",M47="N.D."),0,IFERROR(IF(OR(OR(ISNUMBER(SEARCH("%",O47)),ISNUMBER(SEARCH(" ",O47)),ISNUMBER(SEARCH(",",O47))),OR(SUBSTITUTE(SUBSTITUTE(SUBSTITUTE(SUBSTITUTE(SUBSTITUTE(SUBSTITUTE(SUBSTITUTE(SUBSTITUTE(SUBSTITUTE(SUBSTITUTE(SUBSTITUTE(SUBSTITUTE(SUBSTITUTE(SUBSTITUTE(SUBSTITUTE(SUBSTITUTE(SUBSTITUTE(SUBSTITUTE("x"&amp;M47,"0",""),"1",""),"2",""),"3",""),"4",""),"5",""),"6",""),"7",""),"8",""),"9",""),".",""),"E",""),"+",""),"-",""),"&lt;",""),"&gt;",""),"=","")," ","")&lt;&gt;"x",ISNUMBER(SEARCH("-",SUBSTITUTE(SUBSTITUTE("x"&amp;MID(M47,2,99),"E-","E"),"E+","E"))),ISNUMBER(SEARCH("+",SUBSTITUTE(SUBSTITUTE("x"&amp;MID(M47,2,99),"E-","E"),"E+","E"))))),"",IF(AND(OR(LEFT(M47,1)="&lt;",LEFT(M47,1)="&gt;"),IF(O47="",0,IF(ISNUMBER(AH47),AH47,NA()))&lt;0),"",IF(O47="",0,IF(ISNUMBER(AH47),AH47,NA()))/IF(LEFT(M47,1)="&lt;",2,1))),"")))</f>
        <v/>
      </c>
      <c r="H47" s="57" t="inlineStr">
        <is>
          <t>BH01-W_20260415_03</t>
        </is>
      </c>
      <c r="I47" s="92">
        <f>IF(OR(H47="",AI47=0),0,IF(INDEX(Samples[樣品重複筆數],AI47)=1,AI47,0))</f>
        <v/>
      </c>
      <c r="J47" s="92">
        <f>IF(OR(COUNTA($A47:$D47)=0,I47=0),"",IF(INDEX(Samples[介質],I47)="","",INDEX(Samples[介質],I47)))</f>
        <v/>
      </c>
      <c r="K47" s="92">
        <f>IF(OR(COUNTA($A47:$D47)=0,T47=0),"",IF(INDEX(DB_04[標準單位],T47)="","",INDEX(DB_04[標準單位],T47)))</f>
        <v/>
      </c>
      <c r="L47" s="92">
        <f>IF(COUNTA($A47:$D47)=0,"",IF(OR(C47="",K47=""),"",IF(C47=K47,1,IF(COUNTIFS(DB_06[換算鍵],C47&amp;"|"&amp;K47,DB_06[換算檢查],"OK")=1,INDEX(DB_06[乘數],MATCH(C47&amp;"|"&amp;K47,DB_06[換算鍵],0)),""))))</f>
        <v/>
      </c>
      <c r="M47" s="92">
        <f>UPPER(SUBSTITUTE(SUBSTITUTE(SUBSTITUTE(SUBSTITUTE(TRIM(B47&amp;""),"＜","&lt;"),"＞","&gt;"),"≤","&lt;="),"≥","&gt;="))</f>
        <v/>
      </c>
      <c r="N47" s="92">
        <f>IF(M47="","",IF(OR(M47="ND",M47="N.D."),"ND",IF(OR(M47="NA",M47="N/A",M47="N.A."),"NA",IF(OR(LEFT(M47,2)="&lt;=",LEFT(M47,2)="&gt;="),LEFT(M47,2),IF(OR(LEFT(M47,1)="&lt;",LEFT(M47,1)="&gt;"),LEFT(M47,1),"數值")))))</f>
        <v/>
      </c>
      <c r="O47" s="92">
        <f>IF(OR(N47="",N47="ND",N47="NA"),"",IF(N47="數值",M47,TRIM(MID(M47,LEN(N47)+1,99))))</f>
        <v/>
      </c>
      <c r="P47" s="92">
        <f>IF(O47="","",IFERROR(IF(OR(OR(ISNUMBER(SEARCH("%",O47)),ISNUMBER(SEARCH(" ",O47)),ISNUMBER(SEARCH(",",O47))),OR(SUBSTITUTE(SUBSTITUTE(SUBSTITUTE(SUBSTITUTE(SUBSTITUTE(SUBSTITUTE(SUBSTITUTE(SUBSTITUTE(SUBSTITUTE(SUBSTITUTE(SUBSTITUTE(SUBSTITUTE(SUBSTITUTE(SUBSTITUTE(SUBSTITUTE(SUBSTITUTE(SUBSTITUTE(SUBSTITUTE("x"&amp;O47,"0",""),"1",""),"2",""),"3",""),"4",""),"5",""),"6",""),"7",""),"8",""),"9",""),".",""),"E",""),"+",""),"-",""),"&lt;",""),"&gt;",""),"=","")," ","")&lt;&gt;"x",ISNUMBER(SEARCH("-",SUBSTITUTE(SUBSTITUTE("x"&amp;MID(O47,2,99),"E-","E"),"E+","E"))),ISNUMBER(SEARCH("+",SUBSTITUTE(SUBSTITUTE("x"&amp;MID(O47,2,99),"E-","E"),"E+","E"))))),"",IF(ISNUMBER(AH47),AH47,NA())),""))</f>
        <v/>
      </c>
      <c r="Q47" s="92">
        <f>IF(AND(ISNUMBER(L47),ISNUMBER(P47)),L47*P47,"")</f>
        <v/>
      </c>
      <c r="R47" s="92">
        <f>IF(OR(COUNTA($A47:$D47)=0,U47=0),"",IF(INDEX(DB_05[管制設定值],U47)="","",INDEX(DB_05[管制設定值],U47)))</f>
        <v/>
      </c>
      <c r="S47" s="92">
        <f>IF(OR(COUNTA($A47:$D47)=0,U47=0),"",IF(INDEX(DB_05[監測設定值],U47)="","",INDEX(DB_05[監測設定值],U47)))</f>
        <v/>
      </c>
      <c r="T47" s="92">
        <f>IF(COUNTA($A47:$D47)=0,"",IF(COUNTIFS(DB_04[測項鍵],V47)=1,MATCH(V47,DB_04[測項鍵],0),0))</f>
        <v/>
      </c>
      <c r="U47" s="92">
        <f>IF(COUNTA($A47:$D47)=0,"",IF(COUNTIFS(DB_05[標準鍵],W47)=1,MATCH(W47,DB_05[標準鍵],0),0))</f>
        <v/>
      </c>
      <c r="V47" s="92">
        <f>IF(OR(J47="",A47=""),"",J47&amp;"|"&amp;A47)</f>
        <v/>
      </c>
      <c r="W47" s="92">
        <f>IF(OR('07_QAQC'!$C$3="",V47=""),"",'07_QAQC'!$C$3&amp;"|"&amp;V47)</f>
        <v/>
      </c>
      <c r="X47" s="92">
        <f>IF(OR(H47="",A47=""),"",LEN(H47)&amp;":"&amp;H47&amp;LEN(A47)&amp;":"&amp;A47)</f>
        <v/>
      </c>
      <c r="Y47" s="93">
        <f>IF(COUNTA($A47:$D47)=0,"",IF(I47=0,"樣品未建或重複",IF(INDEX(Samples[樣品檢查],I47)="","OK",INDEX(Samples[樣品檢查],I47))))</f>
        <v/>
      </c>
      <c r="Z47" s="93">
        <f>IF(COUNTA($A47:$D47)=0,"",IF(B47="","缺原始值",IF(OR(B47="-",B47="--"),"無資料",IF(N47="NA","不適用",IF(N47="ND","OK",IF(NOT(ISNUMBER(P47)),"格式待核",IF(AND(N47&lt;&gt;"數值",P47&lt;0),"界限不得為負","OK")))))))</f>
        <v/>
      </c>
      <c r="AA47" s="93">
        <f>IF(COUNTA(A47:D47)=0,"",IF(OR(A47="",H47=""),"缺識別欄位",IF(IF(LEN("="&amp;SUBSTITUTE(SUBSTITUTE(SUBSTITUTE(X47,"~","~~"),"*","~*"),"?","~?"))&lt;=255,COUNTIF(Results[結果識別鍵],"="&amp;SUBSTITUTE(SUBSTITUTE(SUBSTITUTE(X47,"~","~~"),"*","~*"),"?","~?")),COUNTIFS(Results[關聯鍵],"="&amp;SUBSTITUTE(SUBSTITUTE(SUBSTITUTE(H47,"~","~~"),"*","~*"),"?","~?"),Results[分析項目],"="&amp;SUBSTITUTE(SUBSTITUTE(SUBSTITUTE(A47,"~","~~"),"*","~*"),"?","~?")))&gt;1,"同關聯鍵測項重複","OK")))</f>
        <v/>
      </c>
      <c r="AB47" s="93">
        <f>IF(COUNTA($A47:$D47)=0,"",IF(OR(C47="",K47=""),"缺單位",IF(NOT(ISNUMBER(L47)),"單位不相容",IF(L47=1,"OK","已換算"))))</f>
        <v/>
      </c>
      <c r="AC47" s="93">
        <f>IF(COUNTA($A47:$D47)=0,"",IF('07_QAQC'!$C$3="","未選比較版本",IF(U47=0,IF(COUNTIFS(DB_05[標準鍵],W47)&gt;1,"標準鍵重複","未訂此介質／測項門檻"),IF(INDEX(DB_05[版本檢查],U47)&lt;&gt;"OK","標準主檔待核",IF(INDEX(DB_05[標準單位],U47)&lt;&gt;K47,"標準單位不符",IF(INDEX(DB_05[核對狀態],U47)="停用","停用",IF(F47="","缺採樣日期",IF(OR(AND(INDEX(DB_05[生效日],U47)&lt;&gt;"",F47&lt;INDEX(DB_05[生效日],U47)),AND(INDEX(DB_05[失效日],U47)&lt;&gt;"",F47&gt;INDEX(DB_05[失效日],U47))),"日期不適用",INDEX(DB_05[核對狀態],U47)))))))))</f>
        <v/>
      </c>
      <c r="AD47" s="93">
        <f>IF(COUNTA($A47:$D47)=0,"",IF(AC47="未訂此介質／測項門檻",AC47,IF(AC47&lt;&gt;"已核對","標準待核",IF(R47="","未訂管制值",IF(NOT(ISNUMBER(L47)),"單位待核",IF(N47="ND","無法判定（ND無界限）",IF(N47="NA","不適用",IF(Z47&lt;&gt;"OK",Z47,IF(N47="數值",IF(Q47&gt;=R47,"達管制值","未達管制值"),IF(OR(N47="&lt;",N47="&lt;="),IF(OR(Q47&lt;R47,AND(N47="&lt;",Q47=R47)),"未達管制值","無法判定"),IF(OR(N47="&gt;",N47="&gt;="),IF(Q47&gt;=R47,"達管制值","無法判定"),"格式待核")))))))))))</f>
        <v/>
      </c>
      <c r="AE47" s="93">
        <f>IF(COUNTA($A47:$D47)=0,"",IF(AC47="未訂此介質／測項門檻",AC47,IF(AC47&lt;&gt;"已核對","標準待核",IF(S47="","未訂監測值",IF(NOT(ISNUMBER(L47)),"單位待核",IF(N47="ND","無法判定（ND無界限）",IF(N47="NA","不適用",IF(Z47&lt;&gt;"OK",Z47,IF(N47="數值",IF(Q47&gt;=S47,"達監測值","未達監測值"),IF(OR(N47="&lt;",N47="&lt;="),IF(OR(Q47&lt;S47,AND(N47="&lt;",Q47=S47)),"未達監測值","無法判定"),IF(OR(N47="&gt;",N47="&gt;="),IF(Q47&gt;=S47,"達監測值","無法判定"),"格式待核")))))))))))</f>
        <v/>
      </c>
      <c r="AF47" s="93">
        <f>IF(COUNTA($A47:$D47)=0,"",IF(OR(E47="",A47="",B47="",C47=""),"缺必要欄位",IF(Y47&lt;&gt;"OK","樣品資料待補",IF(T47=0,"測項未建或重複",IF(INDEX(DB_04[啟用],T47)&lt;&gt;"是","測項停用",IF(AND(Z47&lt;&gt;"OK",Z47&lt;&gt;"不適用"),Z47,IF(AND(AB47&lt;&gt;"OK",AB47&lt;&gt;"已換算"),"單位待核",IF(AA47&lt;&gt;"OK",AA47,"OK"))))))))</f>
        <v/>
      </c>
      <c r="AG47" s="93">
        <f>IF(COUNTA($A47:$D47)=0,"",IF(N47="ND","ND取0",IF(OR(N47="&lt;",N47="&lt;="),"界限除以2",IF(N47="NA","不適用",IF(OR(N47="&gt;",N47="&gt;="),"保留界限數值","保留原數值")))))</f>
        <v/>
      </c>
      <c r="AH47" s="92">
        <f>IF(O47="","",IFERROR(_xlfn.NUMBERVALUE(O47,".",","),""))</f>
        <v/>
      </c>
      <c r="AI47" s="92">
        <f>IF(H47="","",IFERROR(MATCH(H47,Samples[樣品編號],0),0))</f>
        <v/>
      </c>
    </row>
    <row r="48">
      <c r="A48" s="27" t="inlineStr">
        <is>
          <t>ORP</t>
        </is>
      </c>
      <c r="B48" s="28" t="inlineStr">
        <is>
          <t>5</t>
        </is>
      </c>
      <c r="C48" s="27" t="inlineStr">
        <is>
          <t>mV</t>
        </is>
      </c>
      <c r="D48" s="39" t="inlineStr">
        <is>
          <t>合成資料，非實測；method=field; reference_electrode=Ag/AgCl; calibration=verified</t>
        </is>
      </c>
      <c r="E48" s="29">
        <f>IF(OR(I48="",I48=0),"",IF(INDEX(Samples[監測點],I48)="","",INDEX(Samples[監測點],I48)))</f>
        <v/>
      </c>
      <c r="F48" s="90">
        <f>IF(OR(I48="",I48=0),"",IF(INDEX(Samples[採樣日期],I48)="","",INDEX(Samples[採樣日期],I48)))</f>
        <v/>
      </c>
      <c r="G48" s="91">
        <f>IF(OR(M48="",M48="NA",M48="N/A"),"",IF(OR(M48="ND",M48="N.D."),0,IFERROR(IF(OR(OR(ISNUMBER(SEARCH("%",O48)),ISNUMBER(SEARCH(" ",O48)),ISNUMBER(SEARCH(",",O48))),OR(SUBSTITUTE(SUBSTITUTE(SUBSTITUTE(SUBSTITUTE(SUBSTITUTE(SUBSTITUTE(SUBSTITUTE(SUBSTITUTE(SUBSTITUTE(SUBSTITUTE(SUBSTITUTE(SUBSTITUTE(SUBSTITUTE(SUBSTITUTE(SUBSTITUTE(SUBSTITUTE(SUBSTITUTE(SUBSTITUTE("x"&amp;M48,"0",""),"1",""),"2",""),"3",""),"4",""),"5",""),"6",""),"7",""),"8",""),"9",""),".",""),"E",""),"+",""),"-",""),"&lt;",""),"&gt;",""),"=","")," ","")&lt;&gt;"x",ISNUMBER(SEARCH("-",SUBSTITUTE(SUBSTITUTE("x"&amp;MID(M48,2,99),"E-","E"),"E+","E"))),ISNUMBER(SEARCH("+",SUBSTITUTE(SUBSTITUTE("x"&amp;MID(M48,2,99),"E-","E"),"E+","E"))))),"",IF(AND(OR(LEFT(M48,1)="&lt;",LEFT(M48,1)="&gt;"),IF(O48="",0,IF(ISNUMBER(AH48),AH48,NA()))&lt;0),"",IF(O48="",0,IF(ISNUMBER(AH48),AH48,NA()))/IF(LEFT(M48,1)="&lt;",2,1))),"")))</f>
        <v/>
      </c>
      <c r="H48" s="57" t="inlineStr">
        <is>
          <t>BH01-W_20260415_03</t>
        </is>
      </c>
      <c r="I48" s="92">
        <f>IF(OR(H48="",AI48=0),0,IF(INDEX(Samples[樣品重複筆數],AI48)=1,AI48,0))</f>
        <v/>
      </c>
      <c r="J48" s="92">
        <f>IF(OR(COUNTA($A48:$D48)=0,I48=0),"",IF(INDEX(Samples[介質],I48)="","",INDEX(Samples[介質],I48)))</f>
        <v/>
      </c>
      <c r="K48" s="92">
        <f>IF(OR(COUNTA($A48:$D48)=0,T48=0),"",IF(INDEX(DB_04[標準單位],T48)="","",INDEX(DB_04[標準單位],T48)))</f>
        <v/>
      </c>
      <c r="L48" s="92">
        <f>IF(COUNTA($A48:$D48)=0,"",IF(OR(C48="",K48=""),"",IF(C48=K48,1,IF(COUNTIFS(DB_06[換算鍵],C48&amp;"|"&amp;K48,DB_06[換算檢查],"OK")=1,INDEX(DB_06[乘數],MATCH(C48&amp;"|"&amp;K48,DB_06[換算鍵],0)),""))))</f>
        <v/>
      </c>
      <c r="M48" s="92">
        <f>UPPER(SUBSTITUTE(SUBSTITUTE(SUBSTITUTE(SUBSTITUTE(TRIM(B48&amp;""),"＜","&lt;"),"＞","&gt;"),"≤","&lt;="),"≥","&gt;="))</f>
        <v/>
      </c>
      <c r="N48" s="92">
        <f>IF(M48="","",IF(OR(M48="ND",M48="N.D."),"ND",IF(OR(M48="NA",M48="N/A",M48="N.A."),"NA",IF(OR(LEFT(M48,2)="&lt;=",LEFT(M48,2)="&gt;="),LEFT(M48,2),IF(OR(LEFT(M48,1)="&lt;",LEFT(M48,1)="&gt;"),LEFT(M48,1),"數值")))))</f>
        <v/>
      </c>
      <c r="O48" s="92">
        <f>IF(OR(N48="",N48="ND",N48="NA"),"",IF(N48="數值",M48,TRIM(MID(M48,LEN(N48)+1,99))))</f>
        <v/>
      </c>
      <c r="P48" s="92">
        <f>IF(O48="","",IFERROR(IF(OR(OR(ISNUMBER(SEARCH("%",O48)),ISNUMBER(SEARCH(" ",O48)),ISNUMBER(SEARCH(",",O48))),OR(SUBSTITUTE(SUBSTITUTE(SUBSTITUTE(SUBSTITUTE(SUBSTITUTE(SUBSTITUTE(SUBSTITUTE(SUBSTITUTE(SUBSTITUTE(SUBSTITUTE(SUBSTITUTE(SUBSTITUTE(SUBSTITUTE(SUBSTITUTE(SUBSTITUTE(SUBSTITUTE(SUBSTITUTE(SUBSTITUTE("x"&amp;O48,"0",""),"1",""),"2",""),"3",""),"4",""),"5",""),"6",""),"7",""),"8",""),"9",""),".",""),"E",""),"+",""),"-",""),"&lt;",""),"&gt;",""),"=","")," ","")&lt;&gt;"x",ISNUMBER(SEARCH("-",SUBSTITUTE(SUBSTITUTE("x"&amp;MID(O48,2,99),"E-","E"),"E+","E"))),ISNUMBER(SEARCH("+",SUBSTITUTE(SUBSTITUTE("x"&amp;MID(O48,2,99),"E-","E"),"E+","E"))))),"",IF(ISNUMBER(AH48),AH48,NA())),""))</f>
        <v/>
      </c>
      <c r="Q48" s="92">
        <f>IF(AND(ISNUMBER(L48),ISNUMBER(P48)),L48*P48,"")</f>
        <v/>
      </c>
      <c r="R48" s="92">
        <f>IF(OR(COUNTA($A48:$D48)=0,U48=0),"",IF(INDEX(DB_05[管制設定值],U48)="","",INDEX(DB_05[管制設定值],U48)))</f>
        <v/>
      </c>
      <c r="S48" s="92">
        <f>IF(OR(COUNTA($A48:$D48)=0,U48=0),"",IF(INDEX(DB_05[監測設定值],U48)="","",INDEX(DB_05[監測設定值],U48)))</f>
        <v/>
      </c>
      <c r="T48" s="92">
        <f>IF(COUNTA($A48:$D48)=0,"",IF(COUNTIFS(DB_04[測項鍵],V48)=1,MATCH(V48,DB_04[測項鍵],0),0))</f>
        <v/>
      </c>
      <c r="U48" s="92">
        <f>IF(COUNTA($A48:$D48)=0,"",IF(COUNTIFS(DB_05[標準鍵],W48)=1,MATCH(W48,DB_05[標準鍵],0),0))</f>
        <v/>
      </c>
      <c r="V48" s="92">
        <f>IF(OR(J48="",A48=""),"",J48&amp;"|"&amp;A48)</f>
        <v/>
      </c>
      <c r="W48" s="92">
        <f>IF(OR('07_QAQC'!$C$3="",V48=""),"",'07_QAQC'!$C$3&amp;"|"&amp;V48)</f>
        <v/>
      </c>
      <c r="X48" s="92">
        <f>IF(OR(H48="",A48=""),"",LEN(H48)&amp;":"&amp;H48&amp;LEN(A48)&amp;":"&amp;A48)</f>
        <v/>
      </c>
      <c r="Y48" s="93">
        <f>IF(COUNTA($A48:$D48)=0,"",IF(I48=0,"樣品未建或重複",IF(INDEX(Samples[樣品檢查],I48)="","OK",INDEX(Samples[樣品檢查],I48))))</f>
        <v/>
      </c>
      <c r="Z48" s="93">
        <f>IF(COUNTA($A48:$D48)=0,"",IF(B48="","缺原始值",IF(OR(B48="-",B48="--"),"無資料",IF(N48="NA","不適用",IF(N48="ND","OK",IF(NOT(ISNUMBER(P48)),"格式待核",IF(AND(N48&lt;&gt;"數值",P48&lt;0),"界限不得為負","OK")))))))</f>
        <v/>
      </c>
      <c r="AA48" s="93">
        <f>IF(COUNTA(A48:D48)=0,"",IF(OR(A48="",H48=""),"缺識別欄位",IF(IF(LEN("="&amp;SUBSTITUTE(SUBSTITUTE(SUBSTITUTE(X48,"~","~~"),"*","~*"),"?","~?"))&lt;=255,COUNTIF(Results[結果識別鍵],"="&amp;SUBSTITUTE(SUBSTITUTE(SUBSTITUTE(X48,"~","~~"),"*","~*"),"?","~?")),COUNTIFS(Results[關聯鍵],"="&amp;SUBSTITUTE(SUBSTITUTE(SUBSTITUTE(H48,"~","~~"),"*","~*"),"?","~?"),Results[分析項目],"="&amp;SUBSTITUTE(SUBSTITUTE(SUBSTITUTE(A48,"~","~~"),"*","~*"),"?","~?")))&gt;1,"同關聯鍵測項重複","OK")))</f>
        <v/>
      </c>
      <c r="AB48" s="93">
        <f>IF(COUNTA($A48:$D48)=0,"",IF(OR(C48="",K48=""),"缺單位",IF(NOT(ISNUMBER(L48)),"單位不相容",IF(L48=1,"OK","已換算"))))</f>
        <v/>
      </c>
      <c r="AC48" s="93">
        <f>IF(COUNTA($A48:$D48)=0,"",IF('07_QAQC'!$C$3="","未選比較版本",IF(U48=0,IF(COUNTIFS(DB_05[標準鍵],W48)&gt;1,"標準鍵重複","未訂此介質／測項門檻"),IF(INDEX(DB_05[版本檢查],U48)&lt;&gt;"OK","標準主檔待核",IF(INDEX(DB_05[標準單位],U48)&lt;&gt;K48,"標準單位不符",IF(INDEX(DB_05[核對狀態],U48)="停用","停用",IF(F48="","缺採樣日期",IF(OR(AND(INDEX(DB_05[生效日],U48)&lt;&gt;"",F48&lt;INDEX(DB_05[生效日],U48)),AND(INDEX(DB_05[失效日],U48)&lt;&gt;"",F48&gt;INDEX(DB_05[失效日],U48))),"日期不適用",INDEX(DB_05[核對狀態],U48)))))))))</f>
        <v/>
      </c>
      <c r="AD48" s="93">
        <f>IF(COUNTA($A48:$D48)=0,"",IF(AC48="未訂此介質／測項門檻",AC48,IF(AC48&lt;&gt;"已核對","標準待核",IF(R48="","未訂管制值",IF(NOT(ISNUMBER(L48)),"單位待核",IF(N48="ND","無法判定（ND無界限）",IF(N48="NA","不適用",IF(Z48&lt;&gt;"OK",Z48,IF(N48="數值",IF(Q48&gt;=R48,"達管制值","未達管制值"),IF(OR(N48="&lt;",N48="&lt;="),IF(OR(Q48&lt;R48,AND(N48="&lt;",Q48=R48)),"未達管制值","無法判定"),IF(OR(N48="&gt;",N48="&gt;="),IF(Q48&gt;=R48,"達管制值","無法判定"),"格式待核")))))))))))</f>
        <v/>
      </c>
      <c r="AE48" s="93">
        <f>IF(COUNTA($A48:$D48)=0,"",IF(AC48="未訂此介質／測項門檻",AC48,IF(AC48&lt;&gt;"已核對","標準待核",IF(S48="","未訂監測值",IF(NOT(ISNUMBER(L48)),"單位待核",IF(N48="ND","無法判定（ND無界限）",IF(N48="NA","不適用",IF(Z48&lt;&gt;"OK",Z48,IF(N48="數值",IF(Q48&gt;=S48,"達監測值","未達監測值"),IF(OR(N48="&lt;",N48="&lt;="),IF(OR(Q48&lt;S48,AND(N48="&lt;",Q48=S48)),"未達監測值","無法判定"),IF(OR(N48="&gt;",N48="&gt;="),IF(Q48&gt;=S48,"達監測值","無法判定"),"格式待核")))))))))))</f>
        <v/>
      </c>
      <c r="AF48" s="93">
        <f>IF(COUNTA($A48:$D48)=0,"",IF(OR(E48="",A48="",B48="",C48=""),"缺必要欄位",IF(Y48&lt;&gt;"OK","樣品資料待補",IF(T48=0,"測項未建或重複",IF(INDEX(DB_04[啟用],T48)&lt;&gt;"是","測項停用",IF(AND(Z48&lt;&gt;"OK",Z48&lt;&gt;"不適用"),Z48,IF(AND(AB48&lt;&gt;"OK",AB48&lt;&gt;"已換算"),"單位待核",IF(AA48&lt;&gt;"OK",AA48,"OK"))))))))</f>
        <v/>
      </c>
      <c r="AG48" s="93">
        <f>IF(COUNTA($A48:$D48)=0,"",IF(N48="ND","ND取0",IF(OR(N48="&lt;",N48="&lt;="),"界限除以2",IF(N48="NA","不適用",IF(OR(N48="&gt;",N48="&gt;="),"保留界限數值","保留原數值")))))</f>
        <v/>
      </c>
      <c r="AH48" s="92">
        <f>IF(O48="","",IFERROR(_xlfn.NUMBERVALUE(O48,".",","),""))</f>
        <v/>
      </c>
      <c r="AI48" s="92">
        <f>IF(H48="","",IFERROR(MATCH(H48,Samples[樣品編號],0),0))</f>
        <v/>
      </c>
    </row>
    <row r="49">
      <c r="A49" s="27" t="inlineStr">
        <is>
          <t>總有機碳</t>
        </is>
      </c>
      <c r="B49" s="28" t="inlineStr">
        <is>
          <t>2.9</t>
        </is>
      </c>
      <c r="C49" s="27" t="inlineStr">
        <is>
          <t>mg/L</t>
        </is>
      </c>
      <c r="D49" s="39" t="inlineStr">
        <is>
          <t>合成資料，非實測；method=lab</t>
        </is>
      </c>
      <c r="E49" s="29">
        <f>IF(OR(I49="",I49=0),"",IF(INDEX(Samples[監測點],I49)="","",INDEX(Samples[監測點],I49)))</f>
        <v/>
      </c>
      <c r="F49" s="90">
        <f>IF(OR(I49="",I49=0),"",IF(INDEX(Samples[採樣日期],I49)="","",INDEX(Samples[採樣日期],I49)))</f>
        <v/>
      </c>
      <c r="G49" s="91">
        <f>IF(OR(M49="",M49="NA",M49="N/A"),"",IF(OR(M49="ND",M49="N.D."),0,IFERROR(IF(OR(OR(ISNUMBER(SEARCH("%",O49)),ISNUMBER(SEARCH(" ",O49)),ISNUMBER(SEARCH(",",O49))),OR(SUBSTITUTE(SUBSTITUTE(SUBSTITUTE(SUBSTITUTE(SUBSTITUTE(SUBSTITUTE(SUBSTITUTE(SUBSTITUTE(SUBSTITUTE(SUBSTITUTE(SUBSTITUTE(SUBSTITUTE(SUBSTITUTE(SUBSTITUTE(SUBSTITUTE(SUBSTITUTE(SUBSTITUTE(SUBSTITUTE("x"&amp;M49,"0",""),"1",""),"2",""),"3",""),"4",""),"5",""),"6",""),"7",""),"8",""),"9",""),".",""),"E",""),"+",""),"-",""),"&lt;",""),"&gt;",""),"=","")," ","")&lt;&gt;"x",ISNUMBER(SEARCH("-",SUBSTITUTE(SUBSTITUTE("x"&amp;MID(M49,2,99),"E-","E"),"E+","E"))),ISNUMBER(SEARCH("+",SUBSTITUTE(SUBSTITUTE("x"&amp;MID(M49,2,99),"E-","E"),"E+","E"))))),"",IF(AND(OR(LEFT(M49,1)="&lt;",LEFT(M49,1)="&gt;"),IF(O49="",0,IF(ISNUMBER(AH49),AH49,NA()))&lt;0),"",IF(O49="",0,IF(ISNUMBER(AH49),AH49,NA()))/IF(LEFT(M49,1)="&lt;",2,1))),"")))</f>
        <v/>
      </c>
      <c r="H49" s="57" t="inlineStr">
        <is>
          <t>BH01-W_20260415_03</t>
        </is>
      </c>
      <c r="I49" s="92">
        <f>IF(OR(H49="",AI49=0),0,IF(INDEX(Samples[樣品重複筆數],AI49)=1,AI49,0))</f>
        <v/>
      </c>
      <c r="J49" s="92">
        <f>IF(OR(COUNTA($A49:$D49)=0,I49=0),"",IF(INDEX(Samples[介質],I49)="","",INDEX(Samples[介質],I49)))</f>
        <v/>
      </c>
      <c r="K49" s="92">
        <f>IF(OR(COUNTA($A49:$D49)=0,T49=0),"",IF(INDEX(DB_04[標準單位],T49)="","",INDEX(DB_04[標準單位],T49)))</f>
        <v/>
      </c>
      <c r="L49" s="92">
        <f>IF(COUNTA($A49:$D49)=0,"",IF(OR(C49="",K49=""),"",IF(C49=K49,1,IF(COUNTIFS(DB_06[換算鍵],C49&amp;"|"&amp;K49,DB_06[換算檢查],"OK")=1,INDEX(DB_06[乘數],MATCH(C49&amp;"|"&amp;K49,DB_06[換算鍵],0)),""))))</f>
        <v/>
      </c>
      <c r="M49" s="92">
        <f>UPPER(SUBSTITUTE(SUBSTITUTE(SUBSTITUTE(SUBSTITUTE(TRIM(B49&amp;""),"＜","&lt;"),"＞","&gt;"),"≤","&lt;="),"≥","&gt;="))</f>
        <v/>
      </c>
      <c r="N49" s="92">
        <f>IF(M49="","",IF(OR(M49="ND",M49="N.D."),"ND",IF(OR(M49="NA",M49="N/A",M49="N.A."),"NA",IF(OR(LEFT(M49,2)="&lt;=",LEFT(M49,2)="&gt;="),LEFT(M49,2),IF(OR(LEFT(M49,1)="&lt;",LEFT(M49,1)="&gt;"),LEFT(M49,1),"數值")))))</f>
        <v/>
      </c>
      <c r="O49" s="92">
        <f>IF(OR(N49="",N49="ND",N49="NA"),"",IF(N49="數值",M49,TRIM(MID(M49,LEN(N49)+1,99))))</f>
        <v/>
      </c>
      <c r="P49" s="92">
        <f>IF(O49="","",IFERROR(IF(OR(OR(ISNUMBER(SEARCH("%",O49)),ISNUMBER(SEARCH(" ",O49)),ISNUMBER(SEARCH(",",O49))),OR(SUBSTITUTE(SUBSTITUTE(SUBSTITUTE(SUBSTITUTE(SUBSTITUTE(SUBSTITUTE(SUBSTITUTE(SUBSTITUTE(SUBSTITUTE(SUBSTITUTE(SUBSTITUTE(SUBSTITUTE(SUBSTITUTE(SUBSTITUTE(SUBSTITUTE(SUBSTITUTE(SUBSTITUTE(SUBSTITUTE("x"&amp;O49,"0",""),"1",""),"2",""),"3",""),"4",""),"5",""),"6",""),"7",""),"8",""),"9",""),".",""),"E",""),"+",""),"-",""),"&lt;",""),"&gt;",""),"=","")," ","")&lt;&gt;"x",ISNUMBER(SEARCH("-",SUBSTITUTE(SUBSTITUTE("x"&amp;MID(O49,2,99),"E-","E"),"E+","E"))),ISNUMBER(SEARCH("+",SUBSTITUTE(SUBSTITUTE("x"&amp;MID(O49,2,99),"E-","E"),"E+","E"))))),"",IF(ISNUMBER(AH49),AH49,NA())),""))</f>
        <v/>
      </c>
      <c r="Q49" s="92">
        <f>IF(AND(ISNUMBER(L49),ISNUMBER(P49)),L49*P49,"")</f>
        <v/>
      </c>
      <c r="R49" s="92">
        <f>IF(OR(COUNTA($A49:$D49)=0,U49=0),"",IF(INDEX(DB_05[管制設定值],U49)="","",INDEX(DB_05[管制設定值],U49)))</f>
        <v/>
      </c>
      <c r="S49" s="92">
        <f>IF(OR(COUNTA($A49:$D49)=0,U49=0),"",IF(INDEX(DB_05[監測設定值],U49)="","",INDEX(DB_05[監測設定值],U49)))</f>
        <v/>
      </c>
      <c r="T49" s="92">
        <f>IF(COUNTA($A49:$D49)=0,"",IF(COUNTIFS(DB_04[測項鍵],V49)=1,MATCH(V49,DB_04[測項鍵],0),0))</f>
        <v/>
      </c>
      <c r="U49" s="92">
        <f>IF(COUNTA($A49:$D49)=0,"",IF(COUNTIFS(DB_05[標準鍵],W49)=1,MATCH(W49,DB_05[標準鍵],0),0))</f>
        <v/>
      </c>
      <c r="V49" s="92">
        <f>IF(OR(J49="",A49=""),"",J49&amp;"|"&amp;A49)</f>
        <v/>
      </c>
      <c r="W49" s="92">
        <f>IF(OR('07_QAQC'!$C$3="",V49=""),"",'07_QAQC'!$C$3&amp;"|"&amp;V49)</f>
        <v/>
      </c>
      <c r="X49" s="92">
        <f>IF(OR(H49="",A49=""),"",LEN(H49)&amp;":"&amp;H49&amp;LEN(A49)&amp;":"&amp;A49)</f>
        <v/>
      </c>
      <c r="Y49" s="93">
        <f>IF(COUNTA($A49:$D49)=0,"",IF(I49=0,"樣品未建或重複",IF(INDEX(Samples[樣品檢查],I49)="","OK",INDEX(Samples[樣品檢查],I49))))</f>
        <v/>
      </c>
      <c r="Z49" s="93">
        <f>IF(COUNTA($A49:$D49)=0,"",IF(B49="","缺原始值",IF(OR(B49="-",B49="--"),"無資料",IF(N49="NA","不適用",IF(N49="ND","OK",IF(NOT(ISNUMBER(P49)),"格式待核",IF(AND(N49&lt;&gt;"數值",P49&lt;0),"界限不得為負","OK")))))))</f>
        <v/>
      </c>
      <c r="AA49" s="93">
        <f>IF(COUNTA(A49:D49)=0,"",IF(OR(A49="",H49=""),"缺識別欄位",IF(IF(LEN("="&amp;SUBSTITUTE(SUBSTITUTE(SUBSTITUTE(X49,"~","~~"),"*","~*"),"?","~?"))&lt;=255,COUNTIF(Results[結果識別鍵],"="&amp;SUBSTITUTE(SUBSTITUTE(SUBSTITUTE(X49,"~","~~"),"*","~*"),"?","~?")),COUNTIFS(Results[關聯鍵],"="&amp;SUBSTITUTE(SUBSTITUTE(SUBSTITUTE(H49,"~","~~"),"*","~*"),"?","~?"),Results[分析項目],"="&amp;SUBSTITUTE(SUBSTITUTE(SUBSTITUTE(A49,"~","~~"),"*","~*"),"?","~?")))&gt;1,"同關聯鍵測項重複","OK")))</f>
        <v/>
      </c>
      <c r="AB49" s="93">
        <f>IF(COUNTA($A49:$D49)=0,"",IF(OR(C49="",K49=""),"缺單位",IF(NOT(ISNUMBER(L49)),"單位不相容",IF(L49=1,"OK","已換算"))))</f>
        <v/>
      </c>
      <c r="AC49" s="93">
        <f>IF(COUNTA($A49:$D49)=0,"",IF('07_QAQC'!$C$3="","未選比較版本",IF(U49=0,IF(COUNTIFS(DB_05[標準鍵],W49)&gt;1,"標準鍵重複","未訂此介質／測項門檻"),IF(INDEX(DB_05[版本檢查],U49)&lt;&gt;"OK","標準主檔待核",IF(INDEX(DB_05[標準單位],U49)&lt;&gt;K49,"標準單位不符",IF(INDEX(DB_05[核對狀態],U49)="停用","停用",IF(F49="","缺採樣日期",IF(OR(AND(INDEX(DB_05[生效日],U49)&lt;&gt;"",F49&lt;INDEX(DB_05[生效日],U49)),AND(INDEX(DB_05[失效日],U49)&lt;&gt;"",F49&gt;INDEX(DB_05[失效日],U49))),"日期不適用",INDEX(DB_05[核對狀態],U49)))))))))</f>
        <v/>
      </c>
      <c r="AD49" s="93">
        <f>IF(COUNTA($A49:$D49)=0,"",IF(AC49="未訂此介質／測項門檻",AC49,IF(AC49&lt;&gt;"已核對","標準待核",IF(R49="","未訂管制值",IF(NOT(ISNUMBER(L49)),"單位待核",IF(N49="ND","無法判定（ND無界限）",IF(N49="NA","不適用",IF(Z49&lt;&gt;"OK",Z49,IF(N49="數值",IF(Q49&gt;=R49,"達管制值","未達管制值"),IF(OR(N49="&lt;",N49="&lt;="),IF(OR(Q49&lt;R49,AND(N49="&lt;",Q49=R49)),"未達管制值","無法判定"),IF(OR(N49="&gt;",N49="&gt;="),IF(Q49&gt;=R49,"達管制值","無法判定"),"格式待核")))))))))))</f>
        <v/>
      </c>
      <c r="AE49" s="93">
        <f>IF(COUNTA($A49:$D49)=0,"",IF(AC49="未訂此介質／測項門檻",AC49,IF(AC49&lt;&gt;"已核對","標準待核",IF(S49="","未訂監測值",IF(NOT(ISNUMBER(L49)),"單位待核",IF(N49="ND","無法判定（ND無界限）",IF(N49="NA","不適用",IF(Z49&lt;&gt;"OK",Z49,IF(N49="數值",IF(Q49&gt;=S49,"達監測值","未達監測值"),IF(OR(N49="&lt;",N49="&lt;="),IF(OR(Q49&lt;S49,AND(N49="&lt;",Q49=S49)),"未達監測值","無法判定"),IF(OR(N49="&gt;",N49="&gt;="),IF(Q49&gt;=S49,"達監測值","無法判定"),"格式待核")))))))))))</f>
        <v/>
      </c>
      <c r="AF49" s="93">
        <f>IF(COUNTA($A49:$D49)=0,"",IF(OR(E49="",A49="",B49="",C49=""),"缺必要欄位",IF(Y49&lt;&gt;"OK","樣品資料待補",IF(T49=0,"測項未建或重複",IF(INDEX(DB_04[啟用],T49)&lt;&gt;"是","測項停用",IF(AND(Z49&lt;&gt;"OK",Z49&lt;&gt;"不適用"),Z49,IF(AND(AB49&lt;&gt;"OK",AB49&lt;&gt;"已換算"),"單位待核",IF(AA49&lt;&gt;"OK",AA49,"OK"))))))))</f>
        <v/>
      </c>
      <c r="AG49" s="93">
        <f>IF(COUNTA($A49:$D49)=0,"",IF(N49="ND","ND取0",IF(OR(N49="&lt;",N49="&lt;="),"界限除以2",IF(N49="NA","不適用",IF(OR(N49="&gt;",N49="&gt;="),"保留界限數值","保留原數值")))))</f>
        <v/>
      </c>
      <c r="AH49" s="92">
        <f>IF(O49="","",IFERROR(_xlfn.NUMBERVALUE(O49,".",","),""))</f>
        <v/>
      </c>
      <c r="AI49" s="92">
        <f>IF(H49="","",IFERROR(MATCH(H49,Samples[樣品編號],0),0))</f>
        <v/>
      </c>
    </row>
    <row r="50">
      <c r="A50" s="27" t="inlineStr">
        <is>
          <t>鋅</t>
        </is>
      </c>
      <c r="B50" s="28" t="inlineStr">
        <is>
          <t>88</t>
        </is>
      </c>
      <c r="C50" s="27" t="inlineStr">
        <is>
          <t>mg/kg</t>
        </is>
      </c>
      <c r="D50" s="39" t="inlineStr">
        <is>
          <t>合成資料，非實測；method=XRF; basis=dry</t>
        </is>
      </c>
      <c r="E50" s="29">
        <f>IF(OR(I50="",I50=0),"",IF(INDEX(Samples[監測點],I50)="","",INDEX(Samples[監測點],I50)))</f>
        <v/>
      </c>
      <c r="F50" s="90">
        <f>IF(OR(I50="",I50=0),"",IF(INDEX(Samples[採樣日期],I50)="","",INDEX(Samples[採樣日期],I50)))</f>
        <v/>
      </c>
      <c r="G50" s="91">
        <f>IF(OR(M50="",M50="NA",M50="N/A"),"",IF(OR(M50="ND",M50="N.D."),0,IFERROR(IF(OR(OR(ISNUMBER(SEARCH("%",O50)),ISNUMBER(SEARCH(" ",O50)),ISNUMBER(SEARCH(",",O50))),OR(SUBSTITUTE(SUBSTITUTE(SUBSTITUTE(SUBSTITUTE(SUBSTITUTE(SUBSTITUTE(SUBSTITUTE(SUBSTITUTE(SUBSTITUTE(SUBSTITUTE(SUBSTITUTE(SUBSTITUTE(SUBSTITUTE(SUBSTITUTE(SUBSTITUTE(SUBSTITUTE(SUBSTITUTE(SUBSTITUTE("x"&amp;M50,"0",""),"1",""),"2",""),"3",""),"4",""),"5",""),"6",""),"7",""),"8",""),"9",""),".",""),"E",""),"+",""),"-",""),"&lt;",""),"&gt;",""),"=","")," ","")&lt;&gt;"x",ISNUMBER(SEARCH("-",SUBSTITUTE(SUBSTITUTE("x"&amp;MID(M50,2,99),"E-","E"),"E+","E"))),ISNUMBER(SEARCH("+",SUBSTITUTE(SUBSTITUTE("x"&amp;MID(M50,2,99),"E-","E"),"E+","E"))))),"",IF(AND(OR(LEFT(M50,1)="&lt;",LEFT(M50,1)="&gt;"),IF(O50="",0,IF(ISNUMBER(AH50),AH50,NA()))&lt;0),"",IF(O50="",0,IF(ISNUMBER(AH50),AH50,NA()))/IF(LEFT(M50,1)="&lt;",2,1))),"")))</f>
        <v/>
      </c>
      <c r="H50" s="57" t="inlineStr">
        <is>
          <t>BH02-S_20260115_01</t>
        </is>
      </c>
      <c r="I50" s="92">
        <f>IF(OR(H50="",AI50=0),0,IF(INDEX(Samples[樣品重複筆數],AI50)=1,AI50,0))</f>
        <v/>
      </c>
      <c r="J50" s="92">
        <f>IF(OR(COUNTA($A50:$D50)=0,I50=0),"",IF(INDEX(Samples[介質],I50)="","",INDEX(Samples[介質],I50)))</f>
        <v/>
      </c>
      <c r="K50" s="92">
        <f>IF(OR(COUNTA($A50:$D50)=0,T50=0),"",IF(INDEX(DB_04[標準單位],T50)="","",INDEX(DB_04[標準單位],T50)))</f>
        <v/>
      </c>
      <c r="L50" s="92">
        <f>IF(COUNTA($A50:$D50)=0,"",IF(OR(C50="",K50=""),"",IF(C50=K50,1,IF(COUNTIFS(DB_06[換算鍵],C50&amp;"|"&amp;K50,DB_06[換算檢查],"OK")=1,INDEX(DB_06[乘數],MATCH(C50&amp;"|"&amp;K50,DB_06[換算鍵],0)),""))))</f>
        <v/>
      </c>
      <c r="M50" s="92">
        <f>UPPER(SUBSTITUTE(SUBSTITUTE(SUBSTITUTE(SUBSTITUTE(TRIM(B50&amp;""),"＜","&lt;"),"＞","&gt;"),"≤","&lt;="),"≥","&gt;="))</f>
        <v/>
      </c>
      <c r="N50" s="92">
        <f>IF(M50="","",IF(OR(M50="ND",M50="N.D."),"ND",IF(OR(M50="NA",M50="N/A",M50="N.A."),"NA",IF(OR(LEFT(M50,2)="&lt;=",LEFT(M50,2)="&gt;="),LEFT(M50,2),IF(OR(LEFT(M50,1)="&lt;",LEFT(M50,1)="&gt;"),LEFT(M50,1),"數值")))))</f>
        <v/>
      </c>
      <c r="O50" s="92">
        <f>IF(OR(N50="",N50="ND",N50="NA"),"",IF(N50="數值",M50,TRIM(MID(M50,LEN(N50)+1,99))))</f>
        <v/>
      </c>
      <c r="P50" s="92">
        <f>IF(O50="","",IFERROR(IF(OR(OR(ISNUMBER(SEARCH("%",O50)),ISNUMBER(SEARCH(" ",O50)),ISNUMBER(SEARCH(",",O50))),OR(SUBSTITUTE(SUBSTITUTE(SUBSTITUTE(SUBSTITUTE(SUBSTITUTE(SUBSTITUTE(SUBSTITUTE(SUBSTITUTE(SUBSTITUTE(SUBSTITUTE(SUBSTITUTE(SUBSTITUTE(SUBSTITUTE(SUBSTITUTE(SUBSTITUTE(SUBSTITUTE(SUBSTITUTE(SUBSTITUTE("x"&amp;O50,"0",""),"1",""),"2",""),"3",""),"4",""),"5",""),"6",""),"7",""),"8",""),"9",""),".",""),"E",""),"+",""),"-",""),"&lt;",""),"&gt;",""),"=","")," ","")&lt;&gt;"x",ISNUMBER(SEARCH("-",SUBSTITUTE(SUBSTITUTE("x"&amp;MID(O50,2,99),"E-","E"),"E+","E"))),ISNUMBER(SEARCH("+",SUBSTITUTE(SUBSTITUTE("x"&amp;MID(O50,2,99),"E-","E"),"E+","E"))))),"",IF(ISNUMBER(AH50),AH50,NA())),""))</f>
        <v/>
      </c>
      <c r="Q50" s="92">
        <f>IF(AND(ISNUMBER(L50),ISNUMBER(P50)),L50*P50,"")</f>
        <v/>
      </c>
      <c r="R50" s="92">
        <f>IF(OR(COUNTA($A50:$D50)=0,U50=0),"",IF(INDEX(DB_05[管制設定值],U50)="","",INDEX(DB_05[管制設定值],U50)))</f>
        <v/>
      </c>
      <c r="S50" s="92">
        <f>IF(OR(COUNTA($A50:$D50)=0,U50=0),"",IF(INDEX(DB_05[監測設定值],U50)="","",INDEX(DB_05[監測設定值],U50)))</f>
        <v/>
      </c>
      <c r="T50" s="92">
        <f>IF(COUNTA($A50:$D50)=0,"",IF(COUNTIFS(DB_04[測項鍵],V50)=1,MATCH(V50,DB_04[測項鍵],0),0))</f>
        <v/>
      </c>
      <c r="U50" s="92">
        <f>IF(COUNTA($A50:$D50)=0,"",IF(COUNTIFS(DB_05[標準鍵],W50)=1,MATCH(W50,DB_05[標準鍵],0),0))</f>
        <v/>
      </c>
      <c r="V50" s="92">
        <f>IF(OR(J50="",A50=""),"",J50&amp;"|"&amp;A50)</f>
        <v/>
      </c>
      <c r="W50" s="92">
        <f>IF(OR('07_QAQC'!$C$3="",V50=""),"",'07_QAQC'!$C$3&amp;"|"&amp;V50)</f>
        <v/>
      </c>
      <c r="X50" s="92">
        <f>IF(OR(H50="",A50=""),"",LEN(H50)&amp;":"&amp;H50&amp;LEN(A50)&amp;":"&amp;A50)</f>
        <v/>
      </c>
      <c r="Y50" s="93">
        <f>IF(COUNTA($A50:$D50)=0,"",IF(I50=0,"樣品未建或重複",IF(INDEX(Samples[樣品檢查],I50)="","OK",INDEX(Samples[樣品檢查],I50))))</f>
        <v/>
      </c>
      <c r="Z50" s="93">
        <f>IF(COUNTA($A50:$D50)=0,"",IF(B50="","缺原始值",IF(OR(B50="-",B50="--"),"無資料",IF(N50="NA","不適用",IF(N50="ND","OK",IF(NOT(ISNUMBER(P50)),"格式待核",IF(AND(N50&lt;&gt;"數值",P50&lt;0),"界限不得為負","OK")))))))</f>
        <v/>
      </c>
      <c r="AA50" s="93">
        <f>IF(COUNTA(A50:D50)=0,"",IF(OR(A50="",H50=""),"缺識別欄位",IF(IF(LEN("="&amp;SUBSTITUTE(SUBSTITUTE(SUBSTITUTE(X50,"~","~~"),"*","~*"),"?","~?"))&lt;=255,COUNTIF(Results[結果識別鍵],"="&amp;SUBSTITUTE(SUBSTITUTE(SUBSTITUTE(X50,"~","~~"),"*","~*"),"?","~?")),COUNTIFS(Results[關聯鍵],"="&amp;SUBSTITUTE(SUBSTITUTE(SUBSTITUTE(H50,"~","~~"),"*","~*"),"?","~?"),Results[分析項目],"="&amp;SUBSTITUTE(SUBSTITUTE(SUBSTITUTE(A50,"~","~~"),"*","~*"),"?","~?")))&gt;1,"同關聯鍵測項重複","OK")))</f>
        <v/>
      </c>
      <c r="AB50" s="93">
        <f>IF(COUNTA($A50:$D50)=0,"",IF(OR(C50="",K50=""),"缺單位",IF(NOT(ISNUMBER(L50)),"單位不相容",IF(L50=1,"OK","已換算"))))</f>
        <v/>
      </c>
      <c r="AC50" s="93">
        <f>IF(COUNTA($A50:$D50)=0,"",IF('07_QAQC'!$C$3="","未選比較版本",IF(U50=0,IF(COUNTIFS(DB_05[標準鍵],W50)&gt;1,"標準鍵重複","未訂此介質／測項門檻"),IF(INDEX(DB_05[版本檢查],U50)&lt;&gt;"OK","標準主檔待核",IF(INDEX(DB_05[標準單位],U50)&lt;&gt;K50,"標準單位不符",IF(INDEX(DB_05[核對狀態],U50)="停用","停用",IF(F50="","缺採樣日期",IF(OR(AND(INDEX(DB_05[生效日],U50)&lt;&gt;"",F50&lt;INDEX(DB_05[生效日],U50)),AND(INDEX(DB_05[失效日],U50)&lt;&gt;"",F50&gt;INDEX(DB_05[失效日],U50))),"日期不適用",INDEX(DB_05[核對狀態],U50)))))))))</f>
        <v/>
      </c>
      <c r="AD50" s="93">
        <f>IF(COUNTA($A50:$D50)=0,"",IF(AC50="未訂此介質／測項門檻",AC50,IF(AC50&lt;&gt;"已核對","標準待核",IF(R50="","未訂管制值",IF(NOT(ISNUMBER(L50)),"單位待核",IF(N50="ND","無法判定（ND無界限）",IF(N50="NA","不適用",IF(Z50&lt;&gt;"OK",Z50,IF(N50="數值",IF(Q50&gt;=R50,"達管制值","未達管制值"),IF(OR(N50="&lt;",N50="&lt;="),IF(OR(Q50&lt;R50,AND(N50="&lt;",Q50=R50)),"未達管制值","無法判定"),IF(OR(N50="&gt;",N50="&gt;="),IF(Q50&gt;=R50,"達管制值","無法判定"),"格式待核")))))))))))</f>
        <v/>
      </c>
      <c r="AE50" s="93">
        <f>IF(COUNTA($A50:$D50)=0,"",IF(AC50="未訂此介質／測項門檻",AC50,IF(AC50&lt;&gt;"已核對","標準待核",IF(S50="","未訂監測值",IF(NOT(ISNUMBER(L50)),"單位待核",IF(N50="ND","無法判定（ND無界限）",IF(N50="NA","不適用",IF(Z50&lt;&gt;"OK",Z50,IF(N50="數值",IF(Q50&gt;=S50,"達監測值","未達監測值"),IF(OR(N50="&lt;",N50="&lt;="),IF(OR(Q50&lt;S50,AND(N50="&lt;",Q50=S50)),"未達監測值","無法判定"),IF(OR(N50="&gt;",N50="&gt;="),IF(Q50&gt;=S50,"達監測值","無法判定"),"格式待核")))))))))))</f>
        <v/>
      </c>
      <c r="AF50" s="93">
        <f>IF(COUNTA($A50:$D50)=0,"",IF(OR(E50="",A50="",B50="",C50=""),"缺必要欄位",IF(Y50&lt;&gt;"OK","樣品資料待補",IF(T50=0,"測項未建或重複",IF(INDEX(DB_04[啟用],T50)&lt;&gt;"是","測項停用",IF(AND(Z50&lt;&gt;"OK",Z50&lt;&gt;"不適用"),Z50,IF(AND(AB50&lt;&gt;"OK",AB50&lt;&gt;"已換算"),"單位待核",IF(AA50&lt;&gt;"OK",AA50,"OK"))))))))</f>
        <v/>
      </c>
      <c r="AG50" s="93">
        <f>IF(COUNTA($A50:$D50)=0,"",IF(N50="ND","ND取0",IF(OR(N50="&lt;",N50="&lt;="),"界限除以2",IF(N50="NA","不適用",IF(OR(N50="&gt;",N50="&gt;="),"保留界限數值","保留原數值")))))</f>
        <v/>
      </c>
      <c r="AH50" s="92">
        <f>IF(O50="","",IFERROR(_xlfn.NUMBERVALUE(O50,".",","),""))</f>
        <v/>
      </c>
      <c r="AI50" s="92">
        <f>IF(H50="","",IFERROR(MATCH(H50,Samples[樣品編號],0),0))</f>
        <v/>
      </c>
    </row>
    <row r="51">
      <c r="A51" s="27" t="inlineStr">
        <is>
          <t>總有機碳</t>
        </is>
      </c>
      <c r="B51" s="28" t="inlineStr">
        <is>
          <t>0.32</t>
        </is>
      </c>
      <c r="C51" s="27" t="inlineStr">
        <is>
          <t>%</t>
        </is>
      </c>
      <c r="D51" s="39" t="inlineStr">
        <is>
          <t>合成資料，非實測；method=lab; basis=dry</t>
        </is>
      </c>
      <c r="E51" s="29">
        <f>IF(OR(I51="",I51=0),"",IF(INDEX(Samples[監測點],I51)="","",INDEX(Samples[監測點],I51)))</f>
        <v/>
      </c>
      <c r="F51" s="90">
        <f>IF(OR(I51="",I51=0),"",IF(INDEX(Samples[採樣日期],I51)="","",INDEX(Samples[採樣日期],I51)))</f>
        <v/>
      </c>
      <c r="G51" s="91">
        <f>IF(OR(M51="",M51="NA",M51="N/A"),"",IF(OR(M51="ND",M51="N.D."),0,IFERROR(IF(OR(OR(ISNUMBER(SEARCH("%",O51)),ISNUMBER(SEARCH(" ",O51)),ISNUMBER(SEARCH(",",O51))),OR(SUBSTITUTE(SUBSTITUTE(SUBSTITUTE(SUBSTITUTE(SUBSTITUTE(SUBSTITUTE(SUBSTITUTE(SUBSTITUTE(SUBSTITUTE(SUBSTITUTE(SUBSTITUTE(SUBSTITUTE(SUBSTITUTE(SUBSTITUTE(SUBSTITUTE(SUBSTITUTE(SUBSTITUTE(SUBSTITUTE("x"&amp;M51,"0",""),"1",""),"2",""),"3",""),"4",""),"5",""),"6",""),"7",""),"8",""),"9",""),".",""),"E",""),"+",""),"-",""),"&lt;",""),"&gt;",""),"=","")," ","")&lt;&gt;"x",ISNUMBER(SEARCH("-",SUBSTITUTE(SUBSTITUTE("x"&amp;MID(M51,2,99),"E-","E"),"E+","E"))),ISNUMBER(SEARCH("+",SUBSTITUTE(SUBSTITUTE("x"&amp;MID(M51,2,99),"E-","E"),"E+","E"))))),"",IF(AND(OR(LEFT(M51,1)="&lt;",LEFT(M51,1)="&gt;"),IF(O51="",0,IF(ISNUMBER(AH51),AH51,NA()))&lt;0),"",IF(O51="",0,IF(ISNUMBER(AH51),AH51,NA()))/IF(LEFT(M51,1)="&lt;",2,1))),"")))</f>
        <v/>
      </c>
      <c r="H51" s="57" t="inlineStr">
        <is>
          <t>BH02-S_20260115_01</t>
        </is>
      </c>
      <c r="I51" s="92">
        <f>IF(OR(H51="",AI51=0),0,IF(INDEX(Samples[樣品重複筆數],AI51)=1,AI51,0))</f>
        <v/>
      </c>
      <c r="J51" s="92">
        <f>IF(OR(COUNTA($A51:$D51)=0,I51=0),"",IF(INDEX(Samples[介質],I51)="","",INDEX(Samples[介質],I51)))</f>
        <v/>
      </c>
      <c r="K51" s="92">
        <f>IF(OR(COUNTA($A51:$D51)=0,T51=0),"",IF(INDEX(DB_04[標準單位],T51)="","",INDEX(DB_04[標準單位],T51)))</f>
        <v/>
      </c>
      <c r="L51" s="92">
        <f>IF(COUNTA($A51:$D51)=0,"",IF(OR(C51="",K51=""),"",IF(C51=K51,1,IF(COUNTIFS(DB_06[換算鍵],C51&amp;"|"&amp;K51,DB_06[換算檢查],"OK")=1,INDEX(DB_06[乘數],MATCH(C51&amp;"|"&amp;K51,DB_06[換算鍵],0)),""))))</f>
        <v/>
      </c>
      <c r="M51" s="92">
        <f>UPPER(SUBSTITUTE(SUBSTITUTE(SUBSTITUTE(SUBSTITUTE(TRIM(B51&amp;""),"＜","&lt;"),"＞","&gt;"),"≤","&lt;="),"≥","&gt;="))</f>
        <v/>
      </c>
      <c r="N51" s="92">
        <f>IF(M51="","",IF(OR(M51="ND",M51="N.D."),"ND",IF(OR(M51="NA",M51="N/A",M51="N.A."),"NA",IF(OR(LEFT(M51,2)="&lt;=",LEFT(M51,2)="&gt;="),LEFT(M51,2),IF(OR(LEFT(M51,1)="&lt;",LEFT(M51,1)="&gt;"),LEFT(M51,1),"數值")))))</f>
        <v/>
      </c>
      <c r="O51" s="92">
        <f>IF(OR(N51="",N51="ND",N51="NA"),"",IF(N51="數值",M51,TRIM(MID(M51,LEN(N51)+1,99))))</f>
        <v/>
      </c>
      <c r="P51" s="92">
        <f>IF(O51="","",IFERROR(IF(OR(OR(ISNUMBER(SEARCH("%",O51)),ISNUMBER(SEARCH(" ",O51)),ISNUMBER(SEARCH(",",O51))),OR(SUBSTITUTE(SUBSTITUTE(SUBSTITUTE(SUBSTITUTE(SUBSTITUTE(SUBSTITUTE(SUBSTITUTE(SUBSTITUTE(SUBSTITUTE(SUBSTITUTE(SUBSTITUTE(SUBSTITUTE(SUBSTITUTE(SUBSTITUTE(SUBSTITUTE(SUBSTITUTE(SUBSTITUTE(SUBSTITUTE("x"&amp;O51,"0",""),"1",""),"2",""),"3",""),"4",""),"5",""),"6",""),"7",""),"8",""),"9",""),".",""),"E",""),"+",""),"-",""),"&lt;",""),"&gt;",""),"=","")," ","")&lt;&gt;"x",ISNUMBER(SEARCH("-",SUBSTITUTE(SUBSTITUTE("x"&amp;MID(O51,2,99),"E-","E"),"E+","E"))),ISNUMBER(SEARCH("+",SUBSTITUTE(SUBSTITUTE("x"&amp;MID(O51,2,99),"E-","E"),"E+","E"))))),"",IF(ISNUMBER(AH51),AH51,NA())),""))</f>
        <v/>
      </c>
      <c r="Q51" s="92">
        <f>IF(AND(ISNUMBER(L51),ISNUMBER(P51)),L51*P51,"")</f>
        <v/>
      </c>
      <c r="R51" s="92">
        <f>IF(OR(COUNTA($A51:$D51)=0,U51=0),"",IF(INDEX(DB_05[管制設定值],U51)="","",INDEX(DB_05[管制設定值],U51)))</f>
        <v/>
      </c>
      <c r="S51" s="92">
        <f>IF(OR(COUNTA($A51:$D51)=0,U51=0),"",IF(INDEX(DB_05[監測設定值],U51)="","",INDEX(DB_05[監測設定值],U51)))</f>
        <v/>
      </c>
      <c r="T51" s="92">
        <f>IF(COUNTA($A51:$D51)=0,"",IF(COUNTIFS(DB_04[測項鍵],V51)=1,MATCH(V51,DB_04[測項鍵],0),0))</f>
        <v/>
      </c>
      <c r="U51" s="92">
        <f>IF(COUNTA($A51:$D51)=0,"",IF(COUNTIFS(DB_05[標準鍵],W51)=1,MATCH(W51,DB_05[標準鍵],0),0))</f>
        <v/>
      </c>
      <c r="V51" s="92">
        <f>IF(OR(J51="",A51=""),"",J51&amp;"|"&amp;A51)</f>
        <v/>
      </c>
      <c r="W51" s="92">
        <f>IF(OR('07_QAQC'!$C$3="",V51=""),"",'07_QAQC'!$C$3&amp;"|"&amp;V51)</f>
        <v/>
      </c>
      <c r="X51" s="92">
        <f>IF(OR(H51="",A51=""),"",LEN(H51)&amp;":"&amp;H51&amp;LEN(A51)&amp;":"&amp;A51)</f>
        <v/>
      </c>
      <c r="Y51" s="93">
        <f>IF(COUNTA($A51:$D51)=0,"",IF(I51=0,"樣品未建或重複",IF(INDEX(Samples[樣品檢查],I51)="","OK",INDEX(Samples[樣品檢查],I51))))</f>
        <v/>
      </c>
      <c r="Z51" s="93">
        <f>IF(COUNTA($A51:$D51)=0,"",IF(B51="","缺原始值",IF(OR(B51="-",B51="--"),"無資料",IF(N51="NA","不適用",IF(N51="ND","OK",IF(NOT(ISNUMBER(P51)),"格式待核",IF(AND(N51&lt;&gt;"數值",P51&lt;0),"界限不得為負","OK")))))))</f>
        <v/>
      </c>
      <c r="AA51" s="93">
        <f>IF(COUNTA(A51:D51)=0,"",IF(OR(A51="",H51=""),"缺識別欄位",IF(IF(LEN("="&amp;SUBSTITUTE(SUBSTITUTE(SUBSTITUTE(X51,"~","~~"),"*","~*"),"?","~?"))&lt;=255,COUNTIF(Results[結果識別鍵],"="&amp;SUBSTITUTE(SUBSTITUTE(SUBSTITUTE(X51,"~","~~"),"*","~*"),"?","~?")),COUNTIFS(Results[關聯鍵],"="&amp;SUBSTITUTE(SUBSTITUTE(SUBSTITUTE(H51,"~","~~"),"*","~*"),"?","~?"),Results[分析項目],"="&amp;SUBSTITUTE(SUBSTITUTE(SUBSTITUTE(A51,"~","~~"),"*","~*"),"?","~?")))&gt;1,"同關聯鍵測項重複","OK")))</f>
        <v/>
      </c>
      <c r="AB51" s="93">
        <f>IF(COUNTA($A51:$D51)=0,"",IF(OR(C51="",K51=""),"缺單位",IF(NOT(ISNUMBER(L51)),"單位不相容",IF(L51=1,"OK","已換算"))))</f>
        <v/>
      </c>
      <c r="AC51" s="93">
        <f>IF(COUNTA($A51:$D51)=0,"",IF('07_QAQC'!$C$3="","未選比較版本",IF(U51=0,IF(COUNTIFS(DB_05[標準鍵],W51)&gt;1,"標準鍵重複","未訂此介質／測項門檻"),IF(INDEX(DB_05[版本檢查],U51)&lt;&gt;"OK","標準主檔待核",IF(INDEX(DB_05[標準單位],U51)&lt;&gt;K51,"標準單位不符",IF(INDEX(DB_05[核對狀態],U51)="停用","停用",IF(F51="","缺採樣日期",IF(OR(AND(INDEX(DB_05[生效日],U51)&lt;&gt;"",F51&lt;INDEX(DB_05[生效日],U51)),AND(INDEX(DB_05[失效日],U51)&lt;&gt;"",F51&gt;INDEX(DB_05[失效日],U51))),"日期不適用",INDEX(DB_05[核對狀態],U51)))))))))</f>
        <v/>
      </c>
      <c r="AD51" s="93">
        <f>IF(COUNTA($A51:$D51)=0,"",IF(AC51="未訂此介質／測項門檻",AC51,IF(AC51&lt;&gt;"已核對","標準待核",IF(R51="","未訂管制值",IF(NOT(ISNUMBER(L51)),"單位待核",IF(N51="ND","無法判定（ND無界限）",IF(N51="NA","不適用",IF(Z51&lt;&gt;"OK",Z51,IF(N51="數值",IF(Q51&gt;=R51,"達管制值","未達管制值"),IF(OR(N51="&lt;",N51="&lt;="),IF(OR(Q51&lt;R51,AND(N51="&lt;",Q51=R51)),"未達管制值","無法判定"),IF(OR(N51="&gt;",N51="&gt;="),IF(Q51&gt;=R51,"達管制值","無法判定"),"格式待核")))))))))))</f>
        <v/>
      </c>
      <c r="AE51" s="93">
        <f>IF(COUNTA($A51:$D51)=0,"",IF(AC51="未訂此介質／測項門檻",AC51,IF(AC51&lt;&gt;"已核對","標準待核",IF(S51="","未訂監測值",IF(NOT(ISNUMBER(L51)),"單位待核",IF(N51="ND","無法判定（ND無界限）",IF(N51="NA","不適用",IF(Z51&lt;&gt;"OK",Z51,IF(N51="數值",IF(Q51&gt;=S51,"達監測值","未達監測值"),IF(OR(N51="&lt;",N51="&lt;="),IF(OR(Q51&lt;S51,AND(N51="&lt;",Q51=S51)),"未達監測值","無法判定"),IF(OR(N51="&gt;",N51="&gt;="),IF(Q51&gt;=S51,"達監測值","無法判定"),"格式待核")))))))))))</f>
        <v/>
      </c>
      <c r="AF51" s="93">
        <f>IF(COUNTA($A51:$D51)=0,"",IF(OR(E51="",A51="",B51="",C51=""),"缺必要欄位",IF(Y51&lt;&gt;"OK","樣品資料待補",IF(T51=0,"測項未建或重複",IF(INDEX(DB_04[啟用],T51)&lt;&gt;"是","測項停用",IF(AND(Z51&lt;&gt;"OK",Z51&lt;&gt;"不適用"),Z51,IF(AND(AB51&lt;&gt;"OK",AB51&lt;&gt;"已換算"),"單位待核",IF(AA51&lt;&gt;"OK",AA51,"OK"))))))))</f>
        <v/>
      </c>
      <c r="AG51" s="93">
        <f>IF(COUNTA($A51:$D51)=0,"",IF(N51="ND","ND取0",IF(OR(N51="&lt;",N51="&lt;="),"界限除以2",IF(N51="NA","不適用",IF(OR(N51="&gt;",N51="&gt;="),"保留界限數值","保留原數值")))))</f>
        <v/>
      </c>
      <c r="AH51" s="92">
        <f>IF(O51="","",IFERROR(_xlfn.NUMBERVALUE(O51,".",","),""))</f>
        <v/>
      </c>
      <c r="AI51" s="92">
        <f>IF(H51="","",IFERROR(MATCH(H51,Samples[樣品編號],0),0))</f>
        <v/>
      </c>
    </row>
    <row r="52">
      <c r="A52" s="27" t="inlineStr">
        <is>
          <t>pH</t>
        </is>
      </c>
      <c r="B52" s="28" t="inlineStr">
        <is>
          <t>6.58</t>
        </is>
      </c>
      <c r="C52" s="27" t="inlineStr">
        <is>
          <t>無因次</t>
        </is>
      </c>
      <c r="D52" s="39" t="inlineStr">
        <is>
          <t>合成資料，非實測；method=field</t>
        </is>
      </c>
      <c r="E52" s="29">
        <f>IF(OR(I52="",I52=0),"",IF(INDEX(Samples[監測點],I52)="","",INDEX(Samples[監測點],I52)))</f>
        <v/>
      </c>
      <c r="F52" s="90">
        <f>IF(OR(I52="",I52=0),"",IF(INDEX(Samples[採樣日期],I52)="","",INDEX(Samples[採樣日期],I52)))</f>
        <v/>
      </c>
      <c r="G52" s="91">
        <f>IF(OR(M52="",M52="NA",M52="N/A"),"",IF(OR(M52="ND",M52="N.D."),0,IFERROR(IF(OR(OR(ISNUMBER(SEARCH("%",O52)),ISNUMBER(SEARCH(" ",O52)),ISNUMBER(SEARCH(",",O52))),OR(SUBSTITUTE(SUBSTITUTE(SUBSTITUTE(SUBSTITUTE(SUBSTITUTE(SUBSTITUTE(SUBSTITUTE(SUBSTITUTE(SUBSTITUTE(SUBSTITUTE(SUBSTITUTE(SUBSTITUTE(SUBSTITUTE(SUBSTITUTE(SUBSTITUTE(SUBSTITUTE(SUBSTITUTE(SUBSTITUTE("x"&amp;M52,"0",""),"1",""),"2",""),"3",""),"4",""),"5",""),"6",""),"7",""),"8",""),"9",""),".",""),"E",""),"+",""),"-",""),"&lt;",""),"&gt;",""),"=","")," ","")&lt;&gt;"x",ISNUMBER(SEARCH("-",SUBSTITUTE(SUBSTITUTE("x"&amp;MID(M52,2,99),"E-","E"),"E+","E"))),ISNUMBER(SEARCH("+",SUBSTITUTE(SUBSTITUTE("x"&amp;MID(M52,2,99),"E-","E"),"E+","E"))))),"",IF(AND(OR(LEFT(M52,1)="&lt;",LEFT(M52,1)="&gt;"),IF(O52="",0,IF(ISNUMBER(AH52),AH52,NA()))&lt;0),"",IF(O52="",0,IF(ISNUMBER(AH52),AH52,NA()))/IF(LEFT(M52,1)="&lt;",2,1))),"")))</f>
        <v/>
      </c>
      <c r="H52" s="57" t="inlineStr">
        <is>
          <t>BH02-W_20260115_01</t>
        </is>
      </c>
      <c r="I52" s="92">
        <f>IF(OR(H52="",AI52=0),0,IF(INDEX(Samples[樣品重複筆數],AI52)=1,AI52,0))</f>
        <v/>
      </c>
      <c r="J52" s="92">
        <f>IF(OR(COUNTA($A52:$D52)=0,I52=0),"",IF(INDEX(Samples[介質],I52)="","",INDEX(Samples[介質],I52)))</f>
        <v/>
      </c>
      <c r="K52" s="92">
        <f>IF(OR(COUNTA($A52:$D52)=0,T52=0),"",IF(INDEX(DB_04[標準單位],T52)="","",INDEX(DB_04[標準單位],T52)))</f>
        <v/>
      </c>
      <c r="L52" s="92">
        <f>IF(COUNTA($A52:$D52)=0,"",IF(OR(C52="",K52=""),"",IF(C52=K52,1,IF(COUNTIFS(DB_06[換算鍵],C52&amp;"|"&amp;K52,DB_06[換算檢查],"OK")=1,INDEX(DB_06[乘數],MATCH(C52&amp;"|"&amp;K52,DB_06[換算鍵],0)),""))))</f>
        <v/>
      </c>
      <c r="M52" s="92">
        <f>UPPER(SUBSTITUTE(SUBSTITUTE(SUBSTITUTE(SUBSTITUTE(TRIM(B52&amp;""),"＜","&lt;"),"＞","&gt;"),"≤","&lt;="),"≥","&gt;="))</f>
        <v/>
      </c>
      <c r="N52" s="92">
        <f>IF(M52="","",IF(OR(M52="ND",M52="N.D."),"ND",IF(OR(M52="NA",M52="N/A",M52="N.A."),"NA",IF(OR(LEFT(M52,2)="&lt;=",LEFT(M52,2)="&gt;="),LEFT(M52,2),IF(OR(LEFT(M52,1)="&lt;",LEFT(M52,1)="&gt;"),LEFT(M52,1),"數值")))))</f>
        <v/>
      </c>
      <c r="O52" s="92">
        <f>IF(OR(N52="",N52="ND",N52="NA"),"",IF(N52="數值",M52,TRIM(MID(M52,LEN(N52)+1,99))))</f>
        <v/>
      </c>
      <c r="P52" s="92">
        <f>IF(O52="","",IFERROR(IF(OR(OR(ISNUMBER(SEARCH("%",O52)),ISNUMBER(SEARCH(" ",O52)),ISNUMBER(SEARCH(",",O52))),OR(SUBSTITUTE(SUBSTITUTE(SUBSTITUTE(SUBSTITUTE(SUBSTITUTE(SUBSTITUTE(SUBSTITUTE(SUBSTITUTE(SUBSTITUTE(SUBSTITUTE(SUBSTITUTE(SUBSTITUTE(SUBSTITUTE(SUBSTITUTE(SUBSTITUTE(SUBSTITUTE(SUBSTITUTE(SUBSTITUTE("x"&amp;O52,"0",""),"1",""),"2",""),"3",""),"4",""),"5",""),"6",""),"7",""),"8",""),"9",""),".",""),"E",""),"+",""),"-",""),"&lt;",""),"&gt;",""),"=","")," ","")&lt;&gt;"x",ISNUMBER(SEARCH("-",SUBSTITUTE(SUBSTITUTE("x"&amp;MID(O52,2,99),"E-","E"),"E+","E"))),ISNUMBER(SEARCH("+",SUBSTITUTE(SUBSTITUTE("x"&amp;MID(O52,2,99),"E-","E"),"E+","E"))))),"",IF(ISNUMBER(AH52),AH52,NA())),""))</f>
        <v/>
      </c>
      <c r="Q52" s="92">
        <f>IF(AND(ISNUMBER(L52),ISNUMBER(P52)),L52*P52,"")</f>
        <v/>
      </c>
      <c r="R52" s="92">
        <f>IF(OR(COUNTA($A52:$D52)=0,U52=0),"",IF(INDEX(DB_05[管制設定值],U52)="","",INDEX(DB_05[管制設定值],U52)))</f>
        <v/>
      </c>
      <c r="S52" s="92">
        <f>IF(OR(COUNTA($A52:$D52)=0,U52=0),"",IF(INDEX(DB_05[監測設定值],U52)="","",INDEX(DB_05[監測設定值],U52)))</f>
        <v/>
      </c>
      <c r="T52" s="92">
        <f>IF(COUNTA($A52:$D52)=0,"",IF(COUNTIFS(DB_04[測項鍵],V52)=1,MATCH(V52,DB_04[測項鍵],0),0))</f>
        <v/>
      </c>
      <c r="U52" s="92">
        <f>IF(COUNTA($A52:$D52)=0,"",IF(COUNTIFS(DB_05[標準鍵],W52)=1,MATCH(W52,DB_05[標準鍵],0),0))</f>
        <v/>
      </c>
      <c r="V52" s="92">
        <f>IF(OR(J52="",A52=""),"",J52&amp;"|"&amp;A52)</f>
        <v/>
      </c>
      <c r="W52" s="92">
        <f>IF(OR('07_QAQC'!$C$3="",V52=""),"",'07_QAQC'!$C$3&amp;"|"&amp;V52)</f>
        <v/>
      </c>
      <c r="X52" s="92">
        <f>IF(OR(H52="",A52=""),"",LEN(H52)&amp;":"&amp;H52&amp;LEN(A52)&amp;":"&amp;A52)</f>
        <v/>
      </c>
      <c r="Y52" s="93">
        <f>IF(COUNTA($A52:$D52)=0,"",IF(I52=0,"樣品未建或重複",IF(INDEX(Samples[樣品檢查],I52)="","OK",INDEX(Samples[樣品檢查],I52))))</f>
        <v/>
      </c>
      <c r="Z52" s="93">
        <f>IF(COUNTA($A52:$D52)=0,"",IF(B52="","缺原始值",IF(OR(B52="-",B52="--"),"無資料",IF(N52="NA","不適用",IF(N52="ND","OK",IF(NOT(ISNUMBER(P52)),"格式待核",IF(AND(N52&lt;&gt;"數值",P52&lt;0),"界限不得為負","OK")))))))</f>
        <v/>
      </c>
      <c r="AA52" s="93">
        <f>IF(COUNTA(A52:D52)=0,"",IF(OR(A52="",H52=""),"缺識別欄位",IF(IF(LEN("="&amp;SUBSTITUTE(SUBSTITUTE(SUBSTITUTE(X52,"~","~~"),"*","~*"),"?","~?"))&lt;=255,COUNTIF(Results[結果識別鍵],"="&amp;SUBSTITUTE(SUBSTITUTE(SUBSTITUTE(X52,"~","~~"),"*","~*"),"?","~?")),COUNTIFS(Results[關聯鍵],"="&amp;SUBSTITUTE(SUBSTITUTE(SUBSTITUTE(H52,"~","~~"),"*","~*"),"?","~?"),Results[分析項目],"="&amp;SUBSTITUTE(SUBSTITUTE(SUBSTITUTE(A52,"~","~~"),"*","~*"),"?","~?")))&gt;1,"同關聯鍵測項重複","OK")))</f>
        <v/>
      </c>
      <c r="AB52" s="93">
        <f>IF(COUNTA($A52:$D52)=0,"",IF(OR(C52="",K52=""),"缺單位",IF(NOT(ISNUMBER(L52)),"單位不相容",IF(L52=1,"OK","已換算"))))</f>
        <v/>
      </c>
      <c r="AC52" s="93">
        <f>IF(COUNTA($A52:$D52)=0,"",IF('07_QAQC'!$C$3="","未選比較版本",IF(U52=0,IF(COUNTIFS(DB_05[標準鍵],W52)&gt;1,"標準鍵重複","未訂此介質／測項門檻"),IF(INDEX(DB_05[版本檢查],U52)&lt;&gt;"OK","標準主檔待核",IF(INDEX(DB_05[標準單位],U52)&lt;&gt;K52,"標準單位不符",IF(INDEX(DB_05[核對狀態],U52)="停用","停用",IF(F52="","缺採樣日期",IF(OR(AND(INDEX(DB_05[生效日],U52)&lt;&gt;"",F52&lt;INDEX(DB_05[生效日],U52)),AND(INDEX(DB_05[失效日],U52)&lt;&gt;"",F52&gt;INDEX(DB_05[失效日],U52))),"日期不適用",INDEX(DB_05[核對狀態],U52)))))))))</f>
        <v/>
      </c>
      <c r="AD52" s="93">
        <f>IF(COUNTA($A52:$D52)=0,"",IF(AC52="未訂此介質／測項門檻",AC52,IF(AC52&lt;&gt;"已核對","標準待核",IF(R52="","未訂管制值",IF(NOT(ISNUMBER(L52)),"單位待核",IF(N52="ND","無法判定（ND無界限）",IF(N52="NA","不適用",IF(Z52&lt;&gt;"OK",Z52,IF(N52="數值",IF(Q52&gt;=R52,"達管制值","未達管制值"),IF(OR(N52="&lt;",N52="&lt;="),IF(OR(Q52&lt;R52,AND(N52="&lt;",Q52=R52)),"未達管制值","無法判定"),IF(OR(N52="&gt;",N52="&gt;="),IF(Q52&gt;=R52,"達管制值","無法判定"),"格式待核")))))))))))</f>
        <v/>
      </c>
      <c r="AE52" s="93">
        <f>IF(COUNTA($A52:$D52)=0,"",IF(AC52="未訂此介質／測項門檻",AC52,IF(AC52&lt;&gt;"已核對","標準待核",IF(S52="","未訂監測值",IF(NOT(ISNUMBER(L52)),"單位待核",IF(N52="ND","無法判定（ND無界限）",IF(N52="NA","不適用",IF(Z52&lt;&gt;"OK",Z52,IF(N52="數值",IF(Q52&gt;=S52,"達監測值","未達監測值"),IF(OR(N52="&lt;",N52="&lt;="),IF(OR(Q52&lt;S52,AND(N52="&lt;",Q52=S52)),"未達監測值","無法判定"),IF(OR(N52="&gt;",N52="&gt;="),IF(Q52&gt;=S52,"達監測值","無法判定"),"格式待核")))))))))))</f>
        <v/>
      </c>
      <c r="AF52" s="93">
        <f>IF(COUNTA($A52:$D52)=0,"",IF(OR(E52="",A52="",B52="",C52=""),"缺必要欄位",IF(Y52&lt;&gt;"OK","樣品資料待補",IF(T52=0,"測項未建或重複",IF(INDEX(DB_04[啟用],T52)&lt;&gt;"是","測項停用",IF(AND(Z52&lt;&gt;"OK",Z52&lt;&gt;"不適用"),Z52,IF(AND(AB52&lt;&gt;"OK",AB52&lt;&gt;"已換算"),"單位待核",IF(AA52&lt;&gt;"OK",AA52,"OK"))))))))</f>
        <v/>
      </c>
      <c r="AG52" s="93">
        <f>IF(COUNTA($A52:$D52)=0,"",IF(N52="ND","ND取0",IF(OR(N52="&lt;",N52="&lt;="),"界限除以2",IF(N52="NA","不適用",IF(OR(N52="&gt;",N52="&gt;="),"保留界限數值","保留原數值")))))</f>
        <v/>
      </c>
      <c r="AH52" s="92">
        <f>IF(O52="","",IFERROR(_xlfn.NUMBERVALUE(O52,".",","),""))</f>
        <v/>
      </c>
      <c r="AI52" s="92">
        <f>IF(H52="","",IFERROR(MATCH(H52,Samples[樣品編號],0),0))</f>
        <v/>
      </c>
    </row>
    <row r="53">
      <c r="A53" s="27" t="inlineStr">
        <is>
          <t>EC</t>
        </is>
      </c>
      <c r="B53" s="28" t="inlineStr">
        <is>
          <t>0.46</t>
        </is>
      </c>
      <c r="C53" s="27" t="inlineStr">
        <is>
          <t>mS/cm</t>
        </is>
      </c>
      <c r="D53" s="39" t="inlineStr">
        <is>
          <t>合成資料，非實測；method=field; temperature=25; temperature_compensated=25C; reference_temperature=25</t>
        </is>
      </c>
      <c r="E53" s="29">
        <f>IF(OR(I53="",I53=0),"",IF(INDEX(Samples[監測點],I53)="","",INDEX(Samples[監測點],I53)))</f>
        <v/>
      </c>
      <c r="F53" s="90">
        <f>IF(OR(I53="",I53=0),"",IF(INDEX(Samples[採樣日期],I53)="","",INDEX(Samples[採樣日期],I53)))</f>
        <v/>
      </c>
      <c r="G53" s="91">
        <f>IF(OR(M53="",M53="NA",M53="N/A"),"",IF(OR(M53="ND",M53="N.D."),0,IFERROR(IF(OR(OR(ISNUMBER(SEARCH("%",O53)),ISNUMBER(SEARCH(" ",O53)),ISNUMBER(SEARCH(",",O53))),OR(SUBSTITUTE(SUBSTITUTE(SUBSTITUTE(SUBSTITUTE(SUBSTITUTE(SUBSTITUTE(SUBSTITUTE(SUBSTITUTE(SUBSTITUTE(SUBSTITUTE(SUBSTITUTE(SUBSTITUTE(SUBSTITUTE(SUBSTITUTE(SUBSTITUTE(SUBSTITUTE(SUBSTITUTE(SUBSTITUTE("x"&amp;M53,"0",""),"1",""),"2",""),"3",""),"4",""),"5",""),"6",""),"7",""),"8",""),"9",""),".",""),"E",""),"+",""),"-",""),"&lt;",""),"&gt;",""),"=","")," ","")&lt;&gt;"x",ISNUMBER(SEARCH("-",SUBSTITUTE(SUBSTITUTE("x"&amp;MID(M53,2,99),"E-","E"),"E+","E"))),ISNUMBER(SEARCH("+",SUBSTITUTE(SUBSTITUTE("x"&amp;MID(M53,2,99),"E-","E"),"E+","E"))))),"",IF(AND(OR(LEFT(M53,1)="&lt;",LEFT(M53,1)="&gt;"),IF(O53="",0,IF(ISNUMBER(AH53),AH53,NA()))&lt;0),"",IF(O53="",0,IF(ISNUMBER(AH53),AH53,NA()))/IF(LEFT(M53,1)="&lt;",2,1))),"")))</f>
        <v/>
      </c>
      <c r="H53" s="57" t="inlineStr">
        <is>
          <t>BH02-W_20260115_01</t>
        </is>
      </c>
      <c r="I53" s="92">
        <f>IF(OR(H53="",AI53=0),0,IF(INDEX(Samples[樣品重複筆數],AI53)=1,AI53,0))</f>
        <v/>
      </c>
      <c r="J53" s="92">
        <f>IF(OR(COUNTA($A53:$D53)=0,I53=0),"",IF(INDEX(Samples[介質],I53)="","",INDEX(Samples[介質],I53)))</f>
        <v/>
      </c>
      <c r="K53" s="92">
        <f>IF(OR(COUNTA($A53:$D53)=0,T53=0),"",IF(INDEX(DB_04[標準單位],T53)="","",INDEX(DB_04[標準單位],T53)))</f>
        <v/>
      </c>
      <c r="L53" s="92">
        <f>IF(COUNTA($A53:$D53)=0,"",IF(OR(C53="",K53=""),"",IF(C53=K53,1,IF(COUNTIFS(DB_06[換算鍵],C53&amp;"|"&amp;K53,DB_06[換算檢查],"OK")=1,INDEX(DB_06[乘數],MATCH(C53&amp;"|"&amp;K53,DB_06[換算鍵],0)),""))))</f>
        <v/>
      </c>
      <c r="M53" s="92">
        <f>UPPER(SUBSTITUTE(SUBSTITUTE(SUBSTITUTE(SUBSTITUTE(TRIM(B53&amp;""),"＜","&lt;"),"＞","&gt;"),"≤","&lt;="),"≥","&gt;="))</f>
        <v/>
      </c>
      <c r="N53" s="92">
        <f>IF(M53="","",IF(OR(M53="ND",M53="N.D."),"ND",IF(OR(M53="NA",M53="N/A",M53="N.A."),"NA",IF(OR(LEFT(M53,2)="&lt;=",LEFT(M53,2)="&gt;="),LEFT(M53,2),IF(OR(LEFT(M53,1)="&lt;",LEFT(M53,1)="&gt;"),LEFT(M53,1),"數值")))))</f>
        <v/>
      </c>
      <c r="O53" s="92">
        <f>IF(OR(N53="",N53="ND",N53="NA"),"",IF(N53="數值",M53,TRIM(MID(M53,LEN(N53)+1,99))))</f>
        <v/>
      </c>
      <c r="P53" s="92">
        <f>IF(O53="","",IFERROR(IF(OR(OR(ISNUMBER(SEARCH("%",O53)),ISNUMBER(SEARCH(" ",O53)),ISNUMBER(SEARCH(",",O53))),OR(SUBSTITUTE(SUBSTITUTE(SUBSTITUTE(SUBSTITUTE(SUBSTITUTE(SUBSTITUTE(SUBSTITUTE(SUBSTITUTE(SUBSTITUTE(SUBSTITUTE(SUBSTITUTE(SUBSTITUTE(SUBSTITUTE(SUBSTITUTE(SUBSTITUTE(SUBSTITUTE(SUBSTITUTE(SUBSTITUTE("x"&amp;O53,"0",""),"1",""),"2",""),"3",""),"4",""),"5",""),"6",""),"7",""),"8",""),"9",""),".",""),"E",""),"+",""),"-",""),"&lt;",""),"&gt;",""),"=","")," ","")&lt;&gt;"x",ISNUMBER(SEARCH("-",SUBSTITUTE(SUBSTITUTE("x"&amp;MID(O53,2,99),"E-","E"),"E+","E"))),ISNUMBER(SEARCH("+",SUBSTITUTE(SUBSTITUTE("x"&amp;MID(O53,2,99),"E-","E"),"E+","E"))))),"",IF(ISNUMBER(AH53),AH53,NA())),""))</f>
        <v/>
      </c>
      <c r="Q53" s="92">
        <f>IF(AND(ISNUMBER(L53),ISNUMBER(P53)),L53*P53,"")</f>
        <v/>
      </c>
      <c r="R53" s="92">
        <f>IF(OR(COUNTA($A53:$D53)=0,U53=0),"",IF(INDEX(DB_05[管制設定值],U53)="","",INDEX(DB_05[管制設定值],U53)))</f>
        <v/>
      </c>
      <c r="S53" s="92">
        <f>IF(OR(COUNTA($A53:$D53)=0,U53=0),"",IF(INDEX(DB_05[監測設定值],U53)="","",INDEX(DB_05[監測設定值],U53)))</f>
        <v/>
      </c>
      <c r="T53" s="92">
        <f>IF(COUNTA($A53:$D53)=0,"",IF(COUNTIFS(DB_04[測項鍵],V53)=1,MATCH(V53,DB_04[測項鍵],0),0))</f>
        <v/>
      </c>
      <c r="U53" s="92">
        <f>IF(COUNTA($A53:$D53)=0,"",IF(COUNTIFS(DB_05[標準鍵],W53)=1,MATCH(W53,DB_05[標準鍵],0),0))</f>
        <v/>
      </c>
      <c r="V53" s="92">
        <f>IF(OR(J53="",A53=""),"",J53&amp;"|"&amp;A53)</f>
        <v/>
      </c>
      <c r="W53" s="92">
        <f>IF(OR('07_QAQC'!$C$3="",V53=""),"",'07_QAQC'!$C$3&amp;"|"&amp;V53)</f>
        <v/>
      </c>
      <c r="X53" s="92">
        <f>IF(OR(H53="",A53=""),"",LEN(H53)&amp;":"&amp;H53&amp;LEN(A53)&amp;":"&amp;A53)</f>
        <v/>
      </c>
      <c r="Y53" s="93">
        <f>IF(COUNTA($A53:$D53)=0,"",IF(I53=0,"樣品未建或重複",IF(INDEX(Samples[樣品檢查],I53)="","OK",INDEX(Samples[樣品檢查],I53))))</f>
        <v/>
      </c>
      <c r="Z53" s="93">
        <f>IF(COUNTA($A53:$D53)=0,"",IF(B53="","缺原始值",IF(OR(B53="-",B53="--"),"無資料",IF(N53="NA","不適用",IF(N53="ND","OK",IF(NOT(ISNUMBER(P53)),"格式待核",IF(AND(N53&lt;&gt;"數值",P53&lt;0),"界限不得為負","OK")))))))</f>
        <v/>
      </c>
      <c r="AA53" s="93">
        <f>IF(COUNTA(A53:D53)=0,"",IF(OR(A53="",H53=""),"缺識別欄位",IF(IF(LEN("="&amp;SUBSTITUTE(SUBSTITUTE(SUBSTITUTE(X53,"~","~~"),"*","~*"),"?","~?"))&lt;=255,COUNTIF(Results[結果識別鍵],"="&amp;SUBSTITUTE(SUBSTITUTE(SUBSTITUTE(X53,"~","~~"),"*","~*"),"?","~?")),COUNTIFS(Results[關聯鍵],"="&amp;SUBSTITUTE(SUBSTITUTE(SUBSTITUTE(H53,"~","~~"),"*","~*"),"?","~?"),Results[分析項目],"="&amp;SUBSTITUTE(SUBSTITUTE(SUBSTITUTE(A53,"~","~~"),"*","~*"),"?","~?")))&gt;1,"同關聯鍵測項重複","OK")))</f>
        <v/>
      </c>
      <c r="AB53" s="93">
        <f>IF(COUNTA($A53:$D53)=0,"",IF(OR(C53="",K53=""),"缺單位",IF(NOT(ISNUMBER(L53)),"單位不相容",IF(L53=1,"OK","已換算"))))</f>
        <v/>
      </c>
      <c r="AC53" s="93">
        <f>IF(COUNTA($A53:$D53)=0,"",IF('07_QAQC'!$C$3="","未選比較版本",IF(U53=0,IF(COUNTIFS(DB_05[標準鍵],W53)&gt;1,"標準鍵重複","未訂此介質／測項門檻"),IF(INDEX(DB_05[版本檢查],U53)&lt;&gt;"OK","標準主檔待核",IF(INDEX(DB_05[標準單位],U53)&lt;&gt;K53,"標準單位不符",IF(INDEX(DB_05[核對狀態],U53)="停用","停用",IF(F53="","缺採樣日期",IF(OR(AND(INDEX(DB_05[生效日],U53)&lt;&gt;"",F53&lt;INDEX(DB_05[生效日],U53)),AND(INDEX(DB_05[失效日],U53)&lt;&gt;"",F53&gt;INDEX(DB_05[失效日],U53))),"日期不適用",INDEX(DB_05[核對狀態],U53)))))))))</f>
        <v/>
      </c>
      <c r="AD53" s="93">
        <f>IF(COUNTA($A53:$D53)=0,"",IF(AC53="未訂此介質／測項門檻",AC53,IF(AC53&lt;&gt;"已核對","標準待核",IF(R53="","未訂管制值",IF(NOT(ISNUMBER(L53)),"單位待核",IF(N53="ND","無法判定（ND無界限）",IF(N53="NA","不適用",IF(Z53&lt;&gt;"OK",Z53,IF(N53="數值",IF(Q53&gt;=R53,"達管制值","未達管制值"),IF(OR(N53="&lt;",N53="&lt;="),IF(OR(Q53&lt;R53,AND(N53="&lt;",Q53=R53)),"未達管制值","無法判定"),IF(OR(N53="&gt;",N53="&gt;="),IF(Q53&gt;=R53,"達管制值","無法判定"),"格式待核")))))))))))</f>
        <v/>
      </c>
      <c r="AE53" s="93">
        <f>IF(COUNTA($A53:$D53)=0,"",IF(AC53="未訂此介質／測項門檻",AC53,IF(AC53&lt;&gt;"已核對","標準待核",IF(S53="","未訂監測值",IF(NOT(ISNUMBER(L53)),"單位待核",IF(N53="ND","無法判定（ND無界限）",IF(N53="NA","不適用",IF(Z53&lt;&gt;"OK",Z53,IF(N53="數值",IF(Q53&gt;=S53,"達監測值","未達監測值"),IF(OR(N53="&lt;",N53="&lt;="),IF(OR(Q53&lt;S53,AND(N53="&lt;",Q53=S53)),"未達監測值","無法判定"),IF(OR(N53="&gt;",N53="&gt;="),IF(Q53&gt;=S53,"達監測值","無法判定"),"格式待核")))))))))))</f>
        <v/>
      </c>
      <c r="AF53" s="93">
        <f>IF(COUNTA($A53:$D53)=0,"",IF(OR(E53="",A53="",B53="",C53=""),"缺必要欄位",IF(Y53&lt;&gt;"OK","樣品資料待補",IF(T53=0,"測項未建或重複",IF(INDEX(DB_04[啟用],T53)&lt;&gt;"是","測項停用",IF(AND(Z53&lt;&gt;"OK",Z53&lt;&gt;"不適用"),Z53,IF(AND(AB53&lt;&gt;"OK",AB53&lt;&gt;"已換算"),"單位待核",IF(AA53&lt;&gt;"OK",AA53,"OK"))))))))</f>
        <v/>
      </c>
      <c r="AG53" s="93">
        <f>IF(COUNTA($A53:$D53)=0,"",IF(N53="ND","ND取0",IF(OR(N53="&lt;",N53="&lt;="),"界限除以2",IF(N53="NA","不適用",IF(OR(N53="&gt;",N53="&gt;="),"保留界限數值","保留原數值")))))</f>
        <v/>
      </c>
      <c r="AH53" s="92">
        <f>IF(O53="","",IFERROR(_xlfn.NUMBERVALUE(O53,".",","),""))</f>
        <v/>
      </c>
      <c r="AI53" s="92">
        <f>IF(H53="","",IFERROR(MATCH(H53,Samples[樣品編號],0),0))</f>
        <v/>
      </c>
    </row>
    <row r="54">
      <c r="A54" s="27" t="inlineStr">
        <is>
          <t>DO</t>
        </is>
      </c>
      <c r="B54" s="28" t="inlineStr">
        <is>
          <t>6.2</t>
        </is>
      </c>
      <c r="C54" s="27" t="inlineStr">
        <is>
          <t>mg/L</t>
        </is>
      </c>
      <c r="D54" s="39" t="inlineStr">
        <is>
          <t>合成資料，非實測；method=field</t>
        </is>
      </c>
      <c r="E54" s="29">
        <f>IF(OR(I54="",I54=0),"",IF(INDEX(Samples[監測點],I54)="","",INDEX(Samples[監測點],I54)))</f>
        <v/>
      </c>
      <c r="F54" s="90">
        <f>IF(OR(I54="",I54=0),"",IF(INDEX(Samples[採樣日期],I54)="","",INDEX(Samples[採樣日期],I54)))</f>
        <v/>
      </c>
      <c r="G54" s="91">
        <f>IF(OR(M54="",M54="NA",M54="N/A"),"",IF(OR(M54="ND",M54="N.D."),0,IFERROR(IF(OR(OR(ISNUMBER(SEARCH("%",O54)),ISNUMBER(SEARCH(" ",O54)),ISNUMBER(SEARCH(",",O54))),OR(SUBSTITUTE(SUBSTITUTE(SUBSTITUTE(SUBSTITUTE(SUBSTITUTE(SUBSTITUTE(SUBSTITUTE(SUBSTITUTE(SUBSTITUTE(SUBSTITUTE(SUBSTITUTE(SUBSTITUTE(SUBSTITUTE(SUBSTITUTE(SUBSTITUTE(SUBSTITUTE(SUBSTITUTE(SUBSTITUTE("x"&amp;M54,"0",""),"1",""),"2",""),"3",""),"4",""),"5",""),"6",""),"7",""),"8",""),"9",""),".",""),"E",""),"+",""),"-",""),"&lt;",""),"&gt;",""),"=","")," ","")&lt;&gt;"x",ISNUMBER(SEARCH("-",SUBSTITUTE(SUBSTITUTE("x"&amp;MID(M54,2,99),"E-","E"),"E+","E"))),ISNUMBER(SEARCH("+",SUBSTITUTE(SUBSTITUTE("x"&amp;MID(M54,2,99),"E-","E"),"E+","E"))))),"",IF(AND(OR(LEFT(M54,1)="&lt;",LEFT(M54,1)="&gt;"),IF(O54="",0,IF(ISNUMBER(AH54),AH54,NA()))&lt;0),"",IF(O54="",0,IF(ISNUMBER(AH54),AH54,NA()))/IF(LEFT(M54,1)="&lt;",2,1))),"")))</f>
        <v/>
      </c>
      <c r="H54" s="57" t="inlineStr">
        <is>
          <t>BH02-W_20260115_01</t>
        </is>
      </c>
      <c r="I54" s="92">
        <f>IF(OR(H54="",AI54=0),0,IF(INDEX(Samples[樣品重複筆數],AI54)=1,AI54,0))</f>
        <v/>
      </c>
      <c r="J54" s="92">
        <f>IF(OR(COUNTA($A54:$D54)=0,I54=0),"",IF(INDEX(Samples[介質],I54)="","",INDEX(Samples[介質],I54)))</f>
        <v/>
      </c>
      <c r="K54" s="92">
        <f>IF(OR(COUNTA($A54:$D54)=0,T54=0),"",IF(INDEX(DB_04[標準單位],T54)="","",INDEX(DB_04[標準單位],T54)))</f>
        <v/>
      </c>
      <c r="L54" s="92">
        <f>IF(COUNTA($A54:$D54)=0,"",IF(OR(C54="",K54=""),"",IF(C54=K54,1,IF(COUNTIFS(DB_06[換算鍵],C54&amp;"|"&amp;K54,DB_06[換算檢查],"OK")=1,INDEX(DB_06[乘數],MATCH(C54&amp;"|"&amp;K54,DB_06[換算鍵],0)),""))))</f>
        <v/>
      </c>
      <c r="M54" s="92">
        <f>UPPER(SUBSTITUTE(SUBSTITUTE(SUBSTITUTE(SUBSTITUTE(TRIM(B54&amp;""),"＜","&lt;"),"＞","&gt;"),"≤","&lt;="),"≥","&gt;="))</f>
        <v/>
      </c>
      <c r="N54" s="92">
        <f>IF(M54="","",IF(OR(M54="ND",M54="N.D."),"ND",IF(OR(M54="NA",M54="N/A",M54="N.A."),"NA",IF(OR(LEFT(M54,2)="&lt;=",LEFT(M54,2)="&gt;="),LEFT(M54,2),IF(OR(LEFT(M54,1)="&lt;",LEFT(M54,1)="&gt;"),LEFT(M54,1),"數值")))))</f>
        <v/>
      </c>
      <c r="O54" s="92">
        <f>IF(OR(N54="",N54="ND",N54="NA"),"",IF(N54="數值",M54,TRIM(MID(M54,LEN(N54)+1,99))))</f>
        <v/>
      </c>
      <c r="P54" s="92">
        <f>IF(O54="","",IFERROR(IF(OR(OR(ISNUMBER(SEARCH("%",O54)),ISNUMBER(SEARCH(" ",O54)),ISNUMBER(SEARCH(",",O54))),OR(SUBSTITUTE(SUBSTITUTE(SUBSTITUTE(SUBSTITUTE(SUBSTITUTE(SUBSTITUTE(SUBSTITUTE(SUBSTITUTE(SUBSTITUTE(SUBSTITUTE(SUBSTITUTE(SUBSTITUTE(SUBSTITUTE(SUBSTITUTE(SUBSTITUTE(SUBSTITUTE(SUBSTITUTE(SUBSTITUTE("x"&amp;O54,"0",""),"1",""),"2",""),"3",""),"4",""),"5",""),"6",""),"7",""),"8",""),"9",""),".",""),"E",""),"+",""),"-",""),"&lt;",""),"&gt;",""),"=","")," ","")&lt;&gt;"x",ISNUMBER(SEARCH("-",SUBSTITUTE(SUBSTITUTE("x"&amp;MID(O54,2,99),"E-","E"),"E+","E"))),ISNUMBER(SEARCH("+",SUBSTITUTE(SUBSTITUTE("x"&amp;MID(O54,2,99),"E-","E"),"E+","E"))))),"",IF(ISNUMBER(AH54),AH54,NA())),""))</f>
        <v/>
      </c>
      <c r="Q54" s="92">
        <f>IF(AND(ISNUMBER(L54),ISNUMBER(P54)),L54*P54,"")</f>
        <v/>
      </c>
      <c r="R54" s="92">
        <f>IF(OR(COUNTA($A54:$D54)=0,U54=0),"",IF(INDEX(DB_05[管制設定值],U54)="","",INDEX(DB_05[管制設定值],U54)))</f>
        <v/>
      </c>
      <c r="S54" s="92">
        <f>IF(OR(COUNTA($A54:$D54)=0,U54=0),"",IF(INDEX(DB_05[監測設定值],U54)="","",INDEX(DB_05[監測設定值],U54)))</f>
        <v/>
      </c>
      <c r="T54" s="92">
        <f>IF(COUNTA($A54:$D54)=0,"",IF(COUNTIFS(DB_04[測項鍵],V54)=1,MATCH(V54,DB_04[測項鍵],0),0))</f>
        <v/>
      </c>
      <c r="U54" s="92">
        <f>IF(COUNTA($A54:$D54)=0,"",IF(COUNTIFS(DB_05[標準鍵],W54)=1,MATCH(W54,DB_05[標準鍵],0),0))</f>
        <v/>
      </c>
      <c r="V54" s="92">
        <f>IF(OR(J54="",A54=""),"",J54&amp;"|"&amp;A54)</f>
        <v/>
      </c>
      <c r="W54" s="92">
        <f>IF(OR('07_QAQC'!$C$3="",V54=""),"",'07_QAQC'!$C$3&amp;"|"&amp;V54)</f>
        <v/>
      </c>
      <c r="X54" s="92">
        <f>IF(OR(H54="",A54=""),"",LEN(H54)&amp;":"&amp;H54&amp;LEN(A54)&amp;":"&amp;A54)</f>
        <v/>
      </c>
      <c r="Y54" s="93">
        <f>IF(COUNTA($A54:$D54)=0,"",IF(I54=0,"樣品未建或重複",IF(INDEX(Samples[樣品檢查],I54)="","OK",INDEX(Samples[樣品檢查],I54))))</f>
        <v/>
      </c>
      <c r="Z54" s="93">
        <f>IF(COUNTA($A54:$D54)=0,"",IF(B54="","缺原始值",IF(OR(B54="-",B54="--"),"無資料",IF(N54="NA","不適用",IF(N54="ND","OK",IF(NOT(ISNUMBER(P54)),"格式待核",IF(AND(N54&lt;&gt;"數值",P54&lt;0),"界限不得為負","OK")))))))</f>
        <v/>
      </c>
      <c r="AA54" s="93">
        <f>IF(COUNTA(A54:D54)=0,"",IF(OR(A54="",H54=""),"缺識別欄位",IF(IF(LEN("="&amp;SUBSTITUTE(SUBSTITUTE(SUBSTITUTE(X54,"~","~~"),"*","~*"),"?","~?"))&lt;=255,COUNTIF(Results[結果識別鍵],"="&amp;SUBSTITUTE(SUBSTITUTE(SUBSTITUTE(X54,"~","~~"),"*","~*"),"?","~?")),COUNTIFS(Results[關聯鍵],"="&amp;SUBSTITUTE(SUBSTITUTE(SUBSTITUTE(H54,"~","~~"),"*","~*"),"?","~?"),Results[分析項目],"="&amp;SUBSTITUTE(SUBSTITUTE(SUBSTITUTE(A54,"~","~~"),"*","~*"),"?","~?")))&gt;1,"同關聯鍵測項重複","OK")))</f>
        <v/>
      </c>
      <c r="AB54" s="93">
        <f>IF(COUNTA($A54:$D54)=0,"",IF(OR(C54="",K54=""),"缺單位",IF(NOT(ISNUMBER(L54)),"單位不相容",IF(L54=1,"OK","已換算"))))</f>
        <v/>
      </c>
      <c r="AC54" s="93">
        <f>IF(COUNTA($A54:$D54)=0,"",IF('07_QAQC'!$C$3="","未選比較版本",IF(U54=0,IF(COUNTIFS(DB_05[標準鍵],W54)&gt;1,"標準鍵重複","未訂此介質／測項門檻"),IF(INDEX(DB_05[版本檢查],U54)&lt;&gt;"OK","標準主檔待核",IF(INDEX(DB_05[標準單位],U54)&lt;&gt;K54,"標準單位不符",IF(INDEX(DB_05[核對狀態],U54)="停用","停用",IF(F54="","缺採樣日期",IF(OR(AND(INDEX(DB_05[生效日],U54)&lt;&gt;"",F54&lt;INDEX(DB_05[生效日],U54)),AND(INDEX(DB_05[失效日],U54)&lt;&gt;"",F54&gt;INDEX(DB_05[失效日],U54))),"日期不適用",INDEX(DB_05[核對狀態],U54)))))))))</f>
        <v/>
      </c>
      <c r="AD54" s="93">
        <f>IF(COUNTA($A54:$D54)=0,"",IF(AC54="未訂此介質／測項門檻",AC54,IF(AC54&lt;&gt;"已核對","標準待核",IF(R54="","未訂管制值",IF(NOT(ISNUMBER(L54)),"單位待核",IF(N54="ND","無法判定（ND無界限）",IF(N54="NA","不適用",IF(Z54&lt;&gt;"OK",Z54,IF(N54="數值",IF(Q54&gt;=R54,"達管制值","未達管制值"),IF(OR(N54="&lt;",N54="&lt;="),IF(OR(Q54&lt;R54,AND(N54="&lt;",Q54=R54)),"未達管制值","無法判定"),IF(OR(N54="&gt;",N54="&gt;="),IF(Q54&gt;=R54,"達管制值","無法判定"),"格式待核")))))))))))</f>
        <v/>
      </c>
      <c r="AE54" s="93">
        <f>IF(COUNTA($A54:$D54)=0,"",IF(AC54="未訂此介質／測項門檻",AC54,IF(AC54&lt;&gt;"已核對","標準待核",IF(S54="","未訂監測值",IF(NOT(ISNUMBER(L54)),"單位待核",IF(N54="ND","無法判定（ND無界限）",IF(N54="NA","不適用",IF(Z54&lt;&gt;"OK",Z54,IF(N54="數值",IF(Q54&gt;=S54,"達監測值","未達監測值"),IF(OR(N54="&lt;",N54="&lt;="),IF(OR(Q54&lt;S54,AND(N54="&lt;",Q54=S54)),"未達監測值","無法判定"),IF(OR(N54="&gt;",N54="&gt;="),IF(Q54&gt;=S54,"達監測值","無法判定"),"格式待核")))))))))))</f>
        <v/>
      </c>
      <c r="AF54" s="93">
        <f>IF(COUNTA($A54:$D54)=0,"",IF(OR(E54="",A54="",B54="",C54=""),"缺必要欄位",IF(Y54&lt;&gt;"OK","樣品資料待補",IF(T54=0,"測項未建或重複",IF(INDEX(DB_04[啟用],T54)&lt;&gt;"是","測項停用",IF(AND(Z54&lt;&gt;"OK",Z54&lt;&gt;"不適用"),Z54,IF(AND(AB54&lt;&gt;"OK",AB54&lt;&gt;"已換算"),"單位待核",IF(AA54&lt;&gt;"OK",AA54,"OK"))))))))</f>
        <v/>
      </c>
      <c r="AG54" s="93">
        <f>IF(COUNTA($A54:$D54)=0,"",IF(N54="ND","ND取0",IF(OR(N54="&lt;",N54="&lt;="),"界限除以2",IF(N54="NA","不適用",IF(OR(N54="&gt;",N54="&gt;="),"保留界限數值","保留原數值")))))</f>
        <v/>
      </c>
      <c r="AH54" s="92">
        <f>IF(O54="","",IFERROR(_xlfn.NUMBERVALUE(O54,".",","),""))</f>
        <v/>
      </c>
      <c r="AI54" s="92">
        <f>IF(H54="","",IFERROR(MATCH(H54,Samples[樣品編號],0),0))</f>
        <v/>
      </c>
    </row>
    <row r="55">
      <c r="A55" s="27" t="inlineStr">
        <is>
          <t>溶氧飽和度</t>
        </is>
      </c>
      <c r="B55" s="28" t="inlineStr">
        <is>
          <t>74</t>
        </is>
      </c>
      <c r="C55" s="27" t="inlineStr">
        <is>
          <t>%</t>
        </is>
      </c>
      <c r="D55" s="39" t="inlineStr">
        <is>
          <t>合成資料，非實測；method=field</t>
        </is>
      </c>
      <c r="E55" s="29">
        <f>IF(OR(I55="",I55=0),"",IF(INDEX(Samples[監測點],I55)="","",INDEX(Samples[監測點],I55)))</f>
        <v/>
      </c>
      <c r="F55" s="90">
        <f>IF(OR(I55="",I55=0),"",IF(INDEX(Samples[採樣日期],I55)="","",INDEX(Samples[採樣日期],I55)))</f>
        <v/>
      </c>
      <c r="G55" s="91">
        <f>IF(OR(M55="",M55="NA",M55="N/A"),"",IF(OR(M55="ND",M55="N.D."),0,IFERROR(IF(OR(OR(ISNUMBER(SEARCH("%",O55)),ISNUMBER(SEARCH(" ",O55)),ISNUMBER(SEARCH(",",O55))),OR(SUBSTITUTE(SUBSTITUTE(SUBSTITUTE(SUBSTITUTE(SUBSTITUTE(SUBSTITUTE(SUBSTITUTE(SUBSTITUTE(SUBSTITUTE(SUBSTITUTE(SUBSTITUTE(SUBSTITUTE(SUBSTITUTE(SUBSTITUTE(SUBSTITUTE(SUBSTITUTE(SUBSTITUTE(SUBSTITUTE("x"&amp;M55,"0",""),"1",""),"2",""),"3",""),"4",""),"5",""),"6",""),"7",""),"8",""),"9",""),".",""),"E",""),"+",""),"-",""),"&lt;",""),"&gt;",""),"=","")," ","")&lt;&gt;"x",ISNUMBER(SEARCH("-",SUBSTITUTE(SUBSTITUTE("x"&amp;MID(M55,2,99),"E-","E"),"E+","E"))),ISNUMBER(SEARCH("+",SUBSTITUTE(SUBSTITUTE("x"&amp;MID(M55,2,99),"E-","E"),"E+","E"))))),"",IF(AND(OR(LEFT(M55,1)="&lt;",LEFT(M55,1)="&gt;"),IF(O55="",0,IF(ISNUMBER(AH55),AH55,NA()))&lt;0),"",IF(O55="",0,IF(ISNUMBER(AH55),AH55,NA()))/IF(LEFT(M55,1)="&lt;",2,1))),"")))</f>
        <v/>
      </c>
      <c r="H55" s="57" t="inlineStr">
        <is>
          <t>BH02-W_20260115_01</t>
        </is>
      </c>
      <c r="I55" s="92">
        <f>IF(OR(H55="",AI55=0),0,IF(INDEX(Samples[樣品重複筆數],AI55)=1,AI55,0))</f>
        <v/>
      </c>
      <c r="J55" s="92">
        <f>IF(OR(COUNTA($A55:$D55)=0,I55=0),"",IF(INDEX(Samples[介質],I55)="","",INDEX(Samples[介質],I55)))</f>
        <v/>
      </c>
      <c r="K55" s="92">
        <f>IF(OR(COUNTA($A55:$D55)=0,T55=0),"",IF(INDEX(DB_04[標準單位],T55)="","",INDEX(DB_04[標準單位],T55)))</f>
        <v/>
      </c>
      <c r="L55" s="92">
        <f>IF(COUNTA($A55:$D55)=0,"",IF(OR(C55="",K55=""),"",IF(C55=K55,1,IF(COUNTIFS(DB_06[換算鍵],C55&amp;"|"&amp;K55,DB_06[換算檢查],"OK")=1,INDEX(DB_06[乘數],MATCH(C55&amp;"|"&amp;K55,DB_06[換算鍵],0)),""))))</f>
        <v/>
      </c>
      <c r="M55" s="92">
        <f>UPPER(SUBSTITUTE(SUBSTITUTE(SUBSTITUTE(SUBSTITUTE(TRIM(B55&amp;""),"＜","&lt;"),"＞","&gt;"),"≤","&lt;="),"≥","&gt;="))</f>
        <v/>
      </c>
      <c r="N55" s="92">
        <f>IF(M55="","",IF(OR(M55="ND",M55="N.D."),"ND",IF(OR(M55="NA",M55="N/A",M55="N.A."),"NA",IF(OR(LEFT(M55,2)="&lt;=",LEFT(M55,2)="&gt;="),LEFT(M55,2),IF(OR(LEFT(M55,1)="&lt;",LEFT(M55,1)="&gt;"),LEFT(M55,1),"數值")))))</f>
        <v/>
      </c>
      <c r="O55" s="92">
        <f>IF(OR(N55="",N55="ND",N55="NA"),"",IF(N55="數值",M55,TRIM(MID(M55,LEN(N55)+1,99))))</f>
        <v/>
      </c>
      <c r="P55" s="92">
        <f>IF(O55="","",IFERROR(IF(OR(OR(ISNUMBER(SEARCH("%",O55)),ISNUMBER(SEARCH(" ",O55)),ISNUMBER(SEARCH(",",O55))),OR(SUBSTITUTE(SUBSTITUTE(SUBSTITUTE(SUBSTITUTE(SUBSTITUTE(SUBSTITUTE(SUBSTITUTE(SUBSTITUTE(SUBSTITUTE(SUBSTITUTE(SUBSTITUTE(SUBSTITUTE(SUBSTITUTE(SUBSTITUTE(SUBSTITUTE(SUBSTITUTE(SUBSTITUTE(SUBSTITUTE("x"&amp;O55,"0",""),"1",""),"2",""),"3",""),"4",""),"5",""),"6",""),"7",""),"8",""),"9",""),".",""),"E",""),"+",""),"-",""),"&lt;",""),"&gt;",""),"=","")," ","")&lt;&gt;"x",ISNUMBER(SEARCH("-",SUBSTITUTE(SUBSTITUTE("x"&amp;MID(O55,2,99),"E-","E"),"E+","E"))),ISNUMBER(SEARCH("+",SUBSTITUTE(SUBSTITUTE("x"&amp;MID(O55,2,99),"E-","E"),"E+","E"))))),"",IF(ISNUMBER(AH55),AH55,NA())),""))</f>
        <v/>
      </c>
      <c r="Q55" s="92">
        <f>IF(AND(ISNUMBER(L55),ISNUMBER(P55)),L55*P55,"")</f>
        <v/>
      </c>
      <c r="R55" s="92">
        <f>IF(OR(COUNTA($A55:$D55)=0,U55=0),"",IF(INDEX(DB_05[管制設定值],U55)="","",INDEX(DB_05[管制設定值],U55)))</f>
        <v/>
      </c>
      <c r="S55" s="92">
        <f>IF(OR(COUNTA($A55:$D55)=0,U55=0),"",IF(INDEX(DB_05[監測設定值],U55)="","",INDEX(DB_05[監測設定值],U55)))</f>
        <v/>
      </c>
      <c r="T55" s="92">
        <f>IF(COUNTA($A55:$D55)=0,"",IF(COUNTIFS(DB_04[測項鍵],V55)=1,MATCH(V55,DB_04[測項鍵],0),0))</f>
        <v/>
      </c>
      <c r="U55" s="92">
        <f>IF(COUNTA($A55:$D55)=0,"",IF(COUNTIFS(DB_05[標準鍵],W55)=1,MATCH(W55,DB_05[標準鍵],0),0))</f>
        <v/>
      </c>
      <c r="V55" s="92">
        <f>IF(OR(J55="",A55=""),"",J55&amp;"|"&amp;A55)</f>
        <v/>
      </c>
      <c r="W55" s="92">
        <f>IF(OR('07_QAQC'!$C$3="",V55=""),"",'07_QAQC'!$C$3&amp;"|"&amp;V55)</f>
        <v/>
      </c>
      <c r="X55" s="92">
        <f>IF(OR(H55="",A55=""),"",LEN(H55)&amp;":"&amp;H55&amp;LEN(A55)&amp;":"&amp;A55)</f>
        <v/>
      </c>
      <c r="Y55" s="93">
        <f>IF(COUNTA($A55:$D55)=0,"",IF(I55=0,"樣品未建或重複",IF(INDEX(Samples[樣品檢查],I55)="","OK",INDEX(Samples[樣品檢查],I55))))</f>
        <v/>
      </c>
      <c r="Z55" s="93">
        <f>IF(COUNTA($A55:$D55)=0,"",IF(B55="","缺原始值",IF(OR(B55="-",B55="--"),"無資料",IF(N55="NA","不適用",IF(N55="ND","OK",IF(NOT(ISNUMBER(P55)),"格式待核",IF(AND(N55&lt;&gt;"數值",P55&lt;0),"界限不得為負","OK")))))))</f>
        <v/>
      </c>
      <c r="AA55" s="93">
        <f>IF(COUNTA(A55:D55)=0,"",IF(OR(A55="",H55=""),"缺識別欄位",IF(IF(LEN("="&amp;SUBSTITUTE(SUBSTITUTE(SUBSTITUTE(X55,"~","~~"),"*","~*"),"?","~?"))&lt;=255,COUNTIF(Results[結果識別鍵],"="&amp;SUBSTITUTE(SUBSTITUTE(SUBSTITUTE(X55,"~","~~"),"*","~*"),"?","~?")),COUNTIFS(Results[關聯鍵],"="&amp;SUBSTITUTE(SUBSTITUTE(SUBSTITUTE(H55,"~","~~"),"*","~*"),"?","~?"),Results[分析項目],"="&amp;SUBSTITUTE(SUBSTITUTE(SUBSTITUTE(A55,"~","~~"),"*","~*"),"?","~?")))&gt;1,"同關聯鍵測項重複","OK")))</f>
        <v/>
      </c>
      <c r="AB55" s="93">
        <f>IF(COUNTA($A55:$D55)=0,"",IF(OR(C55="",K55=""),"缺單位",IF(NOT(ISNUMBER(L55)),"單位不相容",IF(L55=1,"OK","已換算"))))</f>
        <v/>
      </c>
      <c r="AC55" s="93">
        <f>IF(COUNTA($A55:$D55)=0,"",IF('07_QAQC'!$C$3="","未選比較版本",IF(U55=0,IF(COUNTIFS(DB_05[標準鍵],W55)&gt;1,"標準鍵重複","未訂此介質／測項門檻"),IF(INDEX(DB_05[版本檢查],U55)&lt;&gt;"OK","標準主檔待核",IF(INDEX(DB_05[標準單位],U55)&lt;&gt;K55,"標準單位不符",IF(INDEX(DB_05[核對狀態],U55)="停用","停用",IF(F55="","缺採樣日期",IF(OR(AND(INDEX(DB_05[生效日],U55)&lt;&gt;"",F55&lt;INDEX(DB_05[生效日],U55)),AND(INDEX(DB_05[失效日],U55)&lt;&gt;"",F55&gt;INDEX(DB_05[失效日],U55))),"日期不適用",INDEX(DB_05[核對狀態],U55)))))))))</f>
        <v/>
      </c>
      <c r="AD55" s="93">
        <f>IF(COUNTA($A55:$D55)=0,"",IF(AC55="未訂此介質／測項門檻",AC55,IF(AC55&lt;&gt;"已核對","標準待核",IF(R55="","未訂管制值",IF(NOT(ISNUMBER(L55)),"單位待核",IF(N55="ND","無法判定（ND無界限）",IF(N55="NA","不適用",IF(Z55&lt;&gt;"OK",Z55,IF(N55="數值",IF(Q55&gt;=R55,"達管制值","未達管制值"),IF(OR(N55="&lt;",N55="&lt;="),IF(OR(Q55&lt;R55,AND(N55="&lt;",Q55=R55)),"未達管制值","無法判定"),IF(OR(N55="&gt;",N55="&gt;="),IF(Q55&gt;=R55,"達管制值","無法判定"),"格式待核")))))))))))</f>
        <v/>
      </c>
      <c r="AE55" s="93">
        <f>IF(COUNTA($A55:$D55)=0,"",IF(AC55="未訂此介質／測項門檻",AC55,IF(AC55&lt;&gt;"已核對","標準待核",IF(S55="","未訂監測值",IF(NOT(ISNUMBER(L55)),"單位待核",IF(N55="ND","無法判定（ND無界限）",IF(N55="NA","不適用",IF(Z55&lt;&gt;"OK",Z55,IF(N55="數值",IF(Q55&gt;=S55,"達監測值","未達監測值"),IF(OR(N55="&lt;",N55="&lt;="),IF(OR(Q55&lt;S55,AND(N55="&lt;",Q55=S55)),"未達監測值","無法判定"),IF(OR(N55="&gt;",N55="&gt;="),IF(Q55&gt;=S55,"達監測值","無法判定"),"格式待核")))))))))))</f>
        <v/>
      </c>
      <c r="AF55" s="93">
        <f>IF(COUNTA($A55:$D55)=0,"",IF(OR(E55="",A55="",B55="",C55=""),"缺必要欄位",IF(Y55&lt;&gt;"OK","樣品資料待補",IF(T55=0,"測項未建或重複",IF(INDEX(DB_04[啟用],T55)&lt;&gt;"是","測項停用",IF(AND(Z55&lt;&gt;"OK",Z55&lt;&gt;"不適用"),Z55,IF(AND(AB55&lt;&gt;"OK",AB55&lt;&gt;"已換算"),"單位待核",IF(AA55&lt;&gt;"OK",AA55,"OK"))))))))</f>
        <v/>
      </c>
      <c r="AG55" s="93">
        <f>IF(COUNTA($A55:$D55)=0,"",IF(N55="ND","ND取0",IF(OR(N55="&lt;",N55="&lt;="),"界限除以2",IF(N55="NA","不適用",IF(OR(N55="&gt;",N55="&gt;="),"保留界限數值","保留原數值")))))</f>
        <v/>
      </c>
      <c r="AH55" s="92">
        <f>IF(O55="","",IFERROR(_xlfn.NUMBERVALUE(O55,".",","),""))</f>
        <v/>
      </c>
      <c r="AI55" s="92">
        <f>IF(H55="","",IFERROR(MATCH(H55,Samples[樣品編號],0),0))</f>
        <v/>
      </c>
    </row>
    <row r="56">
      <c r="A56" s="27" t="inlineStr">
        <is>
          <t>ORP</t>
        </is>
      </c>
      <c r="B56" s="28" t="inlineStr">
        <is>
          <t>40</t>
        </is>
      </c>
      <c r="C56" s="27" t="inlineStr">
        <is>
          <t>mV</t>
        </is>
      </c>
      <c r="D56" s="39" t="inlineStr">
        <is>
          <t>合成資料，非實測；method=field; reference_electrode=Ag/AgCl; calibration=verified</t>
        </is>
      </c>
      <c r="E56" s="29">
        <f>IF(OR(I56="",I56=0),"",IF(INDEX(Samples[監測點],I56)="","",INDEX(Samples[監測點],I56)))</f>
        <v/>
      </c>
      <c r="F56" s="90">
        <f>IF(OR(I56="",I56=0),"",IF(INDEX(Samples[採樣日期],I56)="","",INDEX(Samples[採樣日期],I56)))</f>
        <v/>
      </c>
      <c r="G56" s="91">
        <f>IF(OR(M56="",M56="NA",M56="N/A"),"",IF(OR(M56="ND",M56="N.D."),0,IFERROR(IF(OR(OR(ISNUMBER(SEARCH("%",O56)),ISNUMBER(SEARCH(" ",O56)),ISNUMBER(SEARCH(",",O56))),OR(SUBSTITUTE(SUBSTITUTE(SUBSTITUTE(SUBSTITUTE(SUBSTITUTE(SUBSTITUTE(SUBSTITUTE(SUBSTITUTE(SUBSTITUTE(SUBSTITUTE(SUBSTITUTE(SUBSTITUTE(SUBSTITUTE(SUBSTITUTE(SUBSTITUTE(SUBSTITUTE(SUBSTITUTE(SUBSTITUTE("x"&amp;M56,"0",""),"1",""),"2",""),"3",""),"4",""),"5",""),"6",""),"7",""),"8",""),"9",""),".",""),"E",""),"+",""),"-",""),"&lt;",""),"&gt;",""),"=","")," ","")&lt;&gt;"x",ISNUMBER(SEARCH("-",SUBSTITUTE(SUBSTITUTE("x"&amp;MID(M56,2,99),"E-","E"),"E+","E"))),ISNUMBER(SEARCH("+",SUBSTITUTE(SUBSTITUTE("x"&amp;MID(M56,2,99),"E-","E"),"E+","E"))))),"",IF(AND(OR(LEFT(M56,1)="&lt;",LEFT(M56,1)="&gt;"),IF(O56="",0,IF(ISNUMBER(AH56),AH56,NA()))&lt;0),"",IF(O56="",0,IF(ISNUMBER(AH56),AH56,NA()))/IF(LEFT(M56,1)="&lt;",2,1))),"")))</f>
        <v/>
      </c>
      <c r="H56" s="57" t="inlineStr">
        <is>
          <t>BH02-W_20260115_01</t>
        </is>
      </c>
      <c r="I56" s="92">
        <f>IF(OR(H56="",AI56=0),0,IF(INDEX(Samples[樣品重複筆數],AI56)=1,AI56,0))</f>
        <v/>
      </c>
      <c r="J56" s="92">
        <f>IF(OR(COUNTA($A56:$D56)=0,I56=0),"",IF(INDEX(Samples[介質],I56)="","",INDEX(Samples[介質],I56)))</f>
        <v/>
      </c>
      <c r="K56" s="92">
        <f>IF(OR(COUNTA($A56:$D56)=0,T56=0),"",IF(INDEX(DB_04[標準單位],T56)="","",INDEX(DB_04[標準單位],T56)))</f>
        <v/>
      </c>
      <c r="L56" s="92">
        <f>IF(COUNTA($A56:$D56)=0,"",IF(OR(C56="",K56=""),"",IF(C56=K56,1,IF(COUNTIFS(DB_06[換算鍵],C56&amp;"|"&amp;K56,DB_06[換算檢查],"OK")=1,INDEX(DB_06[乘數],MATCH(C56&amp;"|"&amp;K56,DB_06[換算鍵],0)),""))))</f>
        <v/>
      </c>
      <c r="M56" s="92">
        <f>UPPER(SUBSTITUTE(SUBSTITUTE(SUBSTITUTE(SUBSTITUTE(TRIM(B56&amp;""),"＜","&lt;"),"＞","&gt;"),"≤","&lt;="),"≥","&gt;="))</f>
        <v/>
      </c>
      <c r="N56" s="92">
        <f>IF(M56="","",IF(OR(M56="ND",M56="N.D."),"ND",IF(OR(M56="NA",M56="N/A",M56="N.A."),"NA",IF(OR(LEFT(M56,2)="&lt;=",LEFT(M56,2)="&gt;="),LEFT(M56,2),IF(OR(LEFT(M56,1)="&lt;",LEFT(M56,1)="&gt;"),LEFT(M56,1),"數值")))))</f>
        <v/>
      </c>
      <c r="O56" s="92">
        <f>IF(OR(N56="",N56="ND",N56="NA"),"",IF(N56="數值",M56,TRIM(MID(M56,LEN(N56)+1,99))))</f>
        <v/>
      </c>
      <c r="P56" s="92">
        <f>IF(O56="","",IFERROR(IF(OR(OR(ISNUMBER(SEARCH("%",O56)),ISNUMBER(SEARCH(" ",O56)),ISNUMBER(SEARCH(",",O56))),OR(SUBSTITUTE(SUBSTITUTE(SUBSTITUTE(SUBSTITUTE(SUBSTITUTE(SUBSTITUTE(SUBSTITUTE(SUBSTITUTE(SUBSTITUTE(SUBSTITUTE(SUBSTITUTE(SUBSTITUTE(SUBSTITUTE(SUBSTITUTE(SUBSTITUTE(SUBSTITUTE(SUBSTITUTE(SUBSTITUTE("x"&amp;O56,"0",""),"1",""),"2",""),"3",""),"4",""),"5",""),"6",""),"7",""),"8",""),"9",""),".",""),"E",""),"+",""),"-",""),"&lt;",""),"&gt;",""),"=","")," ","")&lt;&gt;"x",ISNUMBER(SEARCH("-",SUBSTITUTE(SUBSTITUTE("x"&amp;MID(O56,2,99),"E-","E"),"E+","E"))),ISNUMBER(SEARCH("+",SUBSTITUTE(SUBSTITUTE("x"&amp;MID(O56,2,99),"E-","E"),"E+","E"))))),"",IF(ISNUMBER(AH56),AH56,NA())),""))</f>
        <v/>
      </c>
      <c r="Q56" s="92">
        <f>IF(AND(ISNUMBER(L56),ISNUMBER(P56)),L56*P56,"")</f>
        <v/>
      </c>
      <c r="R56" s="92">
        <f>IF(OR(COUNTA($A56:$D56)=0,U56=0),"",IF(INDEX(DB_05[管制設定值],U56)="","",INDEX(DB_05[管制設定值],U56)))</f>
        <v/>
      </c>
      <c r="S56" s="92">
        <f>IF(OR(COUNTA($A56:$D56)=0,U56=0),"",IF(INDEX(DB_05[監測設定值],U56)="","",INDEX(DB_05[監測設定值],U56)))</f>
        <v/>
      </c>
      <c r="T56" s="92">
        <f>IF(COUNTA($A56:$D56)=0,"",IF(COUNTIFS(DB_04[測項鍵],V56)=1,MATCH(V56,DB_04[測項鍵],0),0))</f>
        <v/>
      </c>
      <c r="U56" s="92">
        <f>IF(COUNTA($A56:$D56)=0,"",IF(COUNTIFS(DB_05[標準鍵],W56)=1,MATCH(W56,DB_05[標準鍵],0),0))</f>
        <v/>
      </c>
      <c r="V56" s="92">
        <f>IF(OR(J56="",A56=""),"",J56&amp;"|"&amp;A56)</f>
        <v/>
      </c>
      <c r="W56" s="92">
        <f>IF(OR('07_QAQC'!$C$3="",V56=""),"",'07_QAQC'!$C$3&amp;"|"&amp;V56)</f>
        <v/>
      </c>
      <c r="X56" s="92">
        <f>IF(OR(H56="",A56=""),"",LEN(H56)&amp;":"&amp;H56&amp;LEN(A56)&amp;":"&amp;A56)</f>
        <v/>
      </c>
      <c r="Y56" s="93">
        <f>IF(COUNTA($A56:$D56)=0,"",IF(I56=0,"樣品未建或重複",IF(INDEX(Samples[樣品檢查],I56)="","OK",INDEX(Samples[樣品檢查],I56))))</f>
        <v/>
      </c>
      <c r="Z56" s="93">
        <f>IF(COUNTA($A56:$D56)=0,"",IF(B56="","缺原始值",IF(OR(B56="-",B56="--"),"無資料",IF(N56="NA","不適用",IF(N56="ND","OK",IF(NOT(ISNUMBER(P56)),"格式待核",IF(AND(N56&lt;&gt;"數值",P56&lt;0),"界限不得為負","OK")))))))</f>
        <v/>
      </c>
      <c r="AA56" s="93">
        <f>IF(COUNTA(A56:D56)=0,"",IF(OR(A56="",H56=""),"缺識別欄位",IF(IF(LEN("="&amp;SUBSTITUTE(SUBSTITUTE(SUBSTITUTE(X56,"~","~~"),"*","~*"),"?","~?"))&lt;=255,COUNTIF(Results[結果識別鍵],"="&amp;SUBSTITUTE(SUBSTITUTE(SUBSTITUTE(X56,"~","~~"),"*","~*"),"?","~?")),COUNTIFS(Results[關聯鍵],"="&amp;SUBSTITUTE(SUBSTITUTE(SUBSTITUTE(H56,"~","~~"),"*","~*"),"?","~?"),Results[分析項目],"="&amp;SUBSTITUTE(SUBSTITUTE(SUBSTITUTE(A56,"~","~~"),"*","~*"),"?","~?")))&gt;1,"同關聯鍵測項重複","OK")))</f>
        <v/>
      </c>
      <c r="AB56" s="93">
        <f>IF(COUNTA($A56:$D56)=0,"",IF(OR(C56="",K56=""),"缺單位",IF(NOT(ISNUMBER(L56)),"單位不相容",IF(L56=1,"OK","已換算"))))</f>
        <v/>
      </c>
      <c r="AC56" s="93">
        <f>IF(COUNTA($A56:$D56)=0,"",IF('07_QAQC'!$C$3="","未選比較版本",IF(U56=0,IF(COUNTIFS(DB_05[標準鍵],W56)&gt;1,"標準鍵重複","未訂此介質／測項門檻"),IF(INDEX(DB_05[版本檢查],U56)&lt;&gt;"OK","標準主檔待核",IF(INDEX(DB_05[標準單位],U56)&lt;&gt;K56,"標準單位不符",IF(INDEX(DB_05[核對狀態],U56)="停用","停用",IF(F56="","缺採樣日期",IF(OR(AND(INDEX(DB_05[生效日],U56)&lt;&gt;"",F56&lt;INDEX(DB_05[生效日],U56)),AND(INDEX(DB_05[失效日],U56)&lt;&gt;"",F56&gt;INDEX(DB_05[失效日],U56))),"日期不適用",INDEX(DB_05[核對狀態],U56)))))))))</f>
        <v/>
      </c>
      <c r="AD56" s="93">
        <f>IF(COUNTA($A56:$D56)=0,"",IF(AC56="未訂此介質／測項門檻",AC56,IF(AC56&lt;&gt;"已核對","標準待核",IF(R56="","未訂管制值",IF(NOT(ISNUMBER(L56)),"單位待核",IF(N56="ND","無法判定（ND無界限）",IF(N56="NA","不適用",IF(Z56&lt;&gt;"OK",Z56,IF(N56="數值",IF(Q56&gt;=R56,"達管制值","未達管制值"),IF(OR(N56="&lt;",N56="&lt;="),IF(OR(Q56&lt;R56,AND(N56="&lt;",Q56=R56)),"未達管制值","無法判定"),IF(OR(N56="&gt;",N56="&gt;="),IF(Q56&gt;=R56,"達管制值","無法判定"),"格式待核")))))))))))</f>
        <v/>
      </c>
      <c r="AE56" s="93">
        <f>IF(COUNTA($A56:$D56)=0,"",IF(AC56="未訂此介質／測項門檻",AC56,IF(AC56&lt;&gt;"已核對","標準待核",IF(S56="","未訂監測值",IF(NOT(ISNUMBER(L56)),"單位待核",IF(N56="ND","無法判定（ND無界限）",IF(N56="NA","不適用",IF(Z56&lt;&gt;"OK",Z56,IF(N56="數值",IF(Q56&gt;=S56,"達監測值","未達監測值"),IF(OR(N56="&lt;",N56="&lt;="),IF(OR(Q56&lt;S56,AND(N56="&lt;",Q56=S56)),"未達監測值","無法判定"),IF(OR(N56="&gt;",N56="&gt;="),IF(Q56&gt;=S56,"達監測值","無法判定"),"格式待核")))))))))))</f>
        <v/>
      </c>
      <c r="AF56" s="93">
        <f>IF(COUNTA($A56:$D56)=0,"",IF(OR(E56="",A56="",B56="",C56=""),"缺必要欄位",IF(Y56&lt;&gt;"OK","樣品資料待補",IF(T56=0,"測項未建或重複",IF(INDEX(DB_04[啟用],T56)&lt;&gt;"是","測項停用",IF(AND(Z56&lt;&gt;"OK",Z56&lt;&gt;"不適用"),Z56,IF(AND(AB56&lt;&gt;"OK",AB56&lt;&gt;"已換算"),"單位待核",IF(AA56&lt;&gt;"OK",AA56,"OK"))))))))</f>
        <v/>
      </c>
      <c r="AG56" s="93">
        <f>IF(COUNTA($A56:$D56)=0,"",IF(N56="ND","ND取0",IF(OR(N56="&lt;",N56="&lt;="),"界限除以2",IF(N56="NA","不適用",IF(OR(N56="&gt;",N56="&gt;="),"保留界限數值","保留原數值")))))</f>
        <v/>
      </c>
      <c r="AH56" s="92">
        <f>IF(O56="","",IFERROR(_xlfn.NUMBERVALUE(O56,".",","),""))</f>
        <v/>
      </c>
      <c r="AI56" s="92">
        <f>IF(H56="","",IFERROR(MATCH(H56,Samples[樣品編號],0),0))</f>
        <v/>
      </c>
    </row>
    <row r="57">
      <c r="A57" s="27" t="inlineStr">
        <is>
          <t>總有機碳</t>
        </is>
      </c>
      <c r="B57" s="28" t="inlineStr">
        <is>
          <t>2.4</t>
        </is>
      </c>
      <c r="C57" s="27" t="inlineStr">
        <is>
          <t>mg/L</t>
        </is>
      </c>
      <c r="D57" s="39" t="inlineStr">
        <is>
          <t>合成資料，非實測；method=lab</t>
        </is>
      </c>
      <c r="E57" s="29">
        <f>IF(OR(I57="",I57=0),"",IF(INDEX(Samples[監測點],I57)="","",INDEX(Samples[監測點],I57)))</f>
        <v/>
      </c>
      <c r="F57" s="90">
        <f>IF(OR(I57="",I57=0),"",IF(INDEX(Samples[採樣日期],I57)="","",INDEX(Samples[採樣日期],I57)))</f>
        <v/>
      </c>
      <c r="G57" s="91">
        <f>IF(OR(M57="",M57="NA",M57="N/A"),"",IF(OR(M57="ND",M57="N.D."),0,IFERROR(IF(OR(OR(ISNUMBER(SEARCH("%",O57)),ISNUMBER(SEARCH(" ",O57)),ISNUMBER(SEARCH(",",O57))),OR(SUBSTITUTE(SUBSTITUTE(SUBSTITUTE(SUBSTITUTE(SUBSTITUTE(SUBSTITUTE(SUBSTITUTE(SUBSTITUTE(SUBSTITUTE(SUBSTITUTE(SUBSTITUTE(SUBSTITUTE(SUBSTITUTE(SUBSTITUTE(SUBSTITUTE(SUBSTITUTE(SUBSTITUTE(SUBSTITUTE("x"&amp;M57,"0",""),"1",""),"2",""),"3",""),"4",""),"5",""),"6",""),"7",""),"8",""),"9",""),".",""),"E",""),"+",""),"-",""),"&lt;",""),"&gt;",""),"=","")," ","")&lt;&gt;"x",ISNUMBER(SEARCH("-",SUBSTITUTE(SUBSTITUTE("x"&amp;MID(M57,2,99),"E-","E"),"E+","E"))),ISNUMBER(SEARCH("+",SUBSTITUTE(SUBSTITUTE("x"&amp;MID(M57,2,99),"E-","E"),"E+","E"))))),"",IF(AND(OR(LEFT(M57,1)="&lt;",LEFT(M57,1)="&gt;"),IF(O57="",0,IF(ISNUMBER(AH57),AH57,NA()))&lt;0),"",IF(O57="",0,IF(ISNUMBER(AH57),AH57,NA()))/IF(LEFT(M57,1)="&lt;",2,1))),"")))</f>
        <v/>
      </c>
      <c r="H57" s="57" t="inlineStr">
        <is>
          <t>BH02-W_20260115_01</t>
        </is>
      </c>
      <c r="I57" s="92">
        <f>IF(OR(H57="",AI57=0),0,IF(INDEX(Samples[樣品重複筆數],AI57)=1,AI57,0))</f>
        <v/>
      </c>
      <c r="J57" s="92">
        <f>IF(OR(COUNTA($A57:$D57)=0,I57=0),"",IF(INDEX(Samples[介質],I57)="","",INDEX(Samples[介質],I57)))</f>
        <v/>
      </c>
      <c r="K57" s="92">
        <f>IF(OR(COUNTA($A57:$D57)=0,T57=0),"",IF(INDEX(DB_04[標準單位],T57)="","",INDEX(DB_04[標準單位],T57)))</f>
        <v/>
      </c>
      <c r="L57" s="92">
        <f>IF(COUNTA($A57:$D57)=0,"",IF(OR(C57="",K57=""),"",IF(C57=K57,1,IF(COUNTIFS(DB_06[換算鍵],C57&amp;"|"&amp;K57,DB_06[換算檢查],"OK")=1,INDEX(DB_06[乘數],MATCH(C57&amp;"|"&amp;K57,DB_06[換算鍵],0)),""))))</f>
        <v/>
      </c>
      <c r="M57" s="92">
        <f>UPPER(SUBSTITUTE(SUBSTITUTE(SUBSTITUTE(SUBSTITUTE(TRIM(B57&amp;""),"＜","&lt;"),"＞","&gt;"),"≤","&lt;="),"≥","&gt;="))</f>
        <v/>
      </c>
      <c r="N57" s="92">
        <f>IF(M57="","",IF(OR(M57="ND",M57="N.D."),"ND",IF(OR(M57="NA",M57="N/A",M57="N.A."),"NA",IF(OR(LEFT(M57,2)="&lt;=",LEFT(M57,2)="&gt;="),LEFT(M57,2),IF(OR(LEFT(M57,1)="&lt;",LEFT(M57,1)="&gt;"),LEFT(M57,1),"數值")))))</f>
        <v/>
      </c>
      <c r="O57" s="92">
        <f>IF(OR(N57="",N57="ND",N57="NA"),"",IF(N57="數值",M57,TRIM(MID(M57,LEN(N57)+1,99))))</f>
        <v/>
      </c>
      <c r="P57" s="92">
        <f>IF(O57="","",IFERROR(IF(OR(OR(ISNUMBER(SEARCH("%",O57)),ISNUMBER(SEARCH(" ",O57)),ISNUMBER(SEARCH(",",O57))),OR(SUBSTITUTE(SUBSTITUTE(SUBSTITUTE(SUBSTITUTE(SUBSTITUTE(SUBSTITUTE(SUBSTITUTE(SUBSTITUTE(SUBSTITUTE(SUBSTITUTE(SUBSTITUTE(SUBSTITUTE(SUBSTITUTE(SUBSTITUTE(SUBSTITUTE(SUBSTITUTE(SUBSTITUTE(SUBSTITUTE("x"&amp;O57,"0",""),"1",""),"2",""),"3",""),"4",""),"5",""),"6",""),"7",""),"8",""),"9",""),".",""),"E",""),"+",""),"-",""),"&lt;",""),"&gt;",""),"=","")," ","")&lt;&gt;"x",ISNUMBER(SEARCH("-",SUBSTITUTE(SUBSTITUTE("x"&amp;MID(O57,2,99),"E-","E"),"E+","E"))),ISNUMBER(SEARCH("+",SUBSTITUTE(SUBSTITUTE("x"&amp;MID(O57,2,99),"E-","E"),"E+","E"))))),"",IF(ISNUMBER(AH57),AH57,NA())),""))</f>
        <v/>
      </c>
      <c r="Q57" s="92">
        <f>IF(AND(ISNUMBER(L57),ISNUMBER(P57)),L57*P57,"")</f>
        <v/>
      </c>
      <c r="R57" s="92">
        <f>IF(OR(COUNTA($A57:$D57)=0,U57=0),"",IF(INDEX(DB_05[管制設定值],U57)="","",INDEX(DB_05[管制設定值],U57)))</f>
        <v/>
      </c>
      <c r="S57" s="92">
        <f>IF(OR(COUNTA($A57:$D57)=0,U57=0),"",IF(INDEX(DB_05[監測設定值],U57)="","",INDEX(DB_05[監測設定值],U57)))</f>
        <v/>
      </c>
      <c r="T57" s="92">
        <f>IF(COUNTA($A57:$D57)=0,"",IF(COUNTIFS(DB_04[測項鍵],V57)=1,MATCH(V57,DB_04[測項鍵],0),0))</f>
        <v/>
      </c>
      <c r="U57" s="92">
        <f>IF(COUNTA($A57:$D57)=0,"",IF(COUNTIFS(DB_05[標準鍵],W57)=1,MATCH(W57,DB_05[標準鍵],0),0))</f>
        <v/>
      </c>
      <c r="V57" s="92">
        <f>IF(OR(J57="",A57=""),"",J57&amp;"|"&amp;A57)</f>
        <v/>
      </c>
      <c r="W57" s="92">
        <f>IF(OR('07_QAQC'!$C$3="",V57=""),"",'07_QAQC'!$C$3&amp;"|"&amp;V57)</f>
        <v/>
      </c>
      <c r="X57" s="92">
        <f>IF(OR(H57="",A57=""),"",LEN(H57)&amp;":"&amp;H57&amp;LEN(A57)&amp;":"&amp;A57)</f>
        <v/>
      </c>
      <c r="Y57" s="93">
        <f>IF(COUNTA($A57:$D57)=0,"",IF(I57=0,"樣品未建或重複",IF(INDEX(Samples[樣品檢查],I57)="","OK",INDEX(Samples[樣品檢查],I57))))</f>
        <v/>
      </c>
      <c r="Z57" s="93">
        <f>IF(COUNTA($A57:$D57)=0,"",IF(B57="","缺原始值",IF(OR(B57="-",B57="--"),"無資料",IF(N57="NA","不適用",IF(N57="ND","OK",IF(NOT(ISNUMBER(P57)),"格式待核",IF(AND(N57&lt;&gt;"數值",P57&lt;0),"界限不得為負","OK")))))))</f>
        <v/>
      </c>
      <c r="AA57" s="93">
        <f>IF(COUNTA(A57:D57)=0,"",IF(OR(A57="",H57=""),"缺識別欄位",IF(IF(LEN("="&amp;SUBSTITUTE(SUBSTITUTE(SUBSTITUTE(X57,"~","~~"),"*","~*"),"?","~?"))&lt;=255,COUNTIF(Results[結果識別鍵],"="&amp;SUBSTITUTE(SUBSTITUTE(SUBSTITUTE(X57,"~","~~"),"*","~*"),"?","~?")),COUNTIFS(Results[關聯鍵],"="&amp;SUBSTITUTE(SUBSTITUTE(SUBSTITUTE(H57,"~","~~"),"*","~*"),"?","~?"),Results[分析項目],"="&amp;SUBSTITUTE(SUBSTITUTE(SUBSTITUTE(A57,"~","~~"),"*","~*"),"?","~?")))&gt;1,"同關聯鍵測項重複","OK")))</f>
        <v/>
      </c>
      <c r="AB57" s="93">
        <f>IF(COUNTA($A57:$D57)=0,"",IF(OR(C57="",K57=""),"缺單位",IF(NOT(ISNUMBER(L57)),"單位不相容",IF(L57=1,"OK","已換算"))))</f>
        <v/>
      </c>
      <c r="AC57" s="93">
        <f>IF(COUNTA($A57:$D57)=0,"",IF('07_QAQC'!$C$3="","未選比較版本",IF(U57=0,IF(COUNTIFS(DB_05[標準鍵],W57)&gt;1,"標準鍵重複","未訂此介質／測項門檻"),IF(INDEX(DB_05[版本檢查],U57)&lt;&gt;"OK","標準主檔待核",IF(INDEX(DB_05[標準單位],U57)&lt;&gt;K57,"標準單位不符",IF(INDEX(DB_05[核對狀態],U57)="停用","停用",IF(F57="","缺採樣日期",IF(OR(AND(INDEX(DB_05[生效日],U57)&lt;&gt;"",F57&lt;INDEX(DB_05[生效日],U57)),AND(INDEX(DB_05[失效日],U57)&lt;&gt;"",F57&gt;INDEX(DB_05[失效日],U57))),"日期不適用",INDEX(DB_05[核對狀態],U57)))))))))</f>
        <v/>
      </c>
      <c r="AD57" s="93">
        <f>IF(COUNTA($A57:$D57)=0,"",IF(AC57="未訂此介質／測項門檻",AC57,IF(AC57&lt;&gt;"已核對","標準待核",IF(R57="","未訂管制值",IF(NOT(ISNUMBER(L57)),"單位待核",IF(N57="ND","無法判定（ND無界限）",IF(N57="NA","不適用",IF(Z57&lt;&gt;"OK",Z57,IF(N57="數值",IF(Q57&gt;=R57,"達管制值","未達管制值"),IF(OR(N57="&lt;",N57="&lt;="),IF(OR(Q57&lt;R57,AND(N57="&lt;",Q57=R57)),"未達管制值","無法判定"),IF(OR(N57="&gt;",N57="&gt;="),IF(Q57&gt;=R57,"達管制值","無法判定"),"格式待核")))))))))))</f>
        <v/>
      </c>
      <c r="AE57" s="93">
        <f>IF(COUNTA($A57:$D57)=0,"",IF(AC57="未訂此介質／測項門檻",AC57,IF(AC57&lt;&gt;"已核對","標準待核",IF(S57="","未訂監測值",IF(NOT(ISNUMBER(L57)),"單位待核",IF(N57="ND","無法判定（ND無界限）",IF(N57="NA","不適用",IF(Z57&lt;&gt;"OK",Z57,IF(N57="數值",IF(Q57&gt;=S57,"達監測值","未達監測值"),IF(OR(N57="&lt;",N57="&lt;="),IF(OR(Q57&lt;S57,AND(N57="&lt;",Q57=S57)),"未達監測值","無法判定"),IF(OR(N57="&gt;",N57="&gt;="),IF(Q57&gt;=S57,"達監測值","無法判定"),"格式待核")))))))))))</f>
        <v/>
      </c>
      <c r="AF57" s="93">
        <f>IF(COUNTA($A57:$D57)=0,"",IF(OR(E57="",A57="",B57="",C57=""),"缺必要欄位",IF(Y57&lt;&gt;"OK","樣品資料待補",IF(T57=0,"測項未建或重複",IF(INDEX(DB_04[啟用],T57)&lt;&gt;"是","測項停用",IF(AND(Z57&lt;&gt;"OK",Z57&lt;&gt;"不適用"),Z57,IF(AND(AB57&lt;&gt;"OK",AB57&lt;&gt;"已換算"),"單位待核",IF(AA57&lt;&gt;"OK",AA57,"OK"))))))))</f>
        <v/>
      </c>
      <c r="AG57" s="93">
        <f>IF(COUNTA($A57:$D57)=0,"",IF(N57="ND","ND取0",IF(OR(N57="&lt;",N57="&lt;="),"界限除以2",IF(N57="NA","不適用",IF(OR(N57="&gt;",N57="&gt;="),"保留界限數值","保留原數值")))))</f>
        <v/>
      </c>
      <c r="AH57" s="92">
        <f>IF(O57="","",IFERROR(_xlfn.NUMBERVALUE(O57,".",","),""))</f>
        <v/>
      </c>
      <c r="AI57" s="92">
        <f>IF(H57="","",IFERROR(MATCH(H57,Samples[樣品編號],0),0))</f>
        <v/>
      </c>
    </row>
    <row r="58">
      <c r="A58" s="27" t="inlineStr">
        <is>
          <t>鋅</t>
        </is>
      </c>
      <c r="B58" s="28" t="inlineStr">
        <is>
          <t>110</t>
        </is>
      </c>
      <c r="C58" s="27" t="inlineStr">
        <is>
          <t>mg/kg</t>
        </is>
      </c>
      <c r="D58" s="39" t="inlineStr">
        <is>
          <t>合成資料，非實測；method=XRF; basis=dry</t>
        </is>
      </c>
      <c r="E58" s="29">
        <f>IF(OR(I58="",I58=0),"",IF(INDEX(Samples[監測點],I58)="","",INDEX(Samples[監測點],I58)))</f>
        <v/>
      </c>
      <c r="F58" s="90">
        <f>IF(OR(I58="",I58=0),"",IF(INDEX(Samples[採樣日期],I58)="","",INDEX(Samples[採樣日期],I58)))</f>
        <v/>
      </c>
      <c r="G58" s="91">
        <f>IF(OR(M58="",M58="NA",M58="N/A"),"",IF(OR(M58="ND",M58="N.D."),0,IFERROR(IF(OR(OR(ISNUMBER(SEARCH("%",O58)),ISNUMBER(SEARCH(" ",O58)),ISNUMBER(SEARCH(",",O58))),OR(SUBSTITUTE(SUBSTITUTE(SUBSTITUTE(SUBSTITUTE(SUBSTITUTE(SUBSTITUTE(SUBSTITUTE(SUBSTITUTE(SUBSTITUTE(SUBSTITUTE(SUBSTITUTE(SUBSTITUTE(SUBSTITUTE(SUBSTITUTE(SUBSTITUTE(SUBSTITUTE(SUBSTITUTE(SUBSTITUTE("x"&amp;M58,"0",""),"1",""),"2",""),"3",""),"4",""),"5",""),"6",""),"7",""),"8",""),"9",""),".",""),"E",""),"+",""),"-",""),"&lt;",""),"&gt;",""),"=","")," ","")&lt;&gt;"x",ISNUMBER(SEARCH("-",SUBSTITUTE(SUBSTITUTE("x"&amp;MID(M58,2,99),"E-","E"),"E+","E"))),ISNUMBER(SEARCH("+",SUBSTITUTE(SUBSTITUTE("x"&amp;MID(M58,2,99),"E-","E"),"E+","E"))))),"",IF(AND(OR(LEFT(M58,1)="&lt;",LEFT(M58,1)="&gt;"),IF(O58="",0,IF(ISNUMBER(AH58),AH58,NA()))&lt;0),"",IF(O58="",0,IF(ISNUMBER(AH58),AH58,NA()))/IF(LEFT(M58,1)="&lt;",2,1))),"")))</f>
        <v/>
      </c>
      <c r="H58" s="57" t="inlineStr">
        <is>
          <t>BH02-S_20260115_02</t>
        </is>
      </c>
      <c r="I58" s="92">
        <f>IF(OR(H58="",AI58=0),0,IF(INDEX(Samples[樣品重複筆數],AI58)=1,AI58,0))</f>
        <v/>
      </c>
      <c r="J58" s="92">
        <f>IF(OR(COUNTA($A58:$D58)=0,I58=0),"",IF(INDEX(Samples[介質],I58)="","",INDEX(Samples[介質],I58)))</f>
        <v/>
      </c>
      <c r="K58" s="92">
        <f>IF(OR(COUNTA($A58:$D58)=0,T58=0),"",IF(INDEX(DB_04[標準單位],T58)="","",INDEX(DB_04[標準單位],T58)))</f>
        <v/>
      </c>
      <c r="L58" s="92">
        <f>IF(COUNTA($A58:$D58)=0,"",IF(OR(C58="",K58=""),"",IF(C58=K58,1,IF(COUNTIFS(DB_06[換算鍵],C58&amp;"|"&amp;K58,DB_06[換算檢查],"OK")=1,INDEX(DB_06[乘數],MATCH(C58&amp;"|"&amp;K58,DB_06[換算鍵],0)),""))))</f>
        <v/>
      </c>
      <c r="M58" s="92">
        <f>UPPER(SUBSTITUTE(SUBSTITUTE(SUBSTITUTE(SUBSTITUTE(TRIM(B58&amp;""),"＜","&lt;"),"＞","&gt;"),"≤","&lt;="),"≥","&gt;="))</f>
        <v/>
      </c>
      <c r="N58" s="92">
        <f>IF(M58="","",IF(OR(M58="ND",M58="N.D."),"ND",IF(OR(M58="NA",M58="N/A",M58="N.A."),"NA",IF(OR(LEFT(M58,2)="&lt;=",LEFT(M58,2)="&gt;="),LEFT(M58,2),IF(OR(LEFT(M58,1)="&lt;",LEFT(M58,1)="&gt;"),LEFT(M58,1),"數值")))))</f>
        <v/>
      </c>
      <c r="O58" s="92">
        <f>IF(OR(N58="",N58="ND",N58="NA"),"",IF(N58="數值",M58,TRIM(MID(M58,LEN(N58)+1,99))))</f>
        <v/>
      </c>
      <c r="P58" s="92">
        <f>IF(O58="","",IFERROR(IF(OR(OR(ISNUMBER(SEARCH("%",O58)),ISNUMBER(SEARCH(" ",O58)),ISNUMBER(SEARCH(",",O58))),OR(SUBSTITUTE(SUBSTITUTE(SUBSTITUTE(SUBSTITUTE(SUBSTITUTE(SUBSTITUTE(SUBSTITUTE(SUBSTITUTE(SUBSTITUTE(SUBSTITUTE(SUBSTITUTE(SUBSTITUTE(SUBSTITUTE(SUBSTITUTE(SUBSTITUTE(SUBSTITUTE(SUBSTITUTE(SUBSTITUTE("x"&amp;O58,"0",""),"1",""),"2",""),"3",""),"4",""),"5",""),"6",""),"7",""),"8",""),"9",""),".",""),"E",""),"+",""),"-",""),"&lt;",""),"&gt;",""),"=","")," ","")&lt;&gt;"x",ISNUMBER(SEARCH("-",SUBSTITUTE(SUBSTITUTE("x"&amp;MID(O58,2,99),"E-","E"),"E+","E"))),ISNUMBER(SEARCH("+",SUBSTITUTE(SUBSTITUTE("x"&amp;MID(O58,2,99),"E-","E"),"E+","E"))))),"",IF(ISNUMBER(AH58),AH58,NA())),""))</f>
        <v/>
      </c>
      <c r="Q58" s="92">
        <f>IF(AND(ISNUMBER(L58),ISNUMBER(P58)),L58*P58,"")</f>
        <v/>
      </c>
      <c r="R58" s="92">
        <f>IF(OR(COUNTA($A58:$D58)=0,U58=0),"",IF(INDEX(DB_05[管制設定值],U58)="","",INDEX(DB_05[管制設定值],U58)))</f>
        <v/>
      </c>
      <c r="S58" s="92">
        <f>IF(OR(COUNTA($A58:$D58)=0,U58=0),"",IF(INDEX(DB_05[監測設定值],U58)="","",INDEX(DB_05[監測設定值],U58)))</f>
        <v/>
      </c>
      <c r="T58" s="92">
        <f>IF(COUNTA($A58:$D58)=0,"",IF(COUNTIFS(DB_04[測項鍵],V58)=1,MATCH(V58,DB_04[測項鍵],0),0))</f>
        <v/>
      </c>
      <c r="U58" s="92">
        <f>IF(COUNTA($A58:$D58)=0,"",IF(COUNTIFS(DB_05[標準鍵],W58)=1,MATCH(W58,DB_05[標準鍵],0),0))</f>
        <v/>
      </c>
      <c r="V58" s="92">
        <f>IF(OR(J58="",A58=""),"",J58&amp;"|"&amp;A58)</f>
        <v/>
      </c>
      <c r="W58" s="92">
        <f>IF(OR('07_QAQC'!$C$3="",V58=""),"",'07_QAQC'!$C$3&amp;"|"&amp;V58)</f>
        <v/>
      </c>
      <c r="X58" s="92">
        <f>IF(OR(H58="",A58=""),"",LEN(H58)&amp;":"&amp;H58&amp;LEN(A58)&amp;":"&amp;A58)</f>
        <v/>
      </c>
      <c r="Y58" s="93">
        <f>IF(COUNTA($A58:$D58)=0,"",IF(I58=0,"樣品未建或重複",IF(INDEX(Samples[樣品檢查],I58)="","OK",INDEX(Samples[樣品檢查],I58))))</f>
        <v/>
      </c>
      <c r="Z58" s="93">
        <f>IF(COUNTA($A58:$D58)=0,"",IF(B58="","缺原始值",IF(OR(B58="-",B58="--"),"無資料",IF(N58="NA","不適用",IF(N58="ND","OK",IF(NOT(ISNUMBER(P58)),"格式待核",IF(AND(N58&lt;&gt;"數值",P58&lt;0),"界限不得為負","OK")))))))</f>
        <v/>
      </c>
      <c r="AA58" s="93">
        <f>IF(COUNTA(A58:D58)=0,"",IF(OR(A58="",H58=""),"缺識別欄位",IF(IF(LEN("="&amp;SUBSTITUTE(SUBSTITUTE(SUBSTITUTE(X58,"~","~~"),"*","~*"),"?","~?"))&lt;=255,COUNTIF(Results[結果識別鍵],"="&amp;SUBSTITUTE(SUBSTITUTE(SUBSTITUTE(X58,"~","~~"),"*","~*"),"?","~?")),COUNTIFS(Results[關聯鍵],"="&amp;SUBSTITUTE(SUBSTITUTE(SUBSTITUTE(H58,"~","~~"),"*","~*"),"?","~?"),Results[分析項目],"="&amp;SUBSTITUTE(SUBSTITUTE(SUBSTITUTE(A58,"~","~~"),"*","~*"),"?","~?")))&gt;1,"同關聯鍵測項重複","OK")))</f>
        <v/>
      </c>
      <c r="AB58" s="93">
        <f>IF(COUNTA($A58:$D58)=0,"",IF(OR(C58="",K58=""),"缺單位",IF(NOT(ISNUMBER(L58)),"單位不相容",IF(L58=1,"OK","已換算"))))</f>
        <v/>
      </c>
      <c r="AC58" s="93">
        <f>IF(COUNTA($A58:$D58)=0,"",IF('07_QAQC'!$C$3="","未選比較版本",IF(U58=0,IF(COUNTIFS(DB_05[標準鍵],W58)&gt;1,"標準鍵重複","未訂此介質／測項門檻"),IF(INDEX(DB_05[版本檢查],U58)&lt;&gt;"OK","標準主檔待核",IF(INDEX(DB_05[標準單位],U58)&lt;&gt;K58,"標準單位不符",IF(INDEX(DB_05[核對狀態],U58)="停用","停用",IF(F58="","缺採樣日期",IF(OR(AND(INDEX(DB_05[生效日],U58)&lt;&gt;"",F58&lt;INDEX(DB_05[生效日],U58)),AND(INDEX(DB_05[失效日],U58)&lt;&gt;"",F58&gt;INDEX(DB_05[失效日],U58))),"日期不適用",INDEX(DB_05[核對狀態],U58)))))))))</f>
        <v/>
      </c>
      <c r="AD58" s="93">
        <f>IF(COUNTA($A58:$D58)=0,"",IF(AC58="未訂此介質／測項門檻",AC58,IF(AC58&lt;&gt;"已核對","標準待核",IF(R58="","未訂管制值",IF(NOT(ISNUMBER(L58)),"單位待核",IF(N58="ND","無法判定（ND無界限）",IF(N58="NA","不適用",IF(Z58&lt;&gt;"OK",Z58,IF(N58="數值",IF(Q58&gt;=R58,"達管制值","未達管制值"),IF(OR(N58="&lt;",N58="&lt;="),IF(OR(Q58&lt;R58,AND(N58="&lt;",Q58=R58)),"未達管制值","無法判定"),IF(OR(N58="&gt;",N58="&gt;="),IF(Q58&gt;=R58,"達管制值","無法判定"),"格式待核")))))))))))</f>
        <v/>
      </c>
      <c r="AE58" s="93">
        <f>IF(COUNTA($A58:$D58)=0,"",IF(AC58="未訂此介質／測項門檻",AC58,IF(AC58&lt;&gt;"已核對","標準待核",IF(S58="","未訂監測值",IF(NOT(ISNUMBER(L58)),"單位待核",IF(N58="ND","無法判定（ND無界限）",IF(N58="NA","不適用",IF(Z58&lt;&gt;"OK",Z58,IF(N58="數值",IF(Q58&gt;=S58,"達監測值","未達監測值"),IF(OR(N58="&lt;",N58="&lt;="),IF(OR(Q58&lt;S58,AND(N58="&lt;",Q58=S58)),"未達監測值","無法判定"),IF(OR(N58="&gt;",N58="&gt;="),IF(Q58&gt;=S58,"達監測值","無法判定"),"格式待核")))))))))))</f>
        <v/>
      </c>
      <c r="AF58" s="93">
        <f>IF(COUNTA($A58:$D58)=0,"",IF(OR(E58="",A58="",B58="",C58=""),"缺必要欄位",IF(Y58&lt;&gt;"OK","樣品資料待補",IF(T58=0,"測項未建或重複",IF(INDEX(DB_04[啟用],T58)&lt;&gt;"是","測項停用",IF(AND(Z58&lt;&gt;"OK",Z58&lt;&gt;"不適用"),Z58,IF(AND(AB58&lt;&gt;"OK",AB58&lt;&gt;"已換算"),"單位待核",IF(AA58&lt;&gt;"OK",AA58,"OK"))))))))</f>
        <v/>
      </c>
      <c r="AG58" s="93">
        <f>IF(COUNTA($A58:$D58)=0,"",IF(N58="ND","ND取0",IF(OR(N58="&lt;",N58="&lt;="),"界限除以2",IF(N58="NA","不適用",IF(OR(N58="&gt;",N58="&gt;="),"保留界限數值","保留原數值")))))</f>
        <v/>
      </c>
      <c r="AH58" s="92">
        <f>IF(O58="","",IFERROR(_xlfn.NUMBERVALUE(O58,".",","),""))</f>
        <v/>
      </c>
      <c r="AI58" s="92">
        <f>IF(H58="","",IFERROR(MATCH(H58,Samples[樣品編號],0),0))</f>
        <v/>
      </c>
    </row>
    <row r="59">
      <c r="A59" s="27" t="inlineStr">
        <is>
          <t>總有機碳</t>
        </is>
      </c>
      <c r="B59" s="28" t="inlineStr">
        <is>
          <t>0.35</t>
        </is>
      </c>
      <c r="C59" s="27" t="inlineStr">
        <is>
          <t>%</t>
        </is>
      </c>
      <c r="D59" s="39" t="inlineStr">
        <is>
          <t>合成資料，非實測；method=lab; basis=dry</t>
        </is>
      </c>
      <c r="E59" s="29">
        <f>IF(OR(I59="",I59=0),"",IF(INDEX(Samples[監測點],I59)="","",INDEX(Samples[監測點],I59)))</f>
        <v/>
      </c>
      <c r="F59" s="90">
        <f>IF(OR(I59="",I59=0),"",IF(INDEX(Samples[採樣日期],I59)="","",INDEX(Samples[採樣日期],I59)))</f>
        <v/>
      </c>
      <c r="G59" s="91">
        <f>IF(OR(M59="",M59="NA",M59="N/A"),"",IF(OR(M59="ND",M59="N.D."),0,IFERROR(IF(OR(OR(ISNUMBER(SEARCH("%",O59)),ISNUMBER(SEARCH(" ",O59)),ISNUMBER(SEARCH(",",O59))),OR(SUBSTITUTE(SUBSTITUTE(SUBSTITUTE(SUBSTITUTE(SUBSTITUTE(SUBSTITUTE(SUBSTITUTE(SUBSTITUTE(SUBSTITUTE(SUBSTITUTE(SUBSTITUTE(SUBSTITUTE(SUBSTITUTE(SUBSTITUTE(SUBSTITUTE(SUBSTITUTE(SUBSTITUTE(SUBSTITUTE("x"&amp;M59,"0",""),"1",""),"2",""),"3",""),"4",""),"5",""),"6",""),"7",""),"8",""),"9",""),".",""),"E",""),"+",""),"-",""),"&lt;",""),"&gt;",""),"=","")," ","")&lt;&gt;"x",ISNUMBER(SEARCH("-",SUBSTITUTE(SUBSTITUTE("x"&amp;MID(M59,2,99),"E-","E"),"E+","E"))),ISNUMBER(SEARCH("+",SUBSTITUTE(SUBSTITUTE("x"&amp;MID(M59,2,99),"E-","E"),"E+","E"))))),"",IF(AND(OR(LEFT(M59,1)="&lt;",LEFT(M59,1)="&gt;"),IF(O59="",0,IF(ISNUMBER(AH59),AH59,NA()))&lt;0),"",IF(O59="",0,IF(ISNUMBER(AH59),AH59,NA()))/IF(LEFT(M59,1)="&lt;",2,1))),"")))</f>
        <v/>
      </c>
      <c r="H59" s="57" t="inlineStr">
        <is>
          <t>BH02-S_20260115_02</t>
        </is>
      </c>
      <c r="I59" s="92">
        <f>IF(OR(H59="",AI59=0),0,IF(INDEX(Samples[樣品重複筆數],AI59)=1,AI59,0))</f>
        <v/>
      </c>
      <c r="J59" s="92">
        <f>IF(OR(COUNTA($A59:$D59)=0,I59=0),"",IF(INDEX(Samples[介質],I59)="","",INDEX(Samples[介質],I59)))</f>
        <v/>
      </c>
      <c r="K59" s="92">
        <f>IF(OR(COUNTA($A59:$D59)=0,T59=0),"",IF(INDEX(DB_04[標準單位],T59)="","",INDEX(DB_04[標準單位],T59)))</f>
        <v/>
      </c>
      <c r="L59" s="92">
        <f>IF(COUNTA($A59:$D59)=0,"",IF(OR(C59="",K59=""),"",IF(C59=K59,1,IF(COUNTIFS(DB_06[換算鍵],C59&amp;"|"&amp;K59,DB_06[換算檢查],"OK")=1,INDEX(DB_06[乘數],MATCH(C59&amp;"|"&amp;K59,DB_06[換算鍵],0)),""))))</f>
        <v/>
      </c>
      <c r="M59" s="92">
        <f>UPPER(SUBSTITUTE(SUBSTITUTE(SUBSTITUTE(SUBSTITUTE(TRIM(B59&amp;""),"＜","&lt;"),"＞","&gt;"),"≤","&lt;="),"≥","&gt;="))</f>
        <v/>
      </c>
      <c r="N59" s="92">
        <f>IF(M59="","",IF(OR(M59="ND",M59="N.D."),"ND",IF(OR(M59="NA",M59="N/A",M59="N.A."),"NA",IF(OR(LEFT(M59,2)="&lt;=",LEFT(M59,2)="&gt;="),LEFT(M59,2),IF(OR(LEFT(M59,1)="&lt;",LEFT(M59,1)="&gt;"),LEFT(M59,1),"數值")))))</f>
        <v/>
      </c>
      <c r="O59" s="92">
        <f>IF(OR(N59="",N59="ND",N59="NA"),"",IF(N59="數值",M59,TRIM(MID(M59,LEN(N59)+1,99))))</f>
        <v/>
      </c>
      <c r="P59" s="92">
        <f>IF(O59="","",IFERROR(IF(OR(OR(ISNUMBER(SEARCH("%",O59)),ISNUMBER(SEARCH(" ",O59)),ISNUMBER(SEARCH(",",O59))),OR(SUBSTITUTE(SUBSTITUTE(SUBSTITUTE(SUBSTITUTE(SUBSTITUTE(SUBSTITUTE(SUBSTITUTE(SUBSTITUTE(SUBSTITUTE(SUBSTITUTE(SUBSTITUTE(SUBSTITUTE(SUBSTITUTE(SUBSTITUTE(SUBSTITUTE(SUBSTITUTE(SUBSTITUTE(SUBSTITUTE("x"&amp;O59,"0",""),"1",""),"2",""),"3",""),"4",""),"5",""),"6",""),"7",""),"8",""),"9",""),".",""),"E",""),"+",""),"-",""),"&lt;",""),"&gt;",""),"=","")," ","")&lt;&gt;"x",ISNUMBER(SEARCH("-",SUBSTITUTE(SUBSTITUTE("x"&amp;MID(O59,2,99),"E-","E"),"E+","E"))),ISNUMBER(SEARCH("+",SUBSTITUTE(SUBSTITUTE("x"&amp;MID(O59,2,99),"E-","E"),"E+","E"))))),"",IF(ISNUMBER(AH59),AH59,NA())),""))</f>
        <v/>
      </c>
      <c r="Q59" s="92">
        <f>IF(AND(ISNUMBER(L59),ISNUMBER(P59)),L59*P59,"")</f>
        <v/>
      </c>
      <c r="R59" s="92">
        <f>IF(OR(COUNTA($A59:$D59)=0,U59=0),"",IF(INDEX(DB_05[管制設定值],U59)="","",INDEX(DB_05[管制設定值],U59)))</f>
        <v/>
      </c>
      <c r="S59" s="92">
        <f>IF(OR(COUNTA($A59:$D59)=0,U59=0),"",IF(INDEX(DB_05[監測設定值],U59)="","",INDEX(DB_05[監測設定值],U59)))</f>
        <v/>
      </c>
      <c r="T59" s="92">
        <f>IF(COUNTA($A59:$D59)=0,"",IF(COUNTIFS(DB_04[測項鍵],V59)=1,MATCH(V59,DB_04[測項鍵],0),0))</f>
        <v/>
      </c>
      <c r="U59" s="92">
        <f>IF(COUNTA($A59:$D59)=0,"",IF(COUNTIFS(DB_05[標準鍵],W59)=1,MATCH(W59,DB_05[標準鍵],0),0))</f>
        <v/>
      </c>
      <c r="V59" s="92">
        <f>IF(OR(J59="",A59=""),"",J59&amp;"|"&amp;A59)</f>
        <v/>
      </c>
      <c r="W59" s="92">
        <f>IF(OR('07_QAQC'!$C$3="",V59=""),"",'07_QAQC'!$C$3&amp;"|"&amp;V59)</f>
        <v/>
      </c>
      <c r="X59" s="92">
        <f>IF(OR(H59="",A59=""),"",LEN(H59)&amp;":"&amp;H59&amp;LEN(A59)&amp;":"&amp;A59)</f>
        <v/>
      </c>
      <c r="Y59" s="93">
        <f>IF(COUNTA($A59:$D59)=0,"",IF(I59=0,"樣品未建或重複",IF(INDEX(Samples[樣品檢查],I59)="","OK",INDEX(Samples[樣品檢查],I59))))</f>
        <v/>
      </c>
      <c r="Z59" s="93">
        <f>IF(COUNTA($A59:$D59)=0,"",IF(B59="","缺原始值",IF(OR(B59="-",B59="--"),"無資料",IF(N59="NA","不適用",IF(N59="ND","OK",IF(NOT(ISNUMBER(P59)),"格式待核",IF(AND(N59&lt;&gt;"數值",P59&lt;0),"界限不得為負","OK")))))))</f>
        <v/>
      </c>
      <c r="AA59" s="93">
        <f>IF(COUNTA(A59:D59)=0,"",IF(OR(A59="",H59=""),"缺識別欄位",IF(IF(LEN("="&amp;SUBSTITUTE(SUBSTITUTE(SUBSTITUTE(X59,"~","~~"),"*","~*"),"?","~?"))&lt;=255,COUNTIF(Results[結果識別鍵],"="&amp;SUBSTITUTE(SUBSTITUTE(SUBSTITUTE(X59,"~","~~"),"*","~*"),"?","~?")),COUNTIFS(Results[關聯鍵],"="&amp;SUBSTITUTE(SUBSTITUTE(SUBSTITUTE(H59,"~","~~"),"*","~*"),"?","~?"),Results[分析項目],"="&amp;SUBSTITUTE(SUBSTITUTE(SUBSTITUTE(A59,"~","~~"),"*","~*"),"?","~?")))&gt;1,"同關聯鍵測項重複","OK")))</f>
        <v/>
      </c>
      <c r="AB59" s="93">
        <f>IF(COUNTA($A59:$D59)=0,"",IF(OR(C59="",K59=""),"缺單位",IF(NOT(ISNUMBER(L59)),"單位不相容",IF(L59=1,"OK","已換算"))))</f>
        <v/>
      </c>
      <c r="AC59" s="93">
        <f>IF(COUNTA($A59:$D59)=0,"",IF('07_QAQC'!$C$3="","未選比較版本",IF(U59=0,IF(COUNTIFS(DB_05[標準鍵],W59)&gt;1,"標準鍵重複","未訂此介質／測項門檻"),IF(INDEX(DB_05[版本檢查],U59)&lt;&gt;"OK","標準主檔待核",IF(INDEX(DB_05[標準單位],U59)&lt;&gt;K59,"標準單位不符",IF(INDEX(DB_05[核對狀態],U59)="停用","停用",IF(F59="","缺採樣日期",IF(OR(AND(INDEX(DB_05[生效日],U59)&lt;&gt;"",F59&lt;INDEX(DB_05[生效日],U59)),AND(INDEX(DB_05[失效日],U59)&lt;&gt;"",F59&gt;INDEX(DB_05[失效日],U59))),"日期不適用",INDEX(DB_05[核對狀態],U59)))))))))</f>
        <v/>
      </c>
      <c r="AD59" s="93">
        <f>IF(COUNTA($A59:$D59)=0,"",IF(AC59="未訂此介質／測項門檻",AC59,IF(AC59&lt;&gt;"已核對","標準待核",IF(R59="","未訂管制值",IF(NOT(ISNUMBER(L59)),"單位待核",IF(N59="ND","無法判定（ND無界限）",IF(N59="NA","不適用",IF(Z59&lt;&gt;"OK",Z59,IF(N59="數值",IF(Q59&gt;=R59,"達管制值","未達管制值"),IF(OR(N59="&lt;",N59="&lt;="),IF(OR(Q59&lt;R59,AND(N59="&lt;",Q59=R59)),"未達管制值","無法判定"),IF(OR(N59="&gt;",N59="&gt;="),IF(Q59&gt;=R59,"達管制值","無法判定"),"格式待核")))))))))))</f>
        <v/>
      </c>
      <c r="AE59" s="93">
        <f>IF(COUNTA($A59:$D59)=0,"",IF(AC59="未訂此介質／測項門檻",AC59,IF(AC59&lt;&gt;"已核對","標準待核",IF(S59="","未訂監測值",IF(NOT(ISNUMBER(L59)),"單位待核",IF(N59="ND","無法判定（ND無界限）",IF(N59="NA","不適用",IF(Z59&lt;&gt;"OK",Z59,IF(N59="數值",IF(Q59&gt;=S59,"達監測值","未達監測值"),IF(OR(N59="&lt;",N59="&lt;="),IF(OR(Q59&lt;S59,AND(N59="&lt;",Q59=S59)),"未達監測值","無法判定"),IF(OR(N59="&gt;",N59="&gt;="),IF(Q59&gt;=S59,"達監測值","無法判定"),"格式待核")))))))))))</f>
        <v/>
      </c>
      <c r="AF59" s="93">
        <f>IF(COUNTA($A59:$D59)=0,"",IF(OR(E59="",A59="",B59="",C59=""),"缺必要欄位",IF(Y59&lt;&gt;"OK","樣品資料待補",IF(T59=0,"測項未建或重複",IF(INDEX(DB_04[啟用],T59)&lt;&gt;"是","測項停用",IF(AND(Z59&lt;&gt;"OK",Z59&lt;&gt;"不適用"),Z59,IF(AND(AB59&lt;&gt;"OK",AB59&lt;&gt;"已換算"),"單位待核",IF(AA59&lt;&gt;"OK",AA59,"OK"))))))))</f>
        <v/>
      </c>
      <c r="AG59" s="93">
        <f>IF(COUNTA($A59:$D59)=0,"",IF(N59="ND","ND取0",IF(OR(N59="&lt;",N59="&lt;="),"界限除以2",IF(N59="NA","不適用",IF(OR(N59="&gt;",N59="&gt;="),"保留界限數值","保留原數值")))))</f>
        <v/>
      </c>
      <c r="AH59" s="92">
        <f>IF(O59="","",IFERROR(_xlfn.NUMBERVALUE(O59,".",","),""))</f>
        <v/>
      </c>
      <c r="AI59" s="92">
        <f>IF(H59="","",IFERROR(MATCH(H59,Samples[樣品編號],0),0))</f>
        <v/>
      </c>
    </row>
    <row r="60">
      <c r="A60" s="27" t="inlineStr">
        <is>
          <t>pH</t>
        </is>
      </c>
      <c r="B60" s="28" t="inlineStr">
        <is>
          <t>6.62</t>
        </is>
      </c>
      <c r="C60" s="27" t="inlineStr">
        <is>
          <t>無因次</t>
        </is>
      </c>
      <c r="D60" s="39" t="inlineStr">
        <is>
          <t>合成資料，非實測；method=field</t>
        </is>
      </c>
      <c r="E60" s="29">
        <f>IF(OR(I60="",I60=0),"",IF(INDEX(Samples[監測點],I60)="","",INDEX(Samples[監測點],I60)))</f>
        <v/>
      </c>
      <c r="F60" s="90">
        <f>IF(OR(I60="",I60=0),"",IF(INDEX(Samples[採樣日期],I60)="","",INDEX(Samples[採樣日期],I60)))</f>
        <v/>
      </c>
      <c r="G60" s="91">
        <f>IF(OR(M60="",M60="NA",M60="N/A"),"",IF(OR(M60="ND",M60="N.D."),0,IFERROR(IF(OR(OR(ISNUMBER(SEARCH("%",O60)),ISNUMBER(SEARCH(" ",O60)),ISNUMBER(SEARCH(",",O60))),OR(SUBSTITUTE(SUBSTITUTE(SUBSTITUTE(SUBSTITUTE(SUBSTITUTE(SUBSTITUTE(SUBSTITUTE(SUBSTITUTE(SUBSTITUTE(SUBSTITUTE(SUBSTITUTE(SUBSTITUTE(SUBSTITUTE(SUBSTITUTE(SUBSTITUTE(SUBSTITUTE(SUBSTITUTE(SUBSTITUTE("x"&amp;M60,"0",""),"1",""),"2",""),"3",""),"4",""),"5",""),"6",""),"7",""),"8",""),"9",""),".",""),"E",""),"+",""),"-",""),"&lt;",""),"&gt;",""),"=","")," ","")&lt;&gt;"x",ISNUMBER(SEARCH("-",SUBSTITUTE(SUBSTITUTE("x"&amp;MID(M60,2,99),"E-","E"),"E+","E"))),ISNUMBER(SEARCH("+",SUBSTITUTE(SUBSTITUTE("x"&amp;MID(M60,2,99),"E-","E"),"E+","E"))))),"",IF(AND(OR(LEFT(M60,1)="&lt;",LEFT(M60,1)="&gt;"),IF(O60="",0,IF(ISNUMBER(AH60),AH60,NA()))&lt;0),"",IF(O60="",0,IF(ISNUMBER(AH60),AH60,NA()))/IF(LEFT(M60,1)="&lt;",2,1))),"")))</f>
        <v/>
      </c>
      <c r="H60" s="57" t="inlineStr">
        <is>
          <t>BH02-W_20260115_02</t>
        </is>
      </c>
      <c r="I60" s="92">
        <f>IF(OR(H60="",AI60=0),0,IF(INDEX(Samples[樣品重複筆數],AI60)=1,AI60,0))</f>
        <v/>
      </c>
      <c r="J60" s="92">
        <f>IF(OR(COUNTA($A60:$D60)=0,I60=0),"",IF(INDEX(Samples[介質],I60)="","",INDEX(Samples[介質],I60)))</f>
        <v/>
      </c>
      <c r="K60" s="92">
        <f>IF(OR(COUNTA($A60:$D60)=0,T60=0),"",IF(INDEX(DB_04[標準單位],T60)="","",INDEX(DB_04[標準單位],T60)))</f>
        <v/>
      </c>
      <c r="L60" s="92">
        <f>IF(COUNTA($A60:$D60)=0,"",IF(OR(C60="",K60=""),"",IF(C60=K60,1,IF(COUNTIFS(DB_06[換算鍵],C60&amp;"|"&amp;K60,DB_06[換算檢查],"OK")=1,INDEX(DB_06[乘數],MATCH(C60&amp;"|"&amp;K60,DB_06[換算鍵],0)),""))))</f>
        <v/>
      </c>
      <c r="M60" s="92">
        <f>UPPER(SUBSTITUTE(SUBSTITUTE(SUBSTITUTE(SUBSTITUTE(TRIM(B60&amp;""),"＜","&lt;"),"＞","&gt;"),"≤","&lt;="),"≥","&gt;="))</f>
        <v/>
      </c>
      <c r="N60" s="92">
        <f>IF(M60="","",IF(OR(M60="ND",M60="N.D."),"ND",IF(OR(M60="NA",M60="N/A",M60="N.A."),"NA",IF(OR(LEFT(M60,2)="&lt;=",LEFT(M60,2)="&gt;="),LEFT(M60,2),IF(OR(LEFT(M60,1)="&lt;",LEFT(M60,1)="&gt;"),LEFT(M60,1),"數值")))))</f>
        <v/>
      </c>
      <c r="O60" s="92">
        <f>IF(OR(N60="",N60="ND",N60="NA"),"",IF(N60="數值",M60,TRIM(MID(M60,LEN(N60)+1,99))))</f>
        <v/>
      </c>
      <c r="P60" s="92">
        <f>IF(O60="","",IFERROR(IF(OR(OR(ISNUMBER(SEARCH("%",O60)),ISNUMBER(SEARCH(" ",O60)),ISNUMBER(SEARCH(",",O60))),OR(SUBSTITUTE(SUBSTITUTE(SUBSTITUTE(SUBSTITUTE(SUBSTITUTE(SUBSTITUTE(SUBSTITUTE(SUBSTITUTE(SUBSTITUTE(SUBSTITUTE(SUBSTITUTE(SUBSTITUTE(SUBSTITUTE(SUBSTITUTE(SUBSTITUTE(SUBSTITUTE(SUBSTITUTE(SUBSTITUTE("x"&amp;O60,"0",""),"1",""),"2",""),"3",""),"4",""),"5",""),"6",""),"7",""),"8",""),"9",""),".",""),"E",""),"+",""),"-",""),"&lt;",""),"&gt;",""),"=","")," ","")&lt;&gt;"x",ISNUMBER(SEARCH("-",SUBSTITUTE(SUBSTITUTE("x"&amp;MID(O60,2,99),"E-","E"),"E+","E"))),ISNUMBER(SEARCH("+",SUBSTITUTE(SUBSTITUTE("x"&amp;MID(O60,2,99),"E-","E"),"E+","E"))))),"",IF(ISNUMBER(AH60),AH60,NA())),""))</f>
        <v/>
      </c>
      <c r="Q60" s="92">
        <f>IF(AND(ISNUMBER(L60),ISNUMBER(P60)),L60*P60,"")</f>
        <v/>
      </c>
      <c r="R60" s="92">
        <f>IF(OR(COUNTA($A60:$D60)=0,U60=0),"",IF(INDEX(DB_05[管制設定值],U60)="","",INDEX(DB_05[管制設定值],U60)))</f>
        <v/>
      </c>
      <c r="S60" s="92">
        <f>IF(OR(COUNTA($A60:$D60)=0,U60=0),"",IF(INDEX(DB_05[監測設定值],U60)="","",INDEX(DB_05[監測設定值],U60)))</f>
        <v/>
      </c>
      <c r="T60" s="92">
        <f>IF(COUNTA($A60:$D60)=0,"",IF(COUNTIFS(DB_04[測項鍵],V60)=1,MATCH(V60,DB_04[測項鍵],0),0))</f>
        <v/>
      </c>
      <c r="U60" s="92">
        <f>IF(COUNTA($A60:$D60)=0,"",IF(COUNTIFS(DB_05[標準鍵],W60)=1,MATCH(W60,DB_05[標準鍵],0),0))</f>
        <v/>
      </c>
      <c r="V60" s="92">
        <f>IF(OR(J60="",A60=""),"",J60&amp;"|"&amp;A60)</f>
        <v/>
      </c>
      <c r="W60" s="92">
        <f>IF(OR('07_QAQC'!$C$3="",V60=""),"",'07_QAQC'!$C$3&amp;"|"&amp;V60)</f>
        <v/>
      </c>
      <c r="X60" s="92">
        <f>IF(OR(H60="",A60=""),"",LEN(H60)&amp;":"&amp;H60&amp;LEN(A60)&amp;":"&amp;A60)</f>
        <v/>
      </c>
      <c r="Y60" s="93">
        <f>IF(COUNTA($A60:$D60)=0,"",IF(I60=0,"樣品未建或重複",IF(INDEX(Samples[樣品檢查],I60)="","OK",INDEX(Samples[樣品檢查],I60))))</f>
        <v/>
      </c>
      <c r="Z60" s="93">
        <f>IF(COUNTA($A60:$D60)=0,"",IF(B60="","缺原始值",IF(OR(B60="-",B60="--"),"無資料",IF(N60="NA","不適用",IF(N60="ND","OK",IF(NOT(ISNUMBER(P60)),"格式待核",IF(AND(N60&lt;&gt;"數值",P60&lt;0),"界限不得為負","OK")))))))</f>
        <v/>
      </c>
      <c r="AA60" s="93">
        <f>IF(COUNTA(A60:D60)=0,"",IF(OR(A60="",H60=""),"缺識別欄位",IF(IF(LEN("="&amp;SUBSTITUTE(SUBSTITUTE(SUBSTITUTE(X60,"~","~~"),"*","~*"),"?","~?"))&lt;=255,COUNTIF(Results[結果識別鍵],"="&amp;SUBSTITUTE(SUBSTITUTE(SUBSTITUTE(X60,"~","~~"),"*","~*"),"?","~?")),COUNTIFS(Results[關聯鍵],"="&amp;SUBSTITUTE(SUBSTITUTE(SUBSTITUTE(H60,"~","~~"),"*","~*"),"?","~?"),Results[分析項目],"="&amp;SUBSTITUTE(SUBSTITUTE(SUBSTITUTE(A60,"~","~~"),"*","~*"),"?","~?")))&gt;1,"同關聯鍵測項重複","OK")))</f>
        <v/>
      </c>
      <c r="AB60" s="93">
        <f>IF(COUNTA($A60:$D60)=0,"",IF(OR(C60="",K60=""),"缺單位",IF(NOT(ISNUMBER(L60)),"單位不相容",IF(L60=1,"OK","已換算"))))</f>
        <v/>
      </c>
      <c r="AC60" s="93">
        <f>IF(COUNTA($A60:$D60)=0,"",IF('07_QAQC'!$C$3="","未選比較版本",IF(U60=0,IF(COUNTIFS(DB_05[標準鍵],W60)&gt;1,"標準鍵重複","未訂此介質／測項門檻"),IF(INDEX(DB_05[版本檢查],U60)&lt;&gt;"OK","標準主檔待核",IF(INDEX(DB_05[標準單位],U60)&lt;&gt;K60,"標準單位不符",IF(INDEX(DB_05[核對狀態],U60)="停用","停用",IF(F60="","缺採樣日期",IF(OR(AND(INDEX(DB_05[生效日],U60)&lt;&gt;"",F60&lt;INDEX(DB_05[生效日],U60)),AND(INDEX(DB_05[失效日],U60)&lt;&gt;"",F60&gt;INDEX(DB_05[失效日],U60))),"日期不適用",INDEX(DB_05[核對狀態],U60)))))))))</f>
        <v/>
      </c>
      <c r="AD60" s="93">
        <f>IF(COUNTA($A60:$D60)=0,"",IF(AC60="未訂此介質／測項門檻",AC60,IF(AC60&lt;&gt;"已核對","標準待核",IF(R60="","未訂管制值",IF(NOT(ISNUMBER(L60)),"單位待核",IF(N60="ND","無法判定（ND無界限）",IF(N60="NA","不適用",IF(Z60&lt;&gt;"OK",Z60,IF(N60="數值",IF(Q60&gt;=R60,"達管制值","未達管制值"),IF(OR(N60="&lt;",N60="&lt;="),IF(OR(Q60&lt;R60,AND(N60="&lt;",Q60=R60)),"未達管制值","無法判定"),IF(OR(N60="&gt;",N60="&gt;="),IF(Q60&gt;=R60,"達管制值","無法判定"),"格式待核")))))))))))</f>
        <v/>
      </c>
      <c r="AE60" s="93">
        <f>IF(COUNTA($A60:$D60)=0,"",IF(AC60="未訂此介質／測項門檻",AC60,IF(AC60&lt;&gt;"已核對","標準待核",IF(S60="","未訂監測值",IF(NOT(ISNUMBER(L60)),"單位待核",IF(N60="ND","無法判定（ND無界限）",IF(N60="NA","不適用",IF(Z60&lt;&gt;"OK",Z60,IF(N60="數值",IF(Q60&gt;=S60,"達監測值","未達監測值"),IF(OR(N60="&lt;",N60="&lt;="),IF(OR(Q60&lt;S60,AND(N60="&lt;",Q60=S60)),"未達監測值","無法判定"),IF(OR(N60="&gt;",N60="&gt;="),IF(Q60&gt;=S60,"達監測值","無法判定"),"格式待核")))))))))))</f>
        <v/>
      </c>
      <c r="AF60" s="93">
        <f>IF(COUNTA($A60:$D60)=0,"",IF(OR(E60="",A60="",B60="",C60=""),"缺必要欄位",IF(Y60&lt;&gt;"OK","樣品資料待補",IF(T60=0,"測項未建或重複",IF(INDEX(DB_04[啟用],T60)&lt;&gt;"是","測項停用",IF(AND(Z60&lt;&gt;"OK",Z60&lt;&gt;"不適用"),Z60,IF(AND(AB60&lt;&gt;"OK",AB60&lt;&gt;"已換算"),"單位待核",IF(AA60&lt;&gt;"OK",AA60,"OK"))))))))</f>
        <v/>
      </c>
      <c r="AG60" s="93">
        <f>IF(COUNTA($A60:$D60)=0,"",IF(N60="ND","ND取0",IF(OR(N60="&lt;",N60="&lt;="),"界限除以2",IF(N60="NA","不適用",IF(OR(N60="&gt;",N60="&gt;="),"保留界限數值","保留原數值")))))</f>
        <v/>
      </c>
      <c r="AH60" s="92">
        <f>IF(O60="","",IFERROR(_xlfn.NUMBERVALUE(O60,".",","),""))</f>
        <v/>
      </c>
      <c r="AI60" s="92">
        <f>IF(H60="","",IFERROR(MATCH(H60,Samples[樣品編號],0),0))</f>
        <v/>
      </c>
    </row>
    <row r="61">
      <c r="A61" s="27" t="inlineStr">
        <is>
          <t>EC</t>
        </is>
      </c>
      <c r="B61" s="28" t="inlineStr">
        <is>
          <t>0.56</t>
        </is>
      </c>
      <c r="C61" s="27" t="inlineStr">
        <is>
          <t>mS/cm</t>
        </is>
      </c>
      <c r="D61" s="39" t="inlineStr">
        <is>
          <t>合成資料，非實測；method=field; temperature=25; temperature_compensated=25C; reference_temperature=25</t>
        </is>
      </c>
      <c r="E61" s="29">
        <f>IF(OR(I61="",I61=0),"",IF(INDEX(Samples[監測點],I61)="","",INDEX(Samples[監測點],I61)))</f>
        <v/>
      </c>
      <c r="F61" s="90">
        <f>IF(OR(I61="",I61=0),"",IF(INDEX(Samples[採樣日期],I61)="","",INDEX(Samples[採樣日期],I61)))</f>
        <v/>
      </c>
      <c r="G61" s="91">
        <f>IF(OR(M61="",M61="NA",M61="N/A"),"",IF(OR(M61="ND",M61="N.D."),0,IFERROR(IF(OR(OR(ISNUMBER(SEARCH("%",O61)),ISNUMBER(SEARCH(" ",O61)),ISNUMBER(SEARCH(",",O61))),OR(SUBSTITUTE(SUBSTITUTE(SUBSTITUTE(SUBSTITUTE(SUBSTITUTE(SUBSTITUTE(SUBSTITUTE(SUBSTITUTE(SUBSTITUTE(SUBSTITUTE(SUBSTITUTE(SUBSTITUTE(SUBSTITUTE(SUBSTITUTE(SUBSTITUTE(SUBSTITUTE(SUBSTITUTE(SUBSTITUTE("x"&amp;M61,"0",""),"1",""),"2",""),"3",""),"4",""),"5",""),"6",""),"7",""),"8",""),"9",""),".",""),"E",""),"+",""),"-",""),"&lt;",""),"&gt;",""),"=","")," ","")&lt;&gt;"x",ISNUMBER(SEARCH("-",SUBSTITUTE(SUBSTITUTE("x"&amp;MID(M61,2,99),"E-","E"),"E+","E"))),ISNUMBER(SEARCH("+",SUBSTITUTE(SUBSTITUTE("x"&amp;MID(M61,2,99),"E-","E"),"E+","E"))))),"",IF(AND(OR(LEFT(M61,1)="&lt;",LEFT(M61,1)="&gt;"),IF(O61="",0,IF(ISNUMBER(AH61),AH61,NA()))&lt;0),"",IF(O61="",0,IF(ISNUMBER(AH61),AH61,NA()))/IF(LEFT(M61,1)="&lt;",2,1))),"")))</f>
        <v/>
      </c>
      <c r="H61" s="57" t="inlineStr">
        <is>
          <t>BH02-W_20260115_02</t>
        </is>
      </c>
      <c r="I61" s="92">
        <f>IF(OR(H61="",AI61=0),0,IF(INDEX(Samples[樣品重複筆數],AI61)=1,AI61,0))</f>
        <v/>
      </c>
      <c r="J61" s="92">
        <f>IF(OR(COUNTA($A61:$D61)=0,I61=0),"",IF(INDEX(Samples[介質],I61)="","",INDEX(Samples[介質],I61)))</f>
        <v/>
      </c>
      <c r="K61" s="92">
        <f>IF(OR(COUNTA($A61:$D61)=0,T61=0),"",IF(INDEX(DB_04[標準單位],T61)="","",INDEX(DB_04[標準單位],T61)))</f>
        <v/>
      </c>
      <c r="L61" s="92">
        <f>IF(COUNTA($A61:$D61)=0,"",IF(OR(C61="",K61=""),"",IF(C61=K61,1,IF(COUNTIFS(DB_06[換算鍵],C61&amp;"|"&amp;K61,DB_06[換算檢查],"OK")=1,INDEX(DB_06[乘數],MATCH(C61&amp;"|"&amp;K61,DB_06[換算鍵],0)),""))))</f>
        <v/>
      </c>
      <c r="M61" s="92">
        <f>UPPER(SUBSTITUTE(SUBSTITUTE(SUBSTITUTE(SUBSTITUTE(TRIM(B61&amp;""),"＜","&lt;"),"＞","&gt;"),"≤","&lt;="),"≥","&gt;="))</f>
        <v/>
      </c>
      <c r="N61" s="92">
        <f>IF(M61="","",IF(OR(M61="ND",M61="N.D."),"ND",IF(OR(M61="NA",M61="N/A",M61="N.A."),"NA",IF(OR(LEFT(M61,2)="&lt;=",LEFT(M61,2)="&gt;="),LEFT(M61,2),IF(OR(LEFT(M61,1)="&lt;",LEFT(M61,1)="&gt;"),LEFT(M61,1),"數值")))))</f>
        <v/>
      </c>
      <c r="O61" s="92">
        <f>IF(OR(N61="",N61="ND",N61="NA"),"",IF(N61="數值",M61,TRIM(MID(M61,LEN(N61)+1,99))))</f>
        <v/>
      </c>
      <c r="P61" s="92">
        <f>IF(O61="","",IFERROR(IF(OR(OR(ISNUMBER(SEARCH("%",O61)),ISNUMBER(SEARCH(" ",O61)),ISNUMBER(SEARCH(",",O61))),OR(SUBSTITUTE(SUBSTITUTE(SUBSTITUTE(SUBSTITUTE(SUBSTITUTE(SUBSTITUTE(SUBSTITUTE(SUBSTITUTE(SUBSTITUTE(SUBSTITUTE(SUBSTITUTE(SUBSTITUTE(SUBSTITUTE(SUBSTITUTE(SUBSTITUTE(SUBSTITUTE(SUBSTITUTE(SUBSTITUTE("x"&amp;O61,"0",""),"1",""),"2",""),"3",""),"4",""),"5",""),"6",""),"7",""),"8",""),"9",""),".",""),"E",""),"+",""),"-",""),"&lt;",""),"&gt;",""),"=","")," ","")&lt;&gt;"x",ISNUMBER(SEARCH("-",SUBSTITUTE(SUBSTITUTE("x"&amp;MID(O61,2,99),"E-","E"),"E+","E"))),ISNUMBER(SEARCH("+",SUBSTITUTE(SUBSTITUTE("x"&amp;MID(O61,2,99),"E-","E"),"E+","E"))))),"",IF(ISNUMBER(AH61),AH61,NA())),""))</f>
        <v/>
      </c>
      <c r="Q61" s="92">
        <f>IF(AND(ISNUMBER(L61),ISNUMBER(P61)),L61*P61,"")</f>
        <v/>
      </c>
      <c r="R61" s="92">
        <f>IF(OR(COUNTA($A61:$D61)=0,U61=0),"",IF(INDEX(DB_05[管制設定值],U61)="","",INDEX(DB_05[管制設定值],U61)))</f>
        <v/>
      </c>
      <c r="S61" s="92">
        <f>IF(OR(COUNTA($A61:$D61)=0,U61=0),"",IF(INDEX(DB_05[監測設定值],U61)="","",INDEX(DB_05[監測設定值],U61)))</f>
        <v/>
      </c>
      <c r="T61" s="92">
        <f>IF(COUNTA($A61:$D61)=0,"",IF(COUNTIFS(DB_04[測項鍵],V61)=1,MATCH(V61,DB_04[測項鍵],0),0))</f>
        <v/>
      </c>
      <c r="U61" s="92">
        <f>IF(COUNTA($A61:$D61)=0,"",IF(COUNTIFS(DB_05[標準鍵],W61)=1,MATCH(W61,DB_05[標準鍵],0),0))</f>
        <v/>
      </c>
      <c r="V61" s="92">
        <f>IF(OR(J61="",A61=""),"",J61&amp;"|"&amp;A61)</f>
        <v/>
      </c>
      <c r="W61" s="92">
        <f>IF(OR('07_QAQC'!$C$3="",V61=""),"",'07_QAQC'!$C$3&amp;"|"&amp;V61)</f>
        <v/>
      </c>
      <c r="X61" s="92">
        <f>IF(OR(H61="",A61=""),"",LEN(H61)&amp;":"&amp;H61&amp;LEN(A61)&amp;":"&amp;A61)</f>
        <v/>
      </c>
      <c r="Y61" s="93">
        <f>IF(COUNTA($A61:$D61)=0,"",IF(I61=0,"樣品未建或重複",IF(INDEX(Samples[樣品檢查],I61)="","OK",INDEX(Samples[樣品檢查],I61))))</f>
        <v/>
      </c>
      <c r="Z61" s="93">
        <f>IF(COUNTA($A61:$D61)=0,"",IF(B61="","缺原始值",IF(OR(B61="-",B61="--"),"無資料",IF(N61="NA","不適用",IF(N61="ND","OK",IF(NOT(ISNUMBER(P61)),"格式待核",IF(AND(N61&lt;&gt;"數值",P61&lt;0),"界限不得為負","OK")))))))</f>
        <v/>
      </c>
      <c r="AA61" s="93">
        <f>IF(COUNTA(A61:D61)=0,"",IF(OR(A61="",H61=""),"缺識別欄位",IF(IF(LEN("="&amp;SUBSTITUTE(SUBSTITUTE(SUBSTITUTE(X61,"~","~~"),"*","~*"),"?","~?"))&lt;=255,COUNTIF(Results[結果識別鍵],"="&amp;SUBSTITUTE(SUBSTITUTE(SUBSTITUTE(X61,"~","~~"),"*","~*"),"?","~?")),COUNTIFS(Results[關聯鍵],"="&amp;SUBSTITUTE(SUBSTITUTE(SUBSTITUTE(H61,"~","~~"),"*","~*"),"?","~?"),Results[分析項目],"="&amp;SUBSTITUTE(SUBSTITUTE(SUBSTITUTE(A61,"~","~~"),"*","~*"),"?","~?")))&gt;1,"同關聯鍵測項重複","OK")))</f>
        <v/>
      </c>
      <c r="AB61" s="93">
        <f>IF(COUNTA($A61:$D61)=0,"",IF(OR(C61="",K61=""),"缺單位",IF(NOT(ISNUMBER(L61)),"單位不相容",IF(L61=1,"OK","已換算"))))</f>
        <v/>
      </c>
      <c r="AC61" s="93">
        <f>IF(COUNTA($A61:$D61)=0,"",IF('07_QAQC'!$C$3="","未選比較版本",IF(U61=0,IF(COUNTIFS(DB_05[標準鍵],W61)&gt;1,"標準鍵重複","未訂此介質／測項門檻"),IF(INDEX(DB_05[版本檢查],U61)&lt;&gt;"OK","標準主檔待核",IF(INDEX(DB_05[標準單位],U61)&lt;&gt;K61,"標準單位不符",IF(INDEX(DB_05[核對狀態],U61)="停用","停用",IF(F61="","缺採樣日期",IF(OR(AND(INDEX(DB_05[生效日],U61)&lt;&gt;"",F61&lt;INDEX(DB_05[生效日],U61)),AND(INDEX(DB_05[失效日],U61)&lt;&gt;"",F61&gt;INDEX(DB_05[失效日],U61))),"日期不適用",INDEX(DB_05[核對狀態],U61)))))))))</f>
        <v/>
      </c>
      <c r="AD61" s="93">
        <f>IF(COUNTA($A61:$D61)=0,"",IF(AC61="未訂此介質／測項門檻",AC61,IF(AC61&lt;&gt;"已核對","標準待核",IF(R61="","未訂管制值",IF(NOT(ISNUMBER(L61)),"單位待核",IF(N61="ND","無法判定（ND無界限）",IF(N61="NA","不適用",IF(Z61&lt;&gt;"OK",Z61,IF(N61="數值",IF(Q61&gt;=R61,"達管制值","未達管制值"),IF(OR(N61="&lt;",N61="&lt;="),IF(OR(Q61&lt;R61,AND(N61="&lt;",Q61=R61)),"未達管制值","無法判定"),IF(OR(N61="&gt;",N61="&gt;="),IF(Q61&gt;=R61,"達管制值","無法判定"),"格式待核")))))))))))</f>
        <v/>
      </c>
      <c r="AE61" s="93">
        <f>IF(COUNTA($A61:$D61)=0,"",IF(AC61="未訂此介質／測項門檻",AC61,IF(AC61&lt;&gt;"已核對","標準待核",IF(S61="","未訂監測值",IF(NOT(ISNUMBER(L61)),"單位待核",IF(N61="ND","無法判定（ND無界限）",IF(N61="NA","不適用",IF(Z61&lt;&gt;"OK",Z61,IF(N61="數值",IF(Q61&gt;=S61,"達監測值","未達監測值"),IF(OR(N61="&lt;",N61="&lt;="),IF(OR(Q61&lt;S61,AND(N61="&lt;",Q61=S61)),"未達監測值","無法判定"),IF(OR(N61="&gt;",N61="&gt;="),IF(Q61&gt;=S61,"達監測值","無法判定"),"格式待核")))))))))))</f>
        <v/>
      </c>
      <c r="AF61" s="93">
        <f>IF(COUNTA($A61:$D61)=0,"",IF(OR(E61="",A61="",B61="",C61=""),"缺必要欄位",IF(Y61&lt;&gt;"OK","樣品資料待補",IF(T61=0,"測項未建或重複",IF(INDEX(DB_04[啟用],T61)&lt;&gt;"是","測項停用",IF(AND(Z61&lt;&gt;"OK",Z61&lt;&gt;"不適用"),Z61,IF(AND(AB61&lt;&gt;"OK",AB61&lt;&gt;"已換算"),"單位待核",IF(AA61&lt;&gt;"OK",AA61,"OK"))))))))</f>
        <v/>
      </c>
      <c r="AG61" s="93">
        <f>IF(COUNTA($A61:$D61)=0,"",IF(N61="ND","ND取0",IF(OR(N61="&lt;",N61="&lt;="),"界限除以2",IF(N61="NA","不適用",IF(OR(N61="&gt;",N61="&gt;="),"保留界限數值","保留原數值")))))</f>
        <v/>
      </c>
      <c r="AH61" s="92">
        <f>IF(O61="","",IFERROR(_xlfn.NUMBERVALUE(O61,".",","),""))</f>
        <v/>
      </c>
      <c r="AI61" s="92">
        <f>IF(H61="","",IFERROR(MATCH(H61,Samples[樣品編號],0),0))</f>
        <v/>
      </c>
    </row>
    <row r="62">
      <c r="A62" s="27" t="inlineStr">
        <is>
          <t>DO</t>
        </is>
      </c>
      <c r="B62" s="28" t="inlineStr">
        <is>
          <t>5.4</t>
        </is>
      </c>
      <c r="C62" s="27" t="inlineStr">
        <is>
          <t>mg/L</t>
        </is>
      </c>
      <c r="D62" s="39" t="inlineStr">
        <is>
          <t>合成資料，非實測；method=field</t>
        </is>
      </c>
      <c r="E62" s="29">
        <f>IF(OR(I62="",I62=0),"",IF(INDEX(Samples[監測點],I62)="","",INDEX(Samples[監測點],I62)))</f>
        <v/>
      </c>
      <c r="F62" s="90">
        <f>IF(OR(I62="",I62=0),"",IF(INDEX(Samples[採樣日期],I62)="","",INDEX(Samples[採樣日期],I62)))</f>
        <v/>
      </c>
      <c r="G62" s="91">
        <f>IF(OR(M62="",M62="NA",M62="N/A"),"",IF(OR(M62="ND",M62="N.D."),0,IFERROR(IF(OR(OR(ISNUMBER(SEARCH("%",O62)),ISNUMBER(SEARCH(" ",O62)),ISNUMBER(SEARCH(",",O62))),OR(SUBSTITUTE(SUBSTITUTE(SUBSTITUTE(SUBSTITUTE(SUBSTITUTE(SUBSTITUTE(SUBSTITUTE(SUBSTITUTE(SUBSTITUTE(SUBSTITUTE(SUBSTITUTE(SUBSTITUTE(SUBSTITUTE(SUBSTITUTE(SUBSTITUTE(SUBSTITUTE(SUBSTITUTE(SUBSTITUTE("x"&amp;M62,"0",""),"1",""),"2",""),"3",""),"4",""),"5",""),"6",""),"7",""),"8",""),"9",""),".",""),"E",""),"+",""),"-",""),"&lt;",""),"&gt;",""),"=","")," ","")&lt;&gt;"x",ISNUMBER(SEARCH("-",SUBSTITUTE(SUBSTITUTE("x"&amp;MID(M62,2,99),"E-","E"),"E+","E"))),ISNUMBER(SEARCH("+",SUBSTITUTE(SUBSTITUTE("x"&amp;MID(M62,2,99),"E-","E"),"E+","E"))))),"",IF(AND(OR(LEFT(M62,1)="&lt;",LEFT(M62,1)="&gt;"),IF(O62="",0,IF(ISNUMBER(AH62),AH62,NA()))&lt;0),"",IF(O62="",0,IF(ISNUMBER(AH62),AH62,NA()))/IF(LEFT(M62,1)="&lt;",2,1))),"")))</f>
        <v/>
      </c>
      <c r="H62" s="57" t="inlineStr">
        <is>
          <t>BH02-W_20260115_02</t>
        </is>
      </c>
      <c r="I62" s="92">
        <f>IF(OR(H62="",AI62=0),0,IF(INDEX(Samples[樣品重複筆數],AI62)=1,AI62,0))</f>
        <v/>
      </c>
      <c r="J62" s="92">
        <f>IF(OR(COUNTA($A62:$D62)=0,I62=0),"",IF(INDEX(Samples[介質],I62)="","",INDEX(Samples[介質],I62)))</f>
        <v/>
      </c>
      <c r="K62" s="92">
        <f>IF(OR(COUNTA($A62:$D62)=0,T62=0),"",IF(INDEX(DB_04[標準單位],T62)="","",INDEX(DB_04[標準單位],T62)))</f>
        <v/>
      </c>
      <c r="L62" s="92">
        <f>IF(COUNTA($A62:$D62)=0,"",IF(OR(C62="",K62=""),"",IF(C62=K62,1,IF(COUNTIFS(DB_06[換算鍵],C62&amp;"|"&amp;K62,DB_06[換算檢查],"OK")=1,INDEX(DB_06[乘數],MATCH(C62&amp;"|"&amp;K62,DB_06[換算鍵],0)),""))))</f>
        <v/>
      </c>
      <c r="M62" s="92">
        <f>UPPER(SUBSTITUTE(SUBSTITUTE(SUBSTITUTE(SUBSTITUTE(TRIM(B62&amp;""),"＜","&lt;"),"＞","&gt;"),"≤","&lt;="),"≥","&gt;="))</f>
        <v/>
      </c>
      <c r="N62" s="92">
        <f>IF(M62="","",IF(OR(M62="ND",M62="N.D."),"ND",IF(OR(M62="NA",M62="N/A",M62="N.A."),"NA",IF(OR(LEFT(M62,2)="&lt;=",LEFT(M62,2)="&gt;="),LEFT(M62,2),IF(OR(LEFT(M62,1)="&lt;",LEFT(M62,1)="&gt;"),LEFT(M62,1),"數值")))))</f>
        <v/>
      </c>
      <c r="O62" s="92">
        <f>IF(OR(N62="",N62="ND",N62="NA"),"",IF(N62="數值",M62,TRIM(MID(M62,LEN(N62)+1,99))))</f>
        <v/>
      </c>
      <c r="P62" s="92">
        <f>IF(O62="","",IFERROR(IF(OR(OR(ISNUMBER(SEARCH("%",O62)),ISNUMBER(SEARCH(" ",O62)),ISNUMBER(SEARCH(",",O62))),OR(SUBSTITUTE(SUBSTITUTE(SUBSTITUTE(SUBSTITUTE(SUBSTITUTE(SUBSTITUTE(SUBSTITUTE(SUBSTITUTE(SUBSTITUTE(SUBSTITUTE(SUBSTITUTE(SUBSTITUTE(SUBSTITUTE(SUBSTITUTE(SUBSTITUTE(SUBSTITUTE(SUBSTITUTE(SUBSTITUTE("x"&amp;O62,"0",""),"1",""),"2",""),"3",""),"4",""),"5",""),"6",""),"7",""),"8",""),"9",""),".",""),"E",""),"+",""),"-",""),"&lt;",""),"&gt;",""),"=","")," ","")&lt;&gt;"x",ISNUMBER(SEARCH("-",SUBSTITUTE(SUBSTITUTE("x"&amp;MID(O62,2,99),"E-","E"),"E+","E"))),ISNUMBER(SEARCH("+",SUBSTITUTE(SUBSTITUTE("x"&amp;MID(O62,2,99),"E-","E"),"E+","E"))))),"",IF(ISNUMBER(AH62),AH62,NA())),""))</f>
        <v/>
      </c>
      <c r="Q62" s="92">
        <f>IF(AND(ISNUMBER(L62),ISNUMBER(P62)),L62*P62,"")</f>
        <v/>
      </c>
      <c r="R62" s="92">
        <f>IF(OR(COUNTA($A62:$D62)=0,U62=0),"",IF(INDEX(DB_05[管制設定值],U62)="","",INDEX(DB_05[管制設定值],U62)))</f>
        <v/>
      </c>
      <c r="S62" s="92">
        <f>IF(OR(COUNTA($A62:$D62)=0,U62=0),"",IF(INDEX(DB_05[監測設定值],U62)="","",INDEX(DB_05[監測設定值],U62)))</f>
        <v/>
      </c>
      <c r="T62" s="92">
        <f>IF(COUNTA($A62:$D62)=0,"",IF(COUNTIFS(DB_04[測項鍵],V62)=1,MATCH(V62,DB_04[測項鍵],0),0))</f>
        <v/>
      </c>
      <c r="U62" s="92">
        <f>IF(COUNTA($A62:$D62)=0,"",IF(COUNTIFS(DB_05[標準鍵],W62)=1,MATCH(W62,DB_05[標準鍵],0),0))</f>
        <v/>
      </c>
      <c r="V62" s="92">
        <f>IF(OR(J62="",A62=""),"",J62&amp;"|"&amp;A62)</f>
        <v/>
      </c>
      <c r="W62" s="92">
        <f>IF(OR('07_QAQC'!$C$3="",V62=""),"",'07_QAQC'!$C$3&amp;"|"&amp;V62)</f>
        <v/>
      </c>
      <c r="X62" s="92">
        <f>IF(OR(H62="",A62=""),"",LEN(H62)&amp;":"&amp;H62&amp;LEN(A62)&amp;":"&amp;A62)</f>
        <v/>
      </c>
      <c r="Y62" s="93">
        <f>IF(COUNTA($A62:$D62)=0,"",IF(I62=0,"樣品未建或重複",IF(INDEX(Samples[樣品檢查],I62)="","OK",INDEX(Samples[樣品檢查],I62))))</f>
        <v/>
      </c>
      <c r="Z62" s="93">
        <f>IF(COUNTA($A62:$D62)=0,"",IF(B62="","缺原始值",IF(OR(B62="-",B62="--"),"無資料",IF(N62="NA","不適用",IF(N62="ND","OK",IF(NOT(ISNUMBER(P62)),"格式待核",IF(AND(N62&lt;&gt;"數值",P62&lt;0),"界限不得為負","OK")))))))</f>
        <v/>
      </c>
      <c r="AA62" s="93">
        <f>IF(COUNTA(A62:D62)=0,"",IF(OR(A62="",H62=""),"缺識別欄位",IF(IF(LEN("="&amp;SUBSTITUTE(SUBSTITUTE(SUBSTITUTE(X62,"~","~~"),"*","~*"),"?","~?"))&lt;=255,COUNTIF(Results[結果識別鍵],"="&amp;SUBSTITUTE(SUBSTITUTE(SUBSTITUTE(X62,"~","~~"),"*","~*"),"?","~?")),COUNTIFS(Results[關聯鍵],"="&amp;SUBSTITUTE(SUBSTITUTE(SUBSTITUTE(H62,"~","~~"),"*","~*"),"?","~?"),Results[分析項目],"="&amp;SUBSTITUTE(SUBSTITUTE(SUBSTITUTE(A62,"~","~~"),"*","~*"),"?","~?")))&gt;1,"同關聯鍵測項重複","OK")))</f>
        <v/>
      </c>
      <c r="AB62" s="93">
        <f>IF(COUNTA($A62:$D62)=0,"",IF(OR(C62="",K62=""),"缺單位",IF(NOT(ISNUMBER(L62)),"單位不相容",IF(L62=1,"OK","已換算"))))</f>
        <v/>
      </c>
      <c r="AC62" s="93">
        <f>IF(COUNTA($A62:$D62)=0,"",IF('07_QAQC'!$C$3="","未選比較版本",IF(U62=0,IF(COUNTIFS(DB_05[標準鍵],W62)&gt;1,"標準鍵重複","未訂此介質／測項門檻"),IF(INDEX(DB_05[版本檢查],U62)&lt;&gt;"OK","標準主檔待核",IF(INDEX(DB_05[標準單位],U62)&lt;&gt;K62,"標準單位不符",IF(INDEX(DB_05[核對狀態],U62)="停用","停用",IF(F62="","缺採樣日期",IF(OR(AND(INDEX(DB_05[生效日],U62)&lt;&gt;"",F62&lt;INDEX(DB_05[生效日],U62)),AND(INDEX(DB_05[失效日],U62)&lt;&gt;"",F62&gt;INDEX(DB_05[失效日],U62))),"日期不適用",INDEX(DB_05[核對狀態],U62)))))))))</f>
        <v/>
      </c>
      <c r="AD62" s="93">
        <f>IF(COUNTA($A62:$D62)=0,"",IF(AC62="未訂此介質／測項門檻",AC62,IF(AC62&lt;&gt;"已核對","標準待核",IF(R62="","未訂管制值",IF(NOT(ISNUMBER(L62)),"單位待核",IF(N62="ND","無法判定（ND無界限）",IF(N62="NA","不適用",IF(Z62&lt;&gt;"OK",Z62,IF(N62="數值",IF(Q62&gt;=R62,"達管制值","未達管制值"),IF(OR(N62="&lt;",N62="&lt;="),IF(OR(Q62&lt;R62,AND(N62="&lt;",Q62=R62)),"未達管制值","無法判定"),IF(OR(N62="&gt;",N62="&gt;="),IF(Q62&gt;=R62,"達管制值","無法判定"),"格式待核")))))))))))</f>
        <v/>
      </c>
      <c r="AE62" s="93">
        <f>IF(COUNTA($A62:$D62)=0,"",IF(AC62="未訂此介質／測項門檻",AC62,IF(AC62&lt;&gt;"已核對","標準待核",IF(S62="","未訂監測值",IF(NOT(ISNUMBER(L62)),"單位待核",IF(N62="ND","無法判定（ND無界限）",IF(N62="NA","不適用",IF(Z62&lt;&gt;"OK",Z62,IF(N62="數值",IF(Q62&gt;=S62,"達監測值","未達監測值"),IF(OR(N62="&lt;",N62="&lt;="),IF(OR(Q62&lt;S62,AND(N62="&lt;",Q62=S62)),"未達監測值","無法判定"),IF(OR(N62="&gt;",N62="&gt;="),IF(Q62&gt;=S62,"達監測值","無法判定"),"格式待核")))))))))))</f>
        <v/>
      </c>
      <c r="AF62" s="93">
        <f>IF(COUNTA($A62:$D62)=0,"",IF(OR(E62="",A62="",B62="",C62=""),"缺必要欄位",IF(Y62&lt;&gt;"OK","樣品資料待補",IF(T62=0,"測項未建或重複",IF(INDEX(DB_04[啟用],T62)&lt;&gt;"是","測項停用",IF(AND(Z62&lt;&gt;"OK",Z62&lt;&gt;"不適用"),Z62,IF(AND(AB62&lt;&gt;"OK",AB62&lt;&gt;"已換算"),"單位待核",IF(AA62&lt;&gt;"OK",AA62,"OK"))))))))</f>
        <v/>
      </c>
      <c r="AG62" s="93">
        <f>IF(COUNTA($A62:$D62)=0,"",IF(N62="ND","ND取0",IF(OR(N62="&lt;",N62="&lt;="),"界限除以2",IF(N62="NA","不適用",IF(OR(N62="&gt;",N62="&gt;="),"保留界限數值","保留原數值")))))</f>
        <v/>
      </c>
      <c r="AH62" s="92">
        <f>IF(O62="","",IFERROR(_xlfn.NUMBERVALUE(O62,".",","),""))</f>
        <v/>
      </c>
      <c r="AI62" s="92">
        <f>IF(H62="","",IFERROR(MATCH(H62,Samples[樣品編號],0),0))</f>
        <v/>
      </c>
    </row>
    <row r="63">
      <c r="A63" s="27" t="inlineStr">
        <is>
          <t>溶氧飽和度</t>
        </is>
      </c>
      <c r="B63" s="28" t="inlineStr">
        <is>
          <t>66</t>
        </is>
      </c>
      <c r="C63" s="27" t="inlineStr">
        <is>
          <t>%</t>
        </is>
      </c>
      <c r="D63" s="39" t="inlineStr">
        <is>
          <t>合成資料，非實測；method=field</t>
        </is>
      </c>
      <c r="E63" s="29">
        <f>IF(OR(I63="",I63=0),"",IF(INDEX(Samples[監測點],I63)="","",INDEX(Samples[監測點],I63)))</f>
        <v/>
      </c>
      <c r="F63" s="90">
        <f>IF(OR(I63="",I63=0),"",IF(INDEX(Samples[採樣日期],I63)="","",INDEX(Samples[採樣日期],I63)))</f>
        <v/>
      </c>
      <c r="G63" s="91">
        <f>IF(OR(M63="",M63="NA",M63="N/A"),"",IF(OR(M63="ND",M63="N.D."),0,IFERROR(IF(OR(OR(ISNUMBER(SEARCH("%",O63)),ISNUMBER(SEARCH(" ",O63)),ISNUMBER(SEARCH(",",O63))),OR(SUBSTITUTE(SUBSTITUTE(SUBSTITUTE(SUBSTITUTE(SUBSTITUTE(SUBSTITUTE(SUBSTITUTE(SUBSTITUTE(SUBSTITUTE(SUBSTITUTE(SUBSTITUTE(SUBSTITUTE(SUBSTITUTE(SUBSTITUTE(SUBSTITUTE(SUBSTITUTE(SUBSTITUTE(SUBSTITUTE("x"&amp;M63,"0",""),"1",""),"2",""),"3",""),"4",""),"5",""),"6",""),"7",""),"8",""),"9",""),".",""),"E",""),"+",""),"-",""),"&lt;",""),"&gt;",""),"=","")," ","")&lt;&gt;"x",ISNUMBER(SEARCH("-",SUBSTITUTE(SUBSTITUTE("x"&amp;MID(M63,2,99),"E-","E"),"E+","E"))),ISNUMBER(SEARCH("+",SUBSTITUTE(SUBSTITUTE("x"&amp;MID(M63,2,99),"E-","E"),"E+","E"))))),"",IF(AND(OR(LEFT(M63,1)="&lt;",LEFT(M63,1)="&gt;"),IF(O63="",0,IF(ISNUMBER(AH63),AH63,NA()))&lt;0),"",IF(O63="",0,IF(ISNUMBER(AH63),AH63,NA()))/IF(LEFT(M63,1)="&lt;",2,1))),"")))</f>
        <v/>
      </c>
      <c r="H63" s="57" t="inlineStr">
        <is>
          <t>BH02-W_20260115_02</t>
        </is>
      </c>
      <c r="I63" s="92">
        <f>IF(OR(H63="",AI63=0),0,IF(INDEX(Samples[樣品重複筆數],AI63)=1,AI63,0))</f>
        <v/>
      </c>
      <c r="J63" s="92">
        <f>IF(OR(COUNTA($A63:$D63)=0,I63=0),"",IF(INDEX(Samples[介質],I63)="","",INDEX(Samples[介質],I63)))</f>
        <v/>
      </c>
      <c r="K63" s="92">
        <f>IF(OR(COUNTA($A63:$D63)=0,T63=0),"",IF(INDEX(DB_04[標準單位],T63)="","",INDEX(DB_04[標準單位],T63)))</f>
        <v/>
      </c>
      <c r="L63" s="92">
        <f>IF(COUNTA($A63:$D63)=0,"",IF(OR(C63="",K63=""),"",IF(C63=K63,1,IF(COUNTIFS(DB_06[換算鍵],C63&amp;"|"&amp;K63,DB_06[換算檢查],"OK")=1,INDEX(DB_06[乘數],MATCH(C63&amp;"|"&amp;K63,DB_06[換算鍵],0)),""))))</f>
        <v/>
      </c>
      <c r="M63" s="92">
        <f>UPPER(SUBSTITUTE(SUBSTITUTE(SUBSTITUTE(SUBSTITUTE(TRIM(B63&amp;""),"＜","&lt;"),"＞","&gt;"),"≤","&lt;="),"≥","&gt;="))</f>
        <v/>
      </c>
      <c r="N63" s="92">
        <f>IF(M63="","",IF(OR(M63="ND",M63="N.D."),"ND",IF(OR(M63="NA",M63="N/A",M63="N.A."),"NA",IF(OR(LEFT(M63,2)="&lt;=",LEFT(M63,2)="&gt;="),LEFT(M63,2),IF(OR(LEFT(M63,1)="&lt;",LEFT(M63,1)="&gt;"),LEFT(M63,1),"數值")))))</f>
        <v/>
      </c>
      <c r="O63" s="92">
        <f>IF(OR(N63="",N63="ND",N63="NA"),"",IF(N63="數值",M63,TRIM(MID(M63,LEN(N63)+1,99))))</f>
        <v/>
      </c>
      <c r="P63" s="92">
        <f>IF(O63="","",IFERROR(IF(OR(OR(ISNUMBER(SEARCH("%",O63)),ISNUMBER(SEARCH(" ",O63)),ISNUMBER(SEARCH(",",O63))),OR(SUBSTITUTE(SUBSTITUTE(SUBSTITUTE(SUBSTITUTE(SUBSTITUTE(SUBSTITUTE(SUBSTITUTE(SUBSTITUTE(SUBSTITUTE(SUBSTITUTE(SUBSTITUTE(SUBSTITUTE(SUBSTITUTE(SUBSTITUTE(SUBSTITUTE(SUBSTITUTE(SUBSTITUTE(SUBSTITUTE("x"&amp;O63,"0",""),"1",""),"2",""),"3",""),"4",""),"5",""),"6",""),"7",""),"8",""),"9",""),".",""),"E",""),"+",""),"-",""),"&lt;",""),"&gt;",""),"=","")," ","")&lt;&gt;"x",ISNUMBER(SEARCH("-",SUBSTITUTE(SUBSTITUTE("x"&amp;MID(O63,2,99),"E-","E"),"E+","E"))),ISNUMBER(SEARCH("+",SUBSTITUTE(SUBSTITUTE("x"&amp;MID(O63,2,99),"E-","E"),"E+","E"))))),"",IF(ISNUMBER(AH63),AH63,NA())),""))</f>
        <v/>
      </c>
      <c r="Q63" s="92">
        <f>IF(AND(ISNUMBER(L63),ISNUMBER(P63)),L63*P63,"")</f>
        <v/>
      </c>
      <c r="R63" s="92">
        <f>IF(OR(COUNTA($A63:$D63)=0,U63=0),"",IF(INDEX(DB_05[管制設定值],U63)="","",INDEX(DB_05[管制設定值],U63)))</f>
        <v/>
      </c>
      <c r="S63" s="92">
        <f>IF(OR(COUNTA($A63:$D63)=0,U63=0),"",IF(INDEX(DB_05[監測設定值],U63)="","",INDEX(DB_05[監測設定值],U63)))</f>
        <v/>
      </c>
      <c r="T63" s="92">
        <f>IF(COUNTA($A63:$D63)=0,"",IF(COUNTIFS(DB_04[測項鍵],V63)=1,MATCH(V63,DB_04[測項鍵],0),0))</f>
        <v/>
      </c>
      <c r="U63" s="92">
        <f>IF(COUNTA($A63:$D63)=0,"",IF(COUNTIFS(DB_05[標準鍵],W63)=1,MATCH(W63,DB_05[標準鍵],0),0))</f>
        <v/>
      </c>
      <c r="V63" s="92">
        <f>IF(OR(J63="",A63=""),"",J63&amp;"|"&amp;A63)</f>
        <v/>
      </c>
      <c r="W63" s="92">
        <f>IF(OR('07_QAQC'!$C$3="",V63=""),"",'07_QAQC'!$C$3&amp;"|"&amp;V63)</f>
        <v/>
      </c>
      <c r="X63" s="92">
        <f>IF(OR(H63="",A63=""),"",LEN(H63)&amp;":"&amp;H63&amp;LEN(A63)&amp;":"&amp;A63)</f>
        <v/>
      </c>
      <c r="Y63" s="93">
        <f>IF(COUNTA($A63:$D63)=0,"",IF(I63=0,"樣品未建或重複",IF(INDEX(Samples[樣品檢查],I63)="","OK",INDEX(Samples[樣品檢查],I63))))</f>
        <v/>
      </c>
      <c r="Z63" s="93">
        <f>IF(COUNTA($A63:$D63)=0,"",IF(B63="","缺原始值",IF(OR(B63="-",B63="--"),"無資料",IF(N63="NA","不適用",IF(N63="ND","OK",IF(NOT(ISNUMBER(P63)),"格式待核",IF(AND(N63&lt;&gt;"數值",P63&lt;0),"界限不得為負","OK")))))))</f>
        <v/>
      </c>
      <c r="AA63" s="93">
        <f>IF(COUNTA(A63:D63)=0,"",IF(OR(A63="",H63=""),"缺識別欄位",IF(IF(LEN("="&amp;SUBSTITUTE(SUBSTITUTE(SUBSTITUTE(X63,"~","~~"),"*","~*"),"?","~?"))&lt;=255,COUNTIF(Results[結果識別鍵],"="&amp;SUBSTITUTE(SUBSTITUTE(SUBSTITUTE(X63,"~","~~"),"*","~*"),"?","~?")),COUNTIFS(Results[關聯鍵],"="&amp;SUBSTITUTE(SUBSTITUTE(SUBSTITUTE(H63,"~","~~"),"*","~*"),"?","~?"),Results[分析項目],"="&amp;SUBSTITUTE(SUBSTITUTE(SUBSTITUTE(A63,"~","~~"),"*","~*"),"?","~?")))&gt;1,"同關聯鍵測項重複","OK")))</f>
        <v/>
      </c>
      <c r="AB63" s="93">
        <f>IF(COUNTA($A63:$D63)=0,"",IF(OR(C63="",K63=""),"缺單位",IF(NOT(ISNUMBER(L63)),"單位不相容",IF(L63=1,"OK","已換算"))))</f>
        <v/>
      </c>
      <c r="AC63" s="93">
        <f>IF(COUNTA($A63:$D63)=0,"",IF('07_QAQC'!$C$3="","未選比較版本",IF(U63=0,IF(COUNTIFS(DB_05[標準鍵],W63)&gt;1,"標準鍵重複","未訂此介質／測項門檻"),IF(INDEX(DB_05[版本檢查],U63)&lt;&gt;"OK","標準主檔待核",IF(INDEX(DB_05[標準單位],U63)&lt;&gt;K63,"標準單位不符",IF(INDEX(DB_05[核對狀態],U63)="停用","停用",IF(F63="","缺採樣日期",IF(OR(AND(INDEX(DB_05[生效日],U63)&lt;&gt;"",F63&lt;INDEX(DB_05[生效日],U63)),AND(INDEX(DB_05[失效日],U63)&lt;&gt;"",F63&gt;INDEX(DB_05[失效日],U63))),"日期不適用",INDEX(DB_05[核對狀態],U63)))))))))</f>
        <v/>
      </c>
      <c r="AD63" s="93">
        <f>IF(COUNTA($A63:$D63)=0,"",IF(AC63="未訂此介質／測項門檻",AC63,IF(AC63&lt;&gt;"已核對","標準待核",IF(R63="","未訂管制值",IF(NOT(ISNUMBER(L63)),"單位待核",IF(N63="ND","無法判定（ND無界限）",IF(N63="NA","不適用",IF(Z63&lt;&gt;"OK",Z63,IF(N63="數值",IF(Q63&gt;=R63,"達管制值","未達管制值"),IF(OR(N63="&lt;",N63="&lt;="),IF(OR(Q63&lt;R63,AND(N63="&lt;",Q63=R63)),"未達管制值","無法判定"),IF(OR(N63="&gt;",N63="&gt;="),IF(Q63&gt;=R63,"達管制值","無法判定"),"格式待核")))))))))))</f>
        <v/>
      </c>
      <c r="AE63" s="93">
        <f>IF(COUNTA($A63:$D63)=0,"",IF(AC63="未訂此介質／測項門檻",AC63,IF(AC63&lt;&gt;"已核對","標準待核",IF(S63="","未訂監測值",IF(NOT(ISNUMBER(L63)),"單位待核",IF(N63="ND","無法判定（ND無界限）",IF(N63="NA","不適用",IF(Z63&lt;&gt;"OK",Z63,IF(N63="數值",IF(Q63&gt;=S63,"達監測值","未達監測值"),IF(OR(N63="&lt;",N63="&lt;="),IF(OR(Q63&lt;S63,AND(N63="&lt;",Q63=S63)),"未達監測值","無法判定"),IF(OR(N63="&gt;",N63="&gt;="),IF(Q63&gt;=S63,"達監測值","無法判定"),"格式待核")))))))))))</f>
        <v/>
      </c>
      <c r="AF63" s="93">
        <f>IF(COUNTA($A63:$D63)=0,"",IF(OR(E63="",A63="",B63="",C63=""),"缺必要欄位",IF(Y63&lt;&gt;"OK","樣品資料待補",IF(T63=0,"測項未建或重複",IF(INDEX(DB_04[啟用],T63)&lt;&gt;"是","測項停用",IF(AND(Z63&lt;&gt;"OK",Z63&lt;&gt;"不適用"),Z63,IF(AND(AB63&lt;&gt;"OK",AB63&lt;&gt;"已換算"),"單位待核",IF(AA63&lt;&gt;"OK",AA63,"OK"))))))))</f>
        <v/>
      </c>
      <c r="AG63" s="93">
        <f>IF(COUNTA($A63:$D63)=0,"",IF(N63="ND","ND取0",IF(OR(N63="&lt;",N63="&lt;="),"界限除以2",IF(N63="NA","不適用",IF(OR(N63="&gt;",N63="&gt;="),"保留界限數值","保留原數值")))))</f>
        <v/>
      </c>
      <c r="AH63" s="92">
        <f>IF(O63="","",IFERROR(_xlfn.NUMBERVALUE(O63,".",","),""))</f>
        <v/>
      </c>
      <c r="AI63" s="92">
        <f>IF(H63="","",IFERROR(MATCH(H63,Samples[樣品編號],0),0))</f>
        <v/>
      </c>
    </row>
    <row r="64">
      <c r="A64" s="27" t="inlineStr">
        <is>
          <t>ORP</t>
        </is>
      </c>
      <c r="B64" s="28" t="inlineStr">
        <is>
          <t>5</t>
        </is>
      </c>
      <c r="C64" s="27" t="inlineStr">
        <is>
          <t>mV</t>
        </is>
      </c>
      <c r="D64" s="39" t="inlineStr">
        <is>
          <t>合成資料，非實測；method=field; reference_electrode=Ag/AgCl; calibration=verified</t>
        </is>
      </c>
      <c r="E64" s="29">
        <f>IF(OR(I64="",I64=0),"",IF(INDEX(Samples[監測點],I64)="","",INDEX(Samples[監測點],I64)))</f>
        <v/>
      </c>
      <c r="F64" s="90">
        <f>IF(OR(I64="",I64=0),"",IF(INDEX(Samples[採樣日期],I64)="","",INDEX(Samples[採樣日期],I64)))</f>
        <v/>
      </c>
      <c r="G64" s="91">
        <f>IF(OR(M64="",M64="NA",M64="N/A"),"",IF(OR(M64="ND",M64="N.D."),0,IFERROR(IF(OR(OR(ISNUMBER(SEARCH("%",O64)),ISNUMBER(SEARCH(" ",O64)),ISNUMBER(SEARCH(",",O64))),OR(SUBSTITUTE(SUBSTITUTE(SUBSTITUTE(SUBSTITUTE(SUBSTITUTE(SUBSTITUTE(SUBSTITUTE(SUBSTITUTE(SUBSTITUTE(SUBSTITUTE(SUBSTITUTE(SUBSTITUTE(SUBSTITUTE(SUBSTITUTE(SUBSTITUTE(SUBSTITUTE(SUBSTITUTE(SUBSTITUTE("x"&amp;M64,"0",""),"1",""),"2",""),"3",""),"4",""),"5",""),"6",""),"7",""),"8",""),"9",""),".",""),"E",""),"+",""),"-",""),"&lt;",""),"&gt;",""),"=","")," ","")&lt;&gt;"x",ISNUMBER(SEARCH("-",SUBSTITUTE(SUBSTITUTE("x"&amp;MID(M64,2,99),"E-","E"),"E+","E"))),ISNUMBER(SEARCH("+",SUBSTITUTE(SUBSTITUTE("x"&amp;MID(M64,2,99),"E-","E"),"E+","E"))))),"",IF(AND(OR(LEFT(M64,1)="&lt;",LEFT(M64,1)="&gt;"),IF(O64="",0,IF(ISNUMBER(AH64),AH64,NA()))&lt;0),"",IF(O64="",0,IF(ISNUMBER(AH64),AH64,NA()))/IF(LEFT(M64,1)="&lt;",2,1))),"")))</f>
        <v/>
      </c>
      <c r="H64" s="57" t="inlineStr">
        <is>
          <t>BH02-W_20260115_02</t>
        </is>
      </c>
      <c r="I64" s="92">
        <f>IF(OR(H64="",AI64=0),0,IF(INDEX(Samples[樣品重複筆數],AI64)=1,AI64,0))</f>
        <v/>
      </c>
      <c r="J64" s="92">
        <f>IF(OR(COUNTA($A64:$D64)=0,I64=0),"",IF(INDEX(Samples[介質],I64)="","",INDEX(Samples[介質],I64)))</f>
        <v/>
      </c>
      <c r="K64" s="92">
        <f>IF(OR(COUNTA($A64:$D64)=0,T64=0),"",IF(INDEX(DB_04[標準單位],T64)="","",INDEX(DB_04[標準單位],T64)))</f>
        <v/>
      </c>
      <c r="L64" s="92">
        <f>IF(COUNTA($A64:$D64)=0,"",IF(OR(C64="",K64=""),"",IF(C64=K64,1,IF(COUNTIFS(DB_06[換算鍵],C64&amp;"|"&amp;K64,DB_06[換算檢查],"OK")=1,INDEX(DB_06[乘數],MATCH(C64&amp;"|"&amp;K64,DB_06[換算鍵],0)),""))))</f>
        <v/>
      </c>
      <c r="M64" s="92">
        <f>UPPER(SUBSTITUTE(SUBSTITUTE(SUBSTITUTE(SUBSTITUTE(TRIM(B64&amp;""),"＜","&lt;"),"＞","&gt;"),"≤","&lt;="),"≥","&gt;="))</f>
        <v/>
      </c>
      <c r="N64" s="92">
        <f>IF(M64="","",IF(OR(M64="ND",M64="N.D."),"ND",IF(OR(M64="NA",M64="N/A",M64="N.A."),"NA",IF(OR(LEFT(M64,2)="&lt;=",LEFT(M64,2)="&gt;="),LEFT(M64,2),IF(OR(LEFT(M64,1)="&lt;",LEFT(M64,1)="&gt;"),LEFT(M64,1),"數值")))))</f>
        <v/>
      </c>
      <c r="O64" s="92">
        <f>IF(OR(N64="",N64="ND",N64="NA"),"",IF(N64="數值",M64,TRIM(MID(M64,LEN(N64)+1,99))))</f>
        <v/>
      </c>
      <c r="P64" s="92">
        <f>IF(O64="","",IFERROR(IF(OR(OR(ISNUMBER(SEARCH("%",O64)),ISNUMBER(SEARCH(" ",O64)),ISNUMBER(SEARCH(",",O64))),OR(SUBSTITUTE(SUBSTITUTE(SUBSTITUTE(SUBSTITUTE(SUBSTITUTE(SUBSTITUTE(SUBSTITUTE(SUBSTITUTE(SUBSTITUTE(SUBSTITUTE(SUBSTITUTE(SUBSTITUTE(SUBSTITUTE(SUBSTITUTE(SUBSTITUTE(SUBSTITUTE(SUBSTITUTE(SUBSTITUTE("x"&amp;O64,"0",""),"1",""),"2",""),"3",""),"4",""),"5",""),"6",""),"7",""),"8",""),"9",""),".",""),"E",""),"+",""),"-",""),"&lt;",""),"&gt;",""),"=","")," ","")&lt;&gt;"x",ISNUMBER(SEARCH("-",SUBSTITUTE(SUBSTITUTE("x"&amp;MID(O64,2,99),"E-","E"),"E+","E"))),ISNUMBER(SEARCH("+",SUBSTITUTE(SUBSTITUTE("x"&amp;MID(O64,2,99),"E-","E"),"E+","E"))))),"",IF(ISNUMBER(AH64),AH64,NA())),""))</f>
        <v/>
      </c>
      <c r="Q64" s="92">
        <f>IF(AND(ISNUMBER(L64),ISNUMBER(P64)),L64*P64,"")</f>
        <v/>
      </c>
      <c r="R64" s="92">
        <f>IF(OR(COUNTA($A64:$D64)=0,U64=0),"",IF(INDEX(DB_05[管制設定值],U64)="","",INDEX(DB_05[管制設定值],U64)))</f>
        <v/>
      </c>
      <c r="S64" s="92">
        <f>IF(OR(COUNTA($A64:$D64)=0,U64=0),"",IF(INDEX(DB_05[監測設定值],U64)="","",INDEX(DB_05[監測設定值],U64)))</f>
        <v/>
      </c>
      <c r="T64" s="92">
        <f>IF(COUNTA($A64:$D64)=0,"",IF(COUNTIFS(DB_04[測項鍵],V64)=1,MATCH(V64,DB_04[測項鍵],0),0))</f>
        <v/>
      </c>
      <c r="U64" s="92">
        <f>IF(COUNTA($A64:$D64)=0,"",IF(COUNTIFS(DB_05[標準鍵],W64)=1,MATCH(W64,DB_05[標準鍵],0),0))</f>
        <v/>
      </c>
      <c r="V64" s="92">
        <f>IF(OR(J64="",A64=""),"",J64&amp;"|"&amp;A64)</f>
        <v/>
      </c>
      <c r="W64" s="92">
        <f>IF(OR('07_QAQC'!$C$3="",V64=""),"",'07_QAQC'!$C$3&amp;"|"&amp;V64)</f>
        <v/>
      </c>
      <c r="X64" s="92">
        <f>IF(OR(H64="",A64=""),"",LEN(H64)&amp;":"&amp;H64&amp;LEN(A64)&amp;":"&amp;A64)</f>
        <v/>
      </c>
      <c r="Y64" s="93">
        <f>IF(COUNTA($A64:$D64)=0,"",IF(I64=0,"樣品未建或重複",IF(INDEX(Samples[樣品檢查],I64)="","OK",INDEX(Samples[樣品檢查],I64))))</f>
        <v/>
      </c>
      <c r="Z64" s="93">
        <f>IF(COUNTA($A64:$D64)=0,"",IF(B64="","缺原始值",IF(OR(B64="-",B64="--"),"無資料",IF(N64="NA","不適用",IF(N64="ND","OK",IF(NOT(ISNUMBER(P64)),"格式待核",IF(AND(N64&lt;&gt;"數值",P64&lt;0),"界限不得為負","OK")))))))</f>
        <v/>
      </c>
      <c r="AA64" s="93">
        <f>IF(COUNTA(A64:D64)=0,"",IF(OR(A64="",H64=""),"缺識別欄位",IF(IF(LEN("="&amp;SUBSTITUTE(SUBSTITUTE(SUBSTITUTE(X64,"~","~~"),"*","~*"),"?","~?"))&lt;=255,COUNTIF(Results[結果識別鍵],"="&amp;SUBSTITUTE(SUBSTITUTE(SUBSTITUTE(X64,"~","~~"),"*","~*"),"?","~?")),COUNTIFS(Results[關聯鍵],"="&amp;SUBSTITUTE(SUBSTITUTE(SUBSTITUTE(H64,"~","~~"),"*","~*"),"?","~?"),Results[分析項目],"="&amp;SUBSTITUTE(SUBSTITUTE(SUBSTITUTE(A64,"~","~~"),"*","~*"),"?","~?")))&gt;1,"同關聯鍵測項重複","OK")))</f>
        <v/>
      </c>
      <c r="AB64" s="93">
        <f>IF(COUNTA($A64:$D64)=0,"",IF(OR(C64="",K64=""),"缺單位",IF(NOT(ISNUMBER(L64)),"單位不相容",IF(L64=1,"OK","已換算"))))</f>
        <v/>
      </c>
      <c r="AC64" s="93">
        <f>IF(COUNTA($A64:$D64)=0,"",IF('07_QAQC'!$C$3="","未選比較版本",IF(U64=0,IF(COUNTIFS(DB_05[標準鍵],W64)&gt;1,"標準鍵重複","未訂此介質／測項門檻"),IF(INDEX(DB_05[版本檢查],U64)&lt;&gt;"OK","標準主檔待核",IF(INDEX(DB_05[標準單位],U64)&lt;&gt;K64,"標準單位不符",IF(INDEX(DB_05[核對狀態],U64)="停用","停用",IF(F64="","缺採樣日期",IF(OR(AND(INDEX(DB_05[生效日],U64)&lt;&gt;"",F64&lt;INDEX(DB_05[生效日],U64)),AND(INDEX(DB_05[失效日],U64)&lt;&gt;"",F64&gt;INDEX(DB_05[失效日],U64))),"日期不適用",INDEX(DB_05[核對狀態],U64)))))))))</f>
        <v/>
      </c>
      <c r="AD64" s="93">
        <f>IF(COUNTA($A64:$D64)=0,"",IF(AC64="未訂此介質／測項門檻",AC64,IF(AC64&lt;&gt;"已核對","標準待核",IF(R64="","未訂管制值",IF(NOT(ISNUMBER(L64)),"單位待核",IF(N64="ND","無法判定（ND無界限）",IF(N64="NA","不適用",IF(Z64&lt;&gt;"OK",Z64,IF(N64="數值",IF(Q64&gt;=R64,"達管制值","未達管制值"),IF(OR(N64="&lt;",N64="&lt;="),IF(OR(Q64&lt;R64,AND(N64="&lt;",Q64=R64)),"未達管制值","無法判定"),IF(OR(N64="&gt;",N64="&gt;="),IF(Q64&gt;=R64,"達管制值","無法判定"),"格式待核")))))))))))</f>
        <v/>
      </c>
      <c r="AE64" s="93">
        <f>IF(COUNTA($A64:$D64)=0,"",IF(AC64="未訂此介質／測項門檻",AC64,IF(AC64&lt;&gt;"已核對","標準待核",IF(S64="","未訂監測值",IF(NOT(ISNUMBER(L64)),"單位待核",IF(N64="ND","無法判定（ND無界限）",IF(N64="NA","不適用",IF(Z64&lt;&gt;"OK",Z64,IF(N64="數值",IF(Q64&gt;=S64,"達監測值","未達監測值"),IF(OR(N64="&lt;",N64="&lt;="),IF(OR(Q64&lt;S64,AND(N64="&lt;",Q64=S64)),"未達監測值","無法判定"),IF(OR(N64="&gt;",N64="&gt;="),IF(Q64&gt;=S64,"達監測值","無法判定"),"格式待核")))))))))))</f>
        <v/>
      </c>
      <c r="AF64" s="93">
        <f>IF(COUNTA($A64:$D64)=0,"",IF(OR(E64="",A64="",B64="",C64=""),"缺必要欄位",IF(Y64&lt;&gt;"OK","樣品資料待補",IF(T64=0,"測項未建或重複",IF(INDEX(DB_04[啟用],T64)&lt;&gt;"是","測項停用",IF(AND(Z64&lt;&gt;"OK",Z64&lt;&gt;"不適用"),Z64,IF(AND(AB64&lt;&gt;"OK",AB64&lt;&gt;"已換算"),"單位待核",IF(AA64&lt;&gt;"OK",AA64,"OK"))))))))</f>
        <v/>
      </c>
      <c r="AG64" s="93">
        <f>IF(COUNTA($A64:$D64)=0,"",IF(N64="ND","ND取0",IF(OR(N64="&lt;",N64="&lt;="),"界限除以2",IF(N64="NA","不適用",IF(OR(N64="&gt;",N64="&gt;="),"保留界限數值","保留原數值")))))</f>
        <v/>
      </c>
      <c r="AH64" s="92">
        <f>IF(O64="","",IFERROR(_xlfn.NUMBERVALUE(O64,".",","),""))</f>
        <v/>
      </c>
      <c r="AI64" s="92">
        <f>IF(H64="","",IFERROR(MATCH(H64,Samples[樣品編號],0),0))</f>
        <v/>
      </c>
    </row>
    <row r="65">
      <c r="A65" s="27" t="inlineStr">
        <is>
          <t>總有機碳</t>
        </is>
      </c>
      <c r="B65" s="28" t="inlineStr">
        <is>
          <t>2.7</t>
        </is>
      </c>
      <c r="C65" s="27" t="inlineStr">
        <is>
          <t>mg/L</t>
        </is>
      </c>
      <c r="D65" s="39" t="inlineStr">
        <is>
          <t>合成資料，非實測；method=lab</t>
        </is>
      </c>
      <c r="E65" s="29">
        <f>IF(OR(I65="",I65=0),"",IF(INDEX(Samples[監測點],I65)="","",INDEX(Samples[監測點],I65)))</f>
        <v/>
      </c>
      <c r="F65" s="90">
        <f>IF(OR(I65="",I65=0),"",IF(INDEX(Samples[採樣日期],I65)="","",INDEX(Samples[採樣日期],I65)))</f>
        <v/>
      </c>
      <c r="G65" s="91">
        <f>IF(OR(M65="",M65="NA",M65="N/A"),"",IF(OR(M65="ND",M65="N.D."),0,IFERROR(IF(OR(OR(ISNUMBER(SEARCH("%",O65)),ISNUMBER(SEARCH(" ",O65)),ISNUMBER(SEARCH(",",O65))),OR(SUBSTITUTE(SUBSTITUTE(SUBSTITUTE(SUBSTITUTE(SUBSTITUTE(SUBSTITUTE(SUBSTITUTE(SUBSTITUTE(SUBSTITUTE(SUBSTITUTE(SUBSTITUTE(SUBSTITUTE(SUBSTITUTE(SUBSTITUTE(SUBSTITUTE(SUBSTITUTE(SUBSTITUTE(SUBSTITUTE("x"&amp;M65,"0",""),"1",""),"2",""),"3",""),"4",""),"5",""),"6",""),"7",""),"8",""),"9",""),".",""),"E",""),"+",""),"-",""),"&lt;",""),"&gt;",""),"=","")," ","")&lt;&gt;"x",ISNUMBER(SEARCH("-",SUBSTITUTE(SUBSTITUTE("x"&amp;MID(M65,2,99),"E-","E"),"E+","E"))),ISNUMBER(SEARCH("+",SUBSTITUTE(SUBSTITUTE("x"&amp;MID(M65,2,99),"E-","E"),"E+","E"))))),"",IF(AND(OR(LEFT(M65,1)="&lt;",LEFT(M65,1)="&gt;"),IF(O65="",0,IF(ISNUMBER(AH65),AH65,NA()))&lt;0),"",IF(O65="",0,IF(ISNUMBER(AH65),AH65,NA()))/IF(LEFT(M65,1)="&lt;",2,1))),"")))</f>
        <v/>
      </c>
      <c r="H65" s="57" t="inlineStr">
        <is>
          <t>BH02-W_20260115_02</t>
        </is>
      </c>
      <c r="I65" s="92">
        <f>IF(OR(H65="",AI65=0),0,IF(INDEX(Samples[樣品重複筆數],AI65)=1,AI65,0))</f>
        <v/>
      </c>
      <c r="J65" s="92">
        <f>IF(OR(COUNTA($A65:$D65)=0,I65=0),"",IF(INDEX(Samples[介質],I65)="","",INDEX(Samples[介質],I65)))</f>
        <v/>
      </c>
      <c r="K65" s="92">
        <f>IF(OR(COUNTA($A65:$D65)=0,T65=0),"",IF(INDEX(DB_04[標準單位],T65)="","",INDEX(DB_04[標準單位],T65)))</f>
        <v/>
      </c>
      <c r="L65" s="92">
        <f>IF(COUNTA($A65:$D65)=0,"",IF(OR(C65="",K65=""),"",IF(C65=K65,1,IF(COUNTIFS(DB_06[換算鍵],C65&amp;"|"&amp;K65,DB_06[換算檢查],"OK")=1,INDEX(DB_06[乘數],MATCH(C65&amp;"|"&amp;K65,DB_06[換算鍵],0)),""))))</f>
        <v/>
      </c>
      <c r="M65" s="92">
        <f>UPPER(SUBSTITUTE(SUBSTITUTE(SUBSTITUTE(SUBSTITUTE(TRIM(B65&amp;""),"＜","&lt;"),"＞","&gt;"),"≤","&lt;="),"≥","&gt;="))</f>
        <v/>
      </c>
      <c r="N65" s="92">
        <f>IF(M65="","",IF(OR(M65="ND",M65="N.D."),"ND",IF(OR(M65="NA",M65="N/A",M65="N.A."),"NA",IF(OR(LEFT(M65,2)="&lt;=",LEFT(M65,2)="&gt;="),LEFT(M65,2),IF(OR(LEFT(M65,1)="&lt;",LEFT(M65,1)="&gt;"),LEFT(M65,1),"數值")))))</f>
        <v/>
      </c>
      <c r="O65" s="92">
        <f>IF(OR(N65="",N65="ND",N65="NA"),"",IF(N65="數值",M65,TRIM(MID(M65,LEN(N65)+1,99))))</f>
        <v/>
      </c>
      <c r="P65" s="92">
        <f>IF(O65="","",IFERROR(IF(OR(OR(ISNUMBER(SEARCH("%",O65)),ISNUMBER(SEARCH(" ",O65)),ISNUMBER(SEARCH(",",O65))),OR(SUBSTITUTE(SUBSTITUTE(SUBSTITUTE(SUBSTITUTE(SUBSTITUTE(SUBSTITUTE(SUBSTITUTE(SUBSTITUTE(SUBSTITUTE(SUBSTITUTE(SUBSTITUTE(SUBSTITUTE(SUBSTITUTE(SUBSTITUTE(SUBSTITUTE(SUBSTITUTE(SUBSTITUTE(SUBSTITUTE("x"&amp;O65,"0",""),"1",""),"2",""),"3",""),"4",""),"5",""),"6",""),"7",""),"8",""),"9",""),".",""),"E",""),"+",""),"-",""),"&lt;",""),"&gt;",""),"=","")," ","")&lt;&gt;"x",ISNUMBER(SEARCH("-",SUBSTITUTE(SUBSTITUTE("x"&amp;MID(O65,2,99),"E-","E"),"E+","E"))),ISNUMBER(SEARCH("+",SUBSTITUTE(SUBSTITUTE("x"&amp;MID(O65,2,99),"E-","E"),"E+","E"))))),"",IF(ISNUMBER(AH65),AH65,NA())),""))</f>
        <v/>
      </c>
      <c r="Q65" s="92">
        <f>IF(AND(ISNUMBER(L65),ISNUMBER(P65)),L65*P65,"")</f>
        <v/>
      </c>
      <c r="R65" s="92">
        <f>IF(OR(COUNTA($A65:$D65)=0,U65=0),"",IF(INDEX(DB_05[管制設定值],U65)="","",INDEX(DB_05[管制設定值],U65)))</f>
        <v/>
      </c>
      <c r="S65" s="92">
        <f>IF(OR(COUNTA($A65:$D65)=0,U65=0),"",IF(INDEX(DB_05[監測設定值],U65)="","",INDEX(DB_05[監測設定值],U65)))</f>
        <v/>
      </c>
      <c r="T65" s="92">
        <f>IF(COUNTA($A65:$D65)=0,"",IF(COUNTIFS(DB_04[測項鍵],V65)=1,MATCH(V65,DB_04[測項鍵],0),0))</f>
        <v/>
      </c>
      <c r="U65" s="92">
        <f>IF(COUNTA($A65:$D65)=0,"",IF(COUNTIFS(DB_05[標準鍵],W65)=1,MATCH(W65,DB_05[標準鍵],0),0))</f>
        <v/>
      </c>
      <c r="V65" s="92">
        <f>IF(OR(J65="",A65=""),"",J65&amp;"|"&amp;A65)</f>
        <v/>
      </c>
      <c r="W65" s="92">
        <f>IF(OR('07_QAQC'!$C$3="",V65=""),"",'07_QAQC'!$C$3&amp;"|"&amp;V65)</f>
        <v/>
      </c>
      <c r="X65" s="92">
        <f>IF(OR(H65="",A65=""),"",LEN(H65)&amp;":"&amp;H65&amp;LEN(A65)&amp;":"&amp;A65)</f>
        <v/>
      </c>
      <c r="Y65" s="93">
        <f>IF(COUNTA($A65:$D65)=0,"",IF(I65=0,"樣品未建或重複",IF(INDEX(Samples[樣品檢查],I65)="","OK",INDEX(Samples[樣品檢查],I65))))</f>
        <v/>
      </c>
      <c r="Z65" s="93">
        <f>IF(COUNTA($A65:$D65)=0,"",IF(B65="","缺原始值",IF(OR(B65="-",B65="--"),"無資料",IF(N65="NA","不適用",IF(N65="ND","OK",IF(NOT(ISNUMBER(P65)),"格式待核",IF(AND(N65&lt;&gt;"數值",P65&lt;0),"界限不得為負","OK")))))))</f>
        <v/>
      </c>
      <c r="AA65" s="93">
        <f>IF(COUNTA(A65:D65)=0,"",IF(OR(A65="",H65=""),"缺識別欄位",IF(IF(LEN("="&amp;SUBSTITUTE(SUBSTITUTE(SUBSTITUTE(X65,"~","~~"),"*","~*"),"?","~?"))&lt;=255,COUNTIF(Results[結果識別鍵],"="&amp;SUBSTITUTE(SUBSTITUTE(SUBSTITUTE(X65,"~","~~"),"*","~*"),"?","~?")),COUNTIFS(Results[關聯鍵],"="&amp;SUBSTITUTE(SUBSTITUTE(SUBSTITUTE(H65,"~","~~"),"*","~*"),"?","~?"),Results[分析項目],"="&amp;SUBSTITUTE(SUBSTITUTE(SUBSTITUTE(A65,"~","~~"),"*","~*"),"?","~?")))&gt;1,"同關聯鍵測項重複","OK")))</f>
        <v/>
      </c>
      <c r="AB65" s="93">
        <f>IF(COUNTA($A65:$D65)=0,"",IF(OR(C65="",K65=""),"缺單位",IF(NOT(ISNUMBER(L65)),"單位不相容",IF(L65=1,"OK","已換算"))))</f>
        <v/>
      </c>
      <c r="AC65" s="93">
        <f>IF(COUNTA($A65:$D65)=0,"",IF('07_QAQC'!$C$3="","未選比較版本",IF(U65=0,IF(COUNTIFS(DB_05[標準鍵],W65)&gt;1,"標準鍵重複","未訂此介質／測項門檻"),IF(INDEX(DB_05[版本檢查],U65)&lt;&gt;"OK","標準主檔待核",IF(INDEX(DB_05[標準單位],U65)&lt;&gt;K65,"標準單位不符",IF(INDEX(DB_05[核對狀態],U65)="停用","停用",IF(F65="","缺採樣日期",IF(OR(AND(INDEX(DB_05[生效日],U65)&lt;&gt;"",F65&lt;INDEX(DB_05[生效日],U65)),AND(INDEX(DB_05[失效日],U65)&lt;&gt;"",F65&gt;INDEX(DB_05[失效日],U65))),"日期不適用",INDEX(DB_05[核對狀態],U65)))))))))</f>
        <v/>
      </c>
      <c r="AD65" s="93">
        <f>IF(COUNTA($A65:$D65)=0,"",IF(AC65="未訂此介質／測項門檻",AC65,IF(AC65&lt;&gt;"已核對","標準待核",IF(R65="","未訂管制值",IF(NOT(ISNUMBER(L65)),"單位待核",IF(N65="ND","無法判定（ND無界限）",IF(N65="NA","不適用",IF(Z65&lt;&gt;"OK",Z65,IF(N65="數值",IF(Q65&gt;=R65,"達管制值","未達管制值"),IF(OR(N65="&lt;",N65="&lt;="),IF(OR(Q65&lt;R65,AND(N65="&lt;",Q65=R65)),"未達管制值","無法判定"),IF(OR(N65="&gt;",N65="&gt;="),IF(Q65&gt;=R65,"達管制值","無法判定"),"格式待核")))))))))))</f>
        <v/>
      </c>
      <c r="AE65" s="93">
        <f>IF(COUNTA($A65:$D65)=0,"",IF(AC65="未訂此介質／測項門檻",AC65,IF(AC65&lt;&gt;"已核對","標準待核",IF(S65="","未訂監測值",IF(NOT(ISNUMBER(L65)),"單位待核",IF(N65="ND","無法判定（ND無界限）",IF(N65="NA","不適用",IF(Z65&lt;&gt;"OK",Z65,IF(N65="數值",IF(Q65&gt;=S65,"達監測值","未達監測值"),IF(OR(N65="&lt;",N65="&lt;="),IF(OR(Q65&lt;S65,AND(N65="&lt;",Q65=S65)),"未達監測值","無法判定"),IF(OR(N65="&gt;",N65="&gt;="),IF(Q65&gt;=S65,"達監測值","無法判定"),"格式待核")))))))))))</f>
        <v/>
      </c>
      <c r="AF65" s="93">
        <f>IF(COUNTA($A65:$D65)=0,"",IF(OR(E65="",A65="",B65="",C65=""),"缺必要欄位",IF(Y65&lt;&gt;"OK","樣品資料待補",IF(T65=0,"測項未建或重複",IF(INDEX(DB_04[啟用],T65)&lt;&gt;"是","測項停用",IF(AND(Z65&lt;&gt;"OK",Z65&lt;&gt;"不適用"),Z65,IF(AND(AB65&lt;&gt;"OK",AB65&lt;&gt;"已換算"),"單位待核",IF(AA65&lt;&gt;"OK",AA65,"OK"))))))))</f>
        <v/>
      </c>
      <c r="AG65" s="93">
        <f>IF(COUNTA($A65:$D65)=0,"",IF(N65="ND","ND取0",IF(OR(N65="&lt;",N65="&lt;="),"界限除以2",IF(N65="NA","不適用",IF(OR(N65="&gt;",N65="&gt;="),"保留界限數值","保留原數值")))))</f>
        <v/>
      </c>
      <c r="AH65" s="92">
        <f>IF(O65="","",IFERROR(_xlfn.NUMBERVALUE(O65,".",","),""))</f>
        <v/>
      </c>
      <c r="AI65" s="92">
        <f>IF(H65="","",IFERROR(MATCH(H65,Samples[樣品編號],0),0))</f>
        <v/>
      </c>
    </row>
    <row r="66">
      <c r="A66" s="27" t="inlineStr">
        <is>
          <t>鋅</t>
        </is>
      </c>
      <c r="B66" s="28" t="inlineStr">
        <is>
          <t>132</t>
        </is>
      </c>
      <c r="C66" s="27" t="inlineStr">
        <is>
          <t>mg/kg</t>
        </is>
      </c>
      <c r="D66" s="39" t="inlineStr">
        <is>
          <t>合成資料，非實測；method=XRF; basis=dry</t>
        </is>
      </c>
      <c r="E66" s="29">
        <f>IF(OR(I66="",I66=0),"",IF(INDEX(Samples[監測點],I66)="","",INDEX(Samples[監測點],I66)))</f>
        <v/>
      </c>
      <c r="F66" s="90">
        <f>IF(OR(I66="",I66=0),"",IF(INDEX(Samples[採樣日期],I66)="","",INDEX(Samples[採樣日期],I66)))</f>
        <v/>
      </c>
      <c r="G66" s="91">
        <f>IF(OR(M66="",M66="NA",M66="N/A"),"",IF(OR(M66="ND",M66="N.D."),0,IFERROR(IF(OR(OR(ISNUMBER(SEARCH("%",O66)),ISNUMBER(SEARCH(" ",O66)),ISNUMBER(SEARCH(",",O66))),OR(SUBSTITUTE(SUBSTITUTE(SUBSTITUTE(SUBSTITUTE(SUBSTITUTE(SUBSTITUTE(SUBSTITUTE(SUBSTITUTE(SUBSTITUTE(SUBSTITUTE(SUBSTITUTE(SUBSTITUTE(SUBSTITUTE(SUBSTITUTE(SUBSTITUTE(SUBSTITUTE(SUBSTITUTE(SUBSTITUTE("x"&amp;M66,"0",""),"1",""),"2",""),"3",""),"4",""),"5",""),"6",""),"7",""),"8",""),"9",""),".",""),"E",""),"+",""),"-",""),"&lt;",""),"&gt;",""),"=","")," ","")&lt;&gt;"x",ISNUMBER(SEARCH("-",SUBSTITUTE(SUBSTITUTE("x"&amp;MID(M66,2,99),"E-","E"),"E+","E"))),ISNUMBER(SEARCH("+",SUBSTITUTE(SUBSTITUTE("x"&amp;MID(M66,2,99),"E-","E"),"E+","E"))))),"",IF(AND(OR(LEFT(M66,1)="&lt;",LEFT(M66,1)="&gt;"),IF(O66="",0,IF(ISNUMBER(AH66),AH66,NA()))&lt;0),"",IF(O66="",0,IF(ISNUMBER(AH66),AH66,NA()))/IF(LEFT(M66,1)="&lt;",2,1))),"")))</f>
        <v/>
      </c>
      <c r="H66" s="57" t="inlineStr">
        <is>
          <t>BH02-S_20260115_03</t>
        </is>
      </c>
      <c r="I66" s="92">
        <f>IF(OR(H66="",AI66=0),0,IF(INDEX(Samples[樣品重複筆數],AI66)=1,AI66,0))</f>
        <v/>
      </c>
      <c r="J66" s="92">
        <f>IF(OR(COUNTA($A66:$D66)=0,I66=0),"",IF(INDEX(Samples[介質],I66)="","",INDEX(Samples[介質],I66)))</f>
        <v/>
      </c>
      <c r="K66" s="92">
        <f>IF(OR(COUNTA($A66:$D66)=0,T66=0),"",IF(INDEX(DB_04[標準單位],T66)="","",INDEX(DB_04[標準單位],T66)))</f>
        <v/>
      </c>
      <c r="L66" s="92">
        <f>IF(COUNTA($A66:$D66)=0,"",IF(OR(C66="",K66=""),"",IF(C66=K66,1,IF(COUNTIFS(DB_06[換算鍵],C66&amp;"|"&amp;K66,DB_06[換算檢查],"OK")=1,INDEX(DB_06[乘數],MATCH(C66&amp;"|"&amp;K66,DB_06[換算鍵],0)),""))))</f>
        <v/>
      </c>
      <c r="M66" s="92">
        <f>UPPER(SUBSTITUTE(SUBSTITUTE(SUBSTITUTE(SUBSTITUTE(TRIM(B66&amp;""),"＜","&lt;"),"＞","&gt;"),"≤","&lt;="),"≥","&gt;="))</f>
        <v/>
      </c>
      <c r="N66" s="92">
        <f>IF(M66="","",IF(OR(M66="ND",M66="N.D."),"ND",IF(OR(M66="NA",M66="N/A",M66="N.A."),"NA",IF(OR(LEFT(M66,2)="&lt;=",LEFT(M66,2)="&gt;="),LEFT(M66,2),IF(OR(LEFT(M66,1)="&lt;",LEFT(M66,1)="&gt;"),LEFT(M66,1),"數值")))))</f>
        <v/>
      </c>
      <c r="O66" s="92">
        <f>IF(OR(N66="",N66="ND",N66="NA"),"",IF(N66="數值",M66,TRIM(MID(M66,LEN(N66)+1,99))))</f>
        <v/>
      </c>
      <c r="P66" s="92">
        <f>IF(O66="","",IFERROR(IF(OR(OR(ISNUMBER(SEARCH("%",O66)),ISNUMBER(SEARCH(" ",O66)),ISNUMBER(SEARCH(",",O66))),OR(SUBSTITUTE(SUBSTITUTE(SUBSTITUTE(SUBSTITUTE(SUBSTITUTE(SUBSTITUTE(SUBSTITUTE(SUBSTITUTE(SUBSTITUTE(SUBSTITUTE(SUBSTITUTE(SUBSTITUTE(SUBSTITUTE(SUBSTITUTE(SUBSTITUTE(SUBSTITUTE(SUBSTITUTE(SUBSTITUTE("x"&amp;O66,"0",""),"1",""),"2",""),"3",""),"4",""),"5",""),"6",""),"7",""),"8",""),"9",""),".",""),"E",""),"+",""),"-",""),"&lt;",""),"&gt;",""),"=","")," ","")&lt;&gt;"x",ISNUMBER(SEARCH("-",SUBSTITUTE(SUBSTITUTE("x"&amp;MID(O66,2,99),"E-","E"),"E+","E"))),ISNUMBER(SEARCH("+",SUBSTITUTE(SUBSTITUTE("x"&amp;MID(O66,2,99),"E-","E"),"E+","E"))))),"",IF(ISNUMBER(AH66),AH66,NA())),""))</f>
        <v/>
      </c>
      <c r="Q66" s="92">
        <f>IF(AND(ISNUMBER(L66),ISNUMBER(P66)),L66*P66,"")</f>
        <v/>
      </c>
      <c r="R66" s="92">
        <f>IF(OR(COUNTA($A66:$D66)=0,U66=0),"",IF(INDEX(DB_05[管制設定值],U66)="","",INDEX(DB_05[管制設定值],U66)))</f>
        <v/>
      </c>
      <c r="S66" s="92">
        <f>IF(OR(COUNTA($A66:$D66)=0,U66=0),"",IF(INDEX(DB_05[監測設定值],U66)="","",INDEX(DB_05[監測設定值],U66)))</f>
        <v/>
      </c>
      <c r="T66" s="92">
        <f>IF(COUNTA($A66:$D66)=0,"",IF(COUNTIFS(DB_04[測項鍵],V66)=1,MATCH(V66,DB_04[測項鍵],0),0))</f>
        <v/>
      </c>
      <c r="U66" s="92">
        <f>IF(COUNTA($A66:$D66)=0,"",IF(COUNTIFS(DB_05[標準鍵],W66)=1,MATCH(W66,DB_05[標準鍵],0),0))</f>
        <v/>
      </c>
      <c r="V66" s="92">
        <f>IF(OR(J66="",A66=""),"",J66&amp;"|"&amp;A66)</f>
        <v/>
      </c>
      <c r="W66" s="92">
        <f>IF(OR('07_QAQC'!$C$3="",V66=""),"",'07_QAQC'!$C$3&amp;"|"&amp;V66)</f>
        <v/>
      </c>
      <c r="X66" s="92">
        <f>IF(OR(H66="",A66=""),"",LEN(H66)&amp;":"&amp;H66&amp;LEN(A66)&amp;":"&amp;A66)</f>
        <v/>
      </c>
      <c r="Y66" s="93">
        <f>IF(COUNTA($A66:$D66)=0,"",IF(I66=0,"樣品未建或重複",IF(INDEX(Samples[樣品檢查],I66)="","OK",INDEX(Samples[樣品檢查],I66))))</f>
        <v/>
      </c>
      <c r="Z66" s="93">
        <f>IF(COUNTA($A66:$D66)=0,"",IF(B66="","缺原始值",IF(OR(B66="-",B66="--"),"無資料",IF(N66="NA","不適用",IF(N66="ND","OK",IF(NOT(ISNUMBER(P66)),"格式待核",IF(AND(N66&lt;&gt;"數值",P66&lt;0),"界限不得為負","OK")))))))</f>
        <v/>
      </c>
      <c r="AA66" s="93">
        <f>IF(COUNTA(A66:D66)=0,"",IF(OR(A66="",H66=""),"缺識別欄位",IF(IF(LEN("="&amp;SUBSTITUTE(SUBSTITUTE(SUBSTITUTE(X66,"~","~~"),"*","~*"),"?","~?"))&lt;=255,COUNTIF(Results[結果識別鍵],"="&amp;SUBSTITUTE(SUBSTITUTE(SUBSTITUTE(X66,"~","~~"),"*","~*"),"?","~?")),COUNTIFS(Results[關聯鍵],"="&amp;SUBSTITUTE(SUBSTITUTE(SUBSTITUTE(H66,"~","~~"),"*","~*"),"?","~?"),Results[分析項目],"="&amp;SUBSTITUTE(SUBSTITUTE(SUBSTITUTE(A66,"~","~~"),"*","~*"),"?","~?")))&gt;1,"同關聯鍵測項重複","OK")))</f>
        <v/>
      </c>
      <c r="AB66" s="93">
        <f>IF(COUNTA($A66:$D66)=0,"",IF(OR(C66="",K66=""),"缺單位",IF(NOT(ISNUMBER(L66)),"單位不相容",IF(L66=1,"OK","已換算"))))</f>
        <v/>
      </c>
      <c r="AC66" s="93">
        <f>IF(COUNTA($A66:$D66)=0,"",IF('07_QAQC'!$C$3="","未選比較版本",IF(U66=0,IF(COUNTIFS(DB_05[標準鍵],W66)&gt;1,"標準鍵重複","未訂此介質／測項門檻"),IF(INDEX(DB_05[版本檢查],U66)&lt;&gt;"OK","標準主檔待核",IF(INDEX(DB_05[標準單位],U66)&lt;&gt;K66,"標準單位不符",IF(INDEX(DB_05[核對狀態],U66)="停用","停用",IF(F66="","缺採樣日期",IF(OR(AND(INDEX(DB_05[生效日],U66)&lt;&gt;"",F66&lt;INDEX(DB_05[生效日],U66)),AND(INDEX(DB_05[失效日],U66)&lt;&gt;"",F66&gt;INDEX(DB_05[失效日],U66))),"日期不適用",INDEX(DB_05[核對狀態],U66)))))))))</f>
        <v/>
      </c>
      <c r="AD66" s="93">
        <f>IF(COUNTA($A66:$D66)=0,"",IF(AC66="未訂此介質／測項門檻",AC66,IF(AC66&lt;&gt;"已核對","標準待核",IF(R66="","未訂管制值",IF(NOT(ISNUMBER(L66)),"單位待核",IF(N66="ND","無法判定（ND無界限）",IF(N66="NA","不適用",IF(Z66&lt;&gt;"OK",Z66,IF(N66="數值",IF(Q66&gt;=R66,"達管制值","未達管制值"),IF(OR(N66="&lt;",N66="&lt;="),IF(OR(Q66&lt;R66,AND(N66="&lt;",Q66=R66)),"未達管制值","無法判定"),IF(OR(N66="&gt;",N66="&gt;="),IF(Q66&gt;=R66,"達管制值","無法判定"),"格式待核")))))))))))</f>
        <v/>
      </c>
      <c r="AE66" s="93">
        <f>IF(COUNTA($A66:$D66)=0,"",IF(AC66="未訂此介質／測項門檻",AC66,IF(AC66&lt;&gt;"已核對","標準待核",IF(S66="","未訂監測值",IF(NOT(ISNUMBER(L66)),"單位待核",IF(N66="ND","無法判定（ND無界限）",IF(N66="NA","不適用",IF(Z66&lt;&gt;"OK",Z66,IF(N66="數值",IF(Q66&gt;=S66,"達監測值","未達監測值"),IF(OR(N66="&lt;",N66="&lt;="),IF(OR(Q66&lt;S66,AND(N66="&lt;",Q66=S66)),"未達監測值","無法判定"),IF(OR(N66="&gt;",N66="&gt;="),IF(Q66&gt;=S66,"達監測值","無法判定"),"格式待核")))))))))))</f>
        <v/>
      </c>
      <c r="AF66" s="93">
        <f>IF(COUNTA($A66:$D66)=0,"",IF(OR(E66="",A66="",B66="",C66=""),"缺必要欄位",IF(Y66&lt;&gt;"OK","樣品資料待補",IF(T66=0,"測項未建或重複",IF(INDEX(DB_04[啟用],T66)&lt;&gt;"是","測項停用",IF(AND(Z66&lt;&gt;"OK",Z66&lt;&gt;"不適用"),Z66,IF(AND(AB66&lt;&gt;"OK",AB66&lt;&gt;"已換算"),"單位待核",IF(AA66&lt;&gt;"OK",AA66,"OK"))))))))</f>
        <v/>
      </c>
      <c r="AG66" s="93">
        <f>IF(COUNTA($A66:$D66)=0,"",IF(N66="ND","ND取0",IF(OR(N66="&lt;",N66="&lt;="),"界限除以2",IF(N66="NA","不適用",IF(OR(N66="&gt;",N66="&gt;="),"保留界限數值","保留原數值")))))</f>
        <v/>
      </c>
      <c r="AH66" s="92">
        <f>IF(O66="","",IFERROR(_xlfn.NUMBERVALUE(O66,".",","),""))</f>
        <v/>
      </c>
      <c r="AI66" s="92">
        <f>IF(H66="","",IFERROR(MATCH(H66,Samples[樣品編號],0),0))</f>
        <v/>
      </c>
    </row>
    <row r="67">
      <c r="A67" s="27" t="inlineStr">
        <is>
          <t>總有機碳</t>
        </is>
      </c>
      <c r="B67" s="28" t="inlineStr">
        <is>
          <t>0.38</t>
        </is>
      </c>
      <c r="C67" s="27" t="inlineStr">
        <is>
          <t>%</t>
        </is>
      </c>
      <c r="D67" s="39" t="inlineStr">
        <is>
          <t>合成資料，非實測；method=lab; basis=dry</t>
        </is>
      </c>
      <c r="E67" s="29">
        <f>IF(OR(I67="",I67=0),"",IF(INDEX(Samples[監測點],I67)="","",INDEX(Samples[監測點],I67)))</f>
        <v/>
      </c>
      <c r="F67" s="90">
        <f>IF(OR(I67="",I67=0),"",IF(INDEX(Samples[採樣日期],I67)="","",INDEX(Samples[採樣日期],I67)))</f>
        <v/>
      </c>
      <c r="G67" s="91">
        <f>IF(OR(M67="",M67="NA",M67="N/A"),"",IF(OR(M67="ND",M67="N.D."),0,IFERROR(IF(OR(OR(ISNUMBER(SEARCH("%",O67)),ISNUMBER(SEARCH(" ",O67)),ISNUMBER(SEARCH(",",O67))),OR(SUBSTITUTE(SUBSTITUTE(SUBSTITUTE(SUBSTITUTE(SUBSTITUTE(SUBSTITUTE(SUBSTITUTE(SUBSTITUTE(SUBSTITUTE(SUBSTITUTE(SUBSTITUTE(SUBSTITUTE(SUBSTITUTE(SUBSTITUTE(SUBSTITUTE(SUBSTITUTE(SUBSTITUTE(SUBSTITUTE("x"&amp;M67,"0",""),"1",""),"2",""),"3",""),"4",""),"5",""),"6",""),"7",""),"8",""),"9",""),".",""),"E",""),"+",""),"-",""),"&lt;",""),"&gt;",""),"=","")," ","")&lt;&gt;"x",ISNUMBER(SEARCH("-",SUBSTITUTE(SUBSTITUTE("x"&amp;MID(M67,2,99),"E-","E"),"E+","E"))),ISNUMBER(SEARCH("+",SUBSTITUTE(SUBSTITUTE("x"&amp;MID(M67,2,99),"E-","E"),"E+","E"))))),"",IF(AND(OR(LEFT(M67,1)="&lt;",LEFT(M67,1)="&gt;"),IF(O67="",0,IF(ISNUMBER(AH67),AH67,NA()))&lt;0),"",IF(O67="",0,IF(ISNUMBER(AH67),AH67,NA()))/IF(LEFT(M67,1)="&lt;",2,1))),"")))</f>
        <v/>
      </c>
      <c r="H67" s="57" t="inlineStr">
        <is>
          <t>BH02-S_20260115_03</t>
        </is>
      </c>
      <c r="I67" s="92">
        <f>IF(OR(H67="",AI67=0),0,IF(INDEX(Samples[樣品重複筆數],AI67)=1,AI67,0))</f>
        <v/>
      </c>
      <c r="J67" s="92">
        <f>IF(OR(COUNTA($A67:$D67)=0,I67=0),"",IF(INDEX(Samples[介質],I67)="","",INDEX(Samples[介質],I67)))</f>
        <v/>
      </c>
      <c r="K67" s="92">
        <f>IF(OR(COUNTA($A67:$D67)=0,T67=0),"",IF(INDEX(DB_04[標準單位],T67)="","",INDEX(DB_04[標準單位],T67)))</f>
        <v/>
      </c>
      <c r="L67" s="92">
        <f>IF(COUNTA($A67:$D67)=0,"",IF(OR(C67="",K67=""),"",IF(C67=K67,1,IF(COUNTIFS(DB_06[換算鍵],C67&amp;"|"&amp;K67,DB_06[換算檢查],"OK")=1,INDEX(DB_06[乘數],MATCH(C67&amp;"|"&amp;K67,DB_06[換算鍵],0)),""))))</f>
        <v/>
      </c>
      <c r="M67" s="92">
        <f>UPPER(SUBSTITUTE(SUBSTITUTE(SUBSTITUTE(SUBSTITUTE(TRIM(B67&amp;""),"＜","&lt;"),"＞","&gt;"),"≤","&lt;="),"≥","&gt;="))</f>
        <v/>
      </c>
      <c r="N67" s="92">
        <f>IF(M67="","",IF(OR(M67="ND",M67="N.D."),"ND",IF(OR(M67="NA",M67="N/A",M67="N.A."),"NA",IF(OR(LEFT(M67,2)="&lt;=",LEFT(M67,2)="&gt;="),LEFT(M67,2),IF(OR(LEFT(M67,1)="&lt;",LEFT(M67,1)="&gt;"),LEFT(M67,1),"數值")))))</f>
        <v/>
      </c>
      <c r="O67" s="92">
        <f>IF(OR(N67="",N67="ND",N67="NA"),"",IF(N67="數值",M67,TRIM(MID(M67,LEN(N67)+1,99))))</f>
        <v/>
      </c>
      <c r="P67" s="92">
        <f>IF(O67="","",IFERROR(IF(OR(OR(ISNUMBER(SEARCH("%",O67)),ISNUMBER(SEARCH(" ",O67)),ISNUMBER(SEARCH(",",O67))),OR(SUBSTITUTE(SUBSTITUTE(SUBSTITUTE(SUBSTITUTE(SUBSTITUTE(SUBSTITUTE(SUBSTITUTE(SUBSTITUTE(SUBSTITUTE(SUBSTITUTE(SUBSTITUTE(SUBSTITUTE(SUBSTITUTE(SUBSTITUTE(SUBSTITUTE(SUBSTITUTE(SUBSTITUTE(SUBSTITUTE("x"&amp;O67,"0",""),"1",""),"2",""),"3",""),"4",""),"5",""),"6",""),"7",""),"8",""),"9",""),".",""),"E",""),"+",""),"-",""),"&lt;",""),"&gt;",""),"=","")," ","")&lt;&gt;"x",ISNUMBER(SEARCH("-",SUBSTITUTE(SUBSTITUTE("x"&amp;MID(O67,2,99),"E-","E"),"E+","E"))),ISNUMBER(SEARCH("+",SUBSTITUTE(SUBSTITUTE("x"&amp;MID(O67,2,99),"E-","E"),"E+","E"))))),"",IF(ISNUMBER(AH67),AH67,NA())),""))</f>
        <v/>
      </c>
      <c r="Q67" s="92">
        <f>IF(AND(ISNUMBER(L67),ISNUMBER(P67)),L67*P67,"")</f>
        <v/>
      </c>
      <c r="R67" s="92">
        <f>IF(OR(COUNTA($A67:$D67)=0,U67=0),"",IF(INDEX(DB_05[管制設定值],U67)="","",INDEX(DB_05[管制設定值],U67)))</f>
        <v/>
      </c>
      <c r="S67" s="92">
        <f>IF(OR(COUNTA($A67:$D67)=0,U67=0),"",IF(INDEX(DB_05[監測設定值],U67)="","",INDEX(DB_05[監測設定值],U67)))</f>
        <v/>
      </c>
      <c r="T67" s="92">
        <f>IF(COUNTA($A67:$D67)=0,"",IF(COUNTIFS(DB_04[測項鍵],V67)=1,MATCH(V67,DB_04[測項鍵],0),0))</f>
        <v/>
      </c>
      <c r="U67" s="92">
        <f>IF(COUNTA($A67:$D67)=0,"",IF(COUNTIFS(DB_05[標準鍵],W67)=1,MATCH(W67,DB_05[標準鍵],0),0))</f>
        <v/>
      </c>
      <c r="V67" s="92">
        <f>IF(OR(J67="",A67=""),"",J67&amp;"|"&amp;A67)</f>
        <v/>
      </c>
      <c r="W67" s="92">
        <f>IF(OR('07_QAQC'!$C$3="",V67=""),"",'07_QAQC'!$C$3&amp;"|"&amp;V67)</f>
        <v/>
      </c>
      <c r="X67" s="92">
        <f>IF(OR(H67="",A67=""),"",LEN(H67)&amp;":"&amp;H67&amp;LEN(A67)&amp;":"&amp;A67)</f>
        <v/>
      </c>
      <c r="Y67" s="93">
        <f>IF(COUNTA($A67:$D67)=0,"",IF(I67=0,"樣品未建或重複",IF(INDEX(Samples[樣品檢查],I67)="","OK",INDEX(Samples[樣品檢查],I67))))</f>
        <v/>
      </c>
      <c r="Z67" s="93">
        <f>IF(COUNTA($A67:$D67)=0,"",IF(B67="","缺原始值",IF(OR(B67="-",B67="--"),"無資料",IF(N67="NA","不適用",IF(N67="ND","OK",IF(NOT(ISNUMBER(P67)),"格式待核",IF(AND(N67&lt;&gt;"數值",P67&lt;0),"界限不得為負","OK")))))))</f>
        <v/>
      </c>
      <c r="AA67" s="93">
        <f>IF(COUNTA(A67:D67)=0,"",IF(OR(A67="",H67=""),"缺識別欄位",IF(IF(LEN("="&amp;SUBSTITUTE(SUBSTITUTE(SUBSTITUTE(X67,"~","~~"),"*","~*"),"?","~?"))&lt;=255,COUNTIF(Results[結果識別鍵],"="&amp;SUBSTITUTE(SUBSTITUTE(SUBSTITUTE(X67,"~","~~"),"*","~*"),"?","~?")),COUNTIFS(Results[關聯鍵],"="&amp;SUBSTITUTE(SUBSTITUTE(SUBSTITUTE(H67,"~","~~"),"*","~*"),"?","~?"),Results[分析項目],"="&amp;SUBSTITUTE(SUBSTITUTE(SUBSTITUTE(A67,"~","~~"),"*","~*"),"?","~?")))&gt;1,"同關聯鍵測項重複","OK")))</f>
        <v/>
      </c>
      <c r="AB67" s="93">
        <f>IF(COUNTA($A67:$D67)=0,"",IF(OR(C67="",K67=""),"缺單位",IF(NOT(ISNUMBER(L67)),"單位不相容",IF(L67=1,"OK","已換算"))))</f>
        <v/>
      </c>
      <c r="AC67" s="93">
        <f>IF(COUNTA($A67:$D67)=0,"",IF('07_QAQC'!$C$3="","未選比較版本",IF(U67=0,IF(COUNTIFS(DB_05[標準鍵],W67)&gt;1,"標準鍵重複","未訂此介質／測項門檻"),IF(INDEX(DB_05[版本檢查],U67)&lt;&gt;"OK","標準主檔待核",IF(INDEX(DB_05[標準單位],U67)&lt;&gt;K67,"標準單位不符",IF(INDEX(DB_05[核對狀態],U67)="停用","停用",IF(F67="","缺採樣日期",IF(OR(AND(INDEX(DB_05[生效日],U67)&lt;&gt;"",F67&lt;INDEX(DB_05[生效日],U67)),AND(INDEX(DB_05[失效日],U67)&lt;&gt;"",F67&gt;INDEX(DB_05[失效日],U67))),"日期不適用",INDEX(DB_05[核對狀態],U67)))))))))</f>
        <v/>
      </c>
      <c r="AD67" s="93">
        <f>IF(COUNTA($A67:$D67)=0,"",IF(AC67="未訂此介質／測項門檻",AC67,IF(AC67&lt;&gt;"已核對","標準待核",IF(R67="","未訂管制值",IF(NOT(ISNUMBER(L67)),"單位待核",IF(N67="ND","無法判定（ND無界限）",IF(N67="NA","不適用",IF(Z67&lt;&gt;"OK",Z67,IF(N67="數值",IF(Q67&gt;=R67,"達管制值","未達管制值"),IF(OR(N67="&lt;",N67="&lt;="),IF(OR(Q67&lt;R67,AND(N67="&lt;",Q67=R67)),"未達管制值","無法判定"),IF(OR(N67="&gt;",N67="&gt;="),IF(Q67&gt;=R67,"達管制值","無法判定"),"格式待核")))))))))))</f>
        <v/>
      </c>
      <c r="AE67" s="93">
        <f>IF(COUNTA($A67:$D67)=0,"",IF(AC67="未訂此介質／測項門檻",AC67,IF(AC67&lt;&gt;"已核對","標準待核",IF(S67="","未訂監測值",IF(NOT(ISNUMBER(L67)),"單位待核",IF(N67="ND","無法判定（ND無界限）",IF(N67="NA","不適用",IF(Z67&lt;&gt;"OK",Z67,IF(N67="數值",IF(Q67&gt;=S67,"達監測值","未達監測值"),IF(OR(N67="&lt;",N67="&lt;="),IF(OR(Q67&lt;S67,AND(N67="&lt;",Q67=S67)),"未達監測值","無法判定"),IF(OR(N67="&gt;",N67="&gt;="),IF(Q67&gt;=S67,"達監測值","無法判定"),"格式待核")))))))))))</f>
        <v/>
      </c>
      <c r="AF67" s="93">
        <f>IF(COUNTA($A67:$D67)=0,"",IF(OR(E67="",A67="",B67="",C67=""),"缺必要欄位",IF(Y67&lt;&gt;"OK","樣品資料待補",IF(T67=0,"測項未建或重複",IF(INDEX(DB_04[啟用],T67)&lt;&gt;"是","測項停用",IF(AND(Z67&lt;&gt;"OK",Z67&lt;&gt;"不適用"),Z67,IF(AND(AB67&lt;&gt;"OK",AB67&lt;&gt;"已換算"),"單位待核",IF(AA67&lt;&gt;"OK",AA67,"OK"))))))))</f>
        <v/>
      </c>
      <c r="AG67" s="93">
        <f>IF(COUNTA($A67:$D67)=0,"",IF(N67="ND","ND取0",IF(OR(N67="&lt;",N67="&lt;="),"界限除以2",IF(N67="NA","不適用",IF(OR(N67="&gt;",N67="&gt;="),"保留界限數值","保留原數值")))))</f>
        <v/>
      </c>
      <c r="AH67" s="92">
        <f>IF(O67="","",IFERROR(_xlfn.NUMBERVALUE(O67,".",","),""))</f>
        <v/>
      </c>
      <c r="AI67" s="92">
        <f>IF(H67="","",IFERROR(MATCH(H67,Samples[樣品編號],0),0))</f>
        <v/>
      </c>
    </row>
    <row r="68">
      <c r="A68" s="27" t="inlineStr">
        <is>
          <t>pH</t>
        </is>
      </c>
      <c r="B68" s="28" t="inlineStr">
        <is>
          <t>6.66</t>
        </is>
      </c>
      <c r="C68" s="27" t="inlineStr">
        <is>
          <t>無因次</t>
        </is>
      </c>
      <c r="D68" s="39" t="inlineStr">
        <is>
          <t>合成資料，非實測；method=field</t>
        </is>
      </c>
      <c r="E68" s="29">
        <f>IF(OR(I68="",I68=0),"",IF(INDEX(Samples[監測點],I68)="","",INDEX(Samples[監測點],I68)))</f>
        <v/>
      </c>
      <c r="F68" s="90">
        <f>IF(OR(I68="",I68=0),"",IF(INDEX(Samples[採樣日期],I68)="","",INDEX(Samples[採樣日期],I68)))</f>
        <v/>
      </c>
      <c r="G68" s="91">
        <f>IF(OR(M68="",M68="NA",M68="N/A"),"",IF(OR(M68="ND",M68="N.D."),0,IFERROR(IF(OR(OR(ISNUMBER(SEARCH("%",O68)),ISNUMBER(SEARCH(" ",O68)),ISNUMBER(SEARCH(",",O68))),OR(SUBSTITUTE(SUBSTITUTE(SUBSTITUTE(SUBSTITUTE(SUBSTITUTE(SUBSTITUTE(SUBSTITUTE(SUBSTITUTE(SUBSTITUTE(SUBSTITUTE(SUBSTITUTE(SUBSTITUTE(SUBSTITUTE(SUBSTITUTE(SUBSTITUTE(SUBSTITUTE(SUBSTITUTE(SUBSTITUTE("x"&amp;M68,"0",""),"1",""),"2",""),"3",""),"4",""),"5",""),"6",""),"7",""),"8",""),"9",""),".",""),"E",""),"+",""),"-",""),"&lt;",""),"&gt;",""),"=","")," ","")&lt;&gt;"x",ISNUMBER(SEARCH("-",SUBSTITUTE(SUBSTITUTE("x"&amp;MID(M68,2,99),"E-","E"),"E+","E"))),ISNUMBER(SEARCH("+",SUBSTITUTE(SUBSTITUTE("x"&amp;MID(M68,2,99),"E-","E"),"E+","E"))))),"",IF(AND(OR(LEFT(M68,1)="&lt;",LEFT(M68,1)="&gt;"),IF(O68="",0,IF(ISNUMBER(AH68),AH68,NA()))&lt;0),"",IF(O68="",0,IF(ISNUMBER(AH68),AH68,NA()))/IF(LEFT(M68,1)="&lt;",2,1))),"")))</f>
        <v/>
      </c>
      <c r="H68" s="57" t="inlineStr">
        <is>
          <t>BH02-W_20260115_03</t>
        </is>
      </c>
      <c r="I68" s="92">
        <f>IF(OR(H68="",AI68=0),0,IF(INDEX(Samples[樣品重複筆數],AI68)=1,AI68,0))</f>
        <v/>
      </c>
      <c r="J68" s="92">
        <f>IF(OR(COUNTA($A68:$D68)=0,I68=0),"",IF(INDEX(Samples[介質],I68)="","",INDEX(Samples[介質],I68)))</f>
        <v/>
      </c>
      <c r="K68" s="92">
        <f>IF(OR(COUNTA($A68:$D68)=0,T68=0),"",IF(INDEX(DB_04[標準單位],T68)="","",INDEX(DB_04[標準單位],T68)))</f>
        <v/>
      </c>
      <c r="L68" s="92">
        <f>IF(COUNTA($A68:$D68)=0,"",IF(OR(C68="",K68=""),"",IF(C68=K68,1,IF(COUNTIFS(DB_06[換算鍵],C68&amp;"|"&amp;K68,DB_06[換算檢查],"OK")=1,INDEX(DB_06[乘數],MATCH(C68&amp;"|"&amp;K68,DB_06[換算鍵],0)),""))))</f>
        <v/>
      </c>
      <c r="M68" s="92">
        <f>UPPER(SUBSTITUTE(SUBSTITUTE(SUBSTITUTE(SUBSTITUTE(TRIM(B68&amp;""),"＜","&lt;"),"＞","&gt;"),"≤","&lt;="),"≥","&gt;="))</f>
        <v/>
      </c>
      <c r="N68" s="92">
        <f>IF(M68="","",IF(OR(M68="ND",M68="N.D."),"ND",IF(OR(M68="NA",M68="N/A",M68="N.A."),"NA",IF(OR(LEFT(M68,2)="&lt;=",LEFT(M68,2)="&gt;="),LEFT(M68,2),IF(OR(LEFT(M68,1)="&lt;",LEFT(M68,1)="&gt;"),LEFT(M68,1),"數值")))))</f>
        <v/>
      </c>
      <c r="O68" s="92">
        <f>IF(OR(N68="",N68="ND",N68="NA"),"",IF(N68="數值",M68,TRIM(MID(M68,LEN(N68)+1,99))))</f>
        <v/>
      </c>
      <c r="P68" s="92">
        <f>IF(O68="","",IFERROR(IF(OR(OR(ISNUMBER(SEARCH("%",O68)),ISNUMBER(SEARCH(" ",O68)),ISNUMBER(SEARCH(",",O68))),OR(SUBSTITUTE(SUBSTITUTE(SUBSTITUTE(SUBSTITUTE(SUBSTITUTE(SUBSTITUTE(SUBSTITUTE(SUBSTITUTE(SUBSTITUTE(SUBSTITUTE(SUBSTITUTE(SUBSTITUTE(SUBSTITUTE(SUBSTITUTE(SUBSTITUTE(SUBSTITUTE(SUBSTITUTE(SUBSTITUTE("x"&amp;O68,"0",""),"1",""),"2",""),"3",""),"4",""),"5",""),"6",""),"7",""),"8",""),"9",""),".",""),"E",""),"+",""),"-",""),"&lt;",""),"&gt;",""),"=","")," ","")&lt;&gt;"x",ISNUMBER(SEARCH("-",SUBSTITUTE(SUBSTITUTE("x"&amp;MID(O68,2,99),"E-","E"),"E+","E"))),ISNUMBER(SEARCH("+",SUBSTITUTE(SUBSTITUTE("x"&amp;MID(O68,2,99),"E-","E"),"E+","E"))))),"",IF(ISNUMBER(AH68),AH68,NA())),""))</f>
        <v/>
      </c>
      <c r="Q68" s="92">
        <f>IF(AND(ISNUMBER(L68),ISNUMBER(P68)),L68*P68,"")</f>
        <v/>
      </c>
      <c r="R68" s="92">
        <f>IF(OR(COUNTA($A68:$D68)=0,U68=0),"",IF(INDEX(DB_05[管制設定值],U68)="","",INDEX(DB_05[管制設定值],U68)))</f>
        <v/>
      </c>
      <c r="S68" s="92">
        <f>IF(OR(COUNTA($A68:$D68)=0,U68=0),"",IF(INDEX(DB_05[監測設定值],U68)="","",INDEX(DB_05[監測設定值],U68)))</f>
        <v/>
      </c>
      <c r="T68" s="92">
        <f>IF(COUNTA($A68:$D68)=0,"",IF(COUNTIFS(DB_04[測項鍵],V68)=1,MATCH(V68,DB_04[測項鍵],0),0))</f>
        <v/>
      </c>
      <c r="U68" s="92">
        <f>IF(COUNTA($A68:$D68)=0,"",IF(COUNTIFS(DB_05[標準鍵],W68)=1,MATCH(W68,DB_05[標準鍵],0),0))</f>
        <v/>
      </c>
      <c r="V68" s="92">
        <f>IF(OR(J68="",A68=""),"",J68&amp;"|"&amp;A68)</f>
        <v/>
      </c>
      <c r="W68" s="92">
        <f>IF(OR('07_QAQC'!$C$3="",V68=""),"",'07_QAQC'!$C$3&amp;"|"&amp;V68)</f>
        <v/>
      </c>
      <c r="X68" s="92">
        <f>IF(OR(H68="",A68=""),"",LEN(H68)&amp;":"&amp;H68&amp;LEN(A68)&amp;":"&amp;A68)</f>
        <v/>
      </c>
      <c r="Y68" s="93">
        <f>IF(COUNTA($A68:$D68)=0,"",IF(I68=0,"樣品未建或重複",IF(INDEX(Samples[樣品檢查],I68)="","OK",INDEX(Samples[樣品檢查],I68))))</f>
        <v/>
      </c>
      <c r="Z68" s="93">
        <f>IF(COUNTA($A68:$D68)=0,"",IF(B68="","缺原始值",IF(OR(B68="-",B68="--"),"無資料",IF(N68="NA","不適用",IF(N68="ND","OK",IF(NOT(ISNUMBER(P68)),"格式待核",IF(AND(N68&lt;&gt;"數值",P68&lt;0),"界限不得為負","OK")))))))</f>
        <v/>
      </c>
      <c r="AA68" s="93">
        <f>IF(COUNTA(A68:D68)=0,"",IF(OR(A68="",H68=""),"缺識別欄位",IF(IF(LEN("="&amp;SUBSTITUTE(SUBSTITUTE(SUBSTITUTE(X68,"~","~~"),"*","~*"),"?","~?"))&lt;=255,COUNTIF(Results[結果識別鍵],"="&amp;SUBSTITUTE(SUBSTITUTE(SUBSTITUTE(X68,"~","~~"),"*","~*"),"?","~?")),COUNTIFS(Results[關聯鍵],"="&amp;SUBSTITUTE(SUBSTITUTE(SUBSTITUTE(H68,"~","~~"),"*","~*"),"?","~?"),Results[分析項目],"="&amp;SUBSTITUTE(SUBSTITUTE(SUBSTITUTE(A68,"~","~~"),"*","~*"),"?","~?")))&gt;1,"同關聯鍵測項重複","OK")))</f>
        <v/>
      </c>
      <c r="AB68" s="93">
        <f>IF(COUNTA($A68:$D68)=0,"",IF(OR(C68="",K68=""),"缺單位",IF(NOT(ISNUMBER(L68)),"單位不相容",IF(L68=1,"OK","已換算"))))</f>
        <v/>
      </c>
      <c r="AC68" s="93">
        <f>IF(COUNTA($A68:$D68)=0,"",IF('07_QAQC'!$C$3="","未選比較版本",IF(U68=0,IF(COUNTIFS(DB_05[標準鍵],W68)&gt;1,"標準鍵重複","未訂此介質／測項門檻"),IF(INDEX(DB_05[版本檢查],U68)&lt;&gt;"OK","標準主檔待核",IF(INDEX(DB_05[標準單位],U68)&lt;&gt;K68,"標準單位不符",IF(INDEX(DB_05[核對狀態],U68)="停用","停用",IF(F68="","缺採樣日期",IF(OR(AND(INDEX(DB_05[生效日],U68)&lt;&gt;"",F68&lt;INDEX(DB_05[生效日],U68)),AND(INDEX(DB_05[失效日],U68)&lt;&gt;"",F68&gt;INDEX(DB_05[失效日],U68))),"日期不適用",INDEX(DB_05[核對狀態],U68)))))))))</f>
        <v/>
      </c>
      <c r="AD68" s="93">
        <f>IF(COUNTA($A68:$D68)=0,"",IF(AC68="未訂此介質／測項門檻",AC68,IF(AC68&lt;&gt;"已核對","標準待核",IF(R68="","未訂管制值",IF(NOT(ISNUMBER(L68)),"單位待核",IF(N68="ND","無法判定（ND無界限）",IF(N68="NA","不適用",IF(Z68&lt;&gt;"OK",Z68,IF(N68="數值",IF(Q68&gt;=R68,"達管制值","未達管制值"),IF(OR(N68="&lt;",N68="&lt;="),IF(OR(Q68&lt;R68,AND(N68="&lt;",Q68=R68)),"未達管制值","無法判定"),IF(OR(N68="&gt;",N68="&gt;="),IF(Q68&gt;=R68,"達管制值","無法判定"),"格式待核")))))))))))</f>
        <v/>
      </c>
      <c r="AE68" s="93">
        <f>IF(COUNTA($A68:$D68)=0,"",IF(AC68="未訂此介質／測項門檻",AC68,IF(AC68&lt;&gt;"已核對","標準待核",IF(S68="","未訂監測值",IF(NOT(ISNUMBER(L68)),"單位待核",IF(N68="ND","無法判定（ND無界限）",IF(N68="NA","不適用",IF(Z68&lt;&gt;"OK",Z68,IF(N68="數值",IF(Q68&gt;=S68,"達監測值","未達監測值"),IF(OR(N68="&lt;",N68="&lt;="),IF(OR(Q68&lt;S68,AND(N68="&lt;",Q68=S68)),"未達監測值","無法判定"),IF(OR(N68="&gt;",N68="&gt;="),IF(Q68&gt;=S68,"達監測值","無法判定"),"格式待核")))))))))))</f>
        <v/>
      </c>
      <c r="AF68" s="93">
        <f>IF(COUNTA($A68:$D68)=0,"",IF(OR(E68="",A68="",B68="",C68=""),"缺必要欄位",IF(Y68&lt;&gt;"OK","樣品資料待補",IF(T68=0,"測項未建或重複",IF(INDEX(DB_04[啟用],T68)&lt;&gt;"是","測項停用",IF(AND(Z68&lt;&gt;"OK",Z68&lt;&gt;"不適用"),Z68,IF(AND(AB68&lt;&gt;"OK",AB68&lt;&gt;"已換算"),"單位待核",IF(AA68&lt;&gt;"OK",AA68,"OK"))))))))</f>
        <v/>
      </c>
      <c r="AG68" s="93">
        <f>IF(COUNTA($A68:$D68)=0,"",IF(N68="ND","ND取0",IF(OR(N68="&lt;",N68="&lt;="),"界限除以2",IF(N68="NA","不適用",IF(OR(N68="&gt;",N68="&gt;="),"保留界限數值","保留原數值")))))</f>
        <v/>
      </c>
      <c r="AH68" s="92">
        <f>IF(O68="","",IFERROR(_xlfn.NUMBERVALUE(O68,".",","),""))</f>
        <v/>
      </c>
      <c r="AI68" s="92">
        <f>IF(H68="","",IFERROR(MATCH(H68,Samples[樣品編號],0),0))</f>
        <v/>
      </c>
    </row>
    <row r="69">
      <c r="A69" s="27" t="inlineStr">
        <is>
          <t>EC</t>
        </is>
      </c>
      <c r="B69" s="28" t="inlineStr">
        <is>
          <t>0.66</t>
        </is>
      </c>
      <c r="C69" s="27" t="inlineStr">
        <is>
          <t>mS/cm</t>
        </is>
      </c>
      <c r="D69" s="39" t="inlineStr">
        <is>
          <t>合成資料，非實測；method=field; temperature=25; temperature_compensated=25C; reference_temperature=25</t>
        </is>
      </c>
      <c r="E69" s="29">
        <f>IF(OR(I69="",I69=0),"",IF(INDEX(Samples[監測點],I69)="","",INDEX(Samples[監測點],I69)))</f>
        <v/>
      </c>
      <c r="F69" s="90">
        <f>IF(OR(I69="",I69=0),"",IF(INDEX(Samples[採樣日期],I69)="","",INDEX(Samples[採樣日期],I69)))</f>
        <v/>
      </c>
      <c r="G69" s="91">
        <f>IF(OR(M69="",M69="NA",M69="N/A"),"",IF(OR(M69="ND",M69="N.D."),0,IFERROR(IF(OR(OR(ISNUMBER(SEARCH("%",O69)),ISNUMBER(SEARCH(" ",O69)),ISNUMBER(SEARCH(",",O69))),OR(SUBSTITUTE(SUBSTITUTE(SUBSTITUTE(SUBSTITUTE(SUBSTITUTE(SUBSTITUTE(SUBSTITUTE(SUBSTITUTE(SUBSTITUTE(SUBSTITUTE(SUBSTITUTE(SUBSTITUTE(SUBSTITUTE(SUBSTITUTE(SUBSTITUTE(SUBSTITUTE(SUBSTITUTE(SUBSTITUTE("x"&amp;M69,"0",""),"1",""),"2",""),"3",""),"4",""),"5",""),"6",""),"7",""),"8",""),"9",""),".",""),"E",""),"+",""),"-",""),"&lt;",""),"&gt;",""),"=","")," ","")&lt;&gt;"x",ISNUMBER(SEARCH("-",SUBSTITUTE(SUBSTITUTE("x"&amp;MID(M69,2,99),"E-","E"),"E+","E"))),ISNUMBER(SEARCH("+",SUBSTITUTE(SUBSTITUTE("x"&amp;MID(M69,2,99),"E-","E"),"E+","E"))))),"",IF(AND(OR(LEFT(M69,1)="&lt;",LEFT(M69,1)="&gt;"),IF(O69="",0,IF(ISNUMBER(AH69),AH69,NA()))&lt;0),"",IF(O69="",0,IF(ISNUMBER(AH69),AH69,NA()))/IF(LEFT(M69,1)="&lt;",2,1))),"")))</f>
        <v/>
      </c>
      <c r="H69" s="57" t="inlineStr">
        <is>
          <t>BH02-W_20260115_03</t>
        </is>
      </c>
      <c r="I69" s="92">
        <f>IF(OR(H69="",AI69=0),0,IF(INDEX(Samples[樣品重複筆數],AI69)=1,AI69,0))</f>
        <v/>
      </c>
      <c r="J69" s="92">
        <f>IF(OR(COUNTA($A69:$D69)=0,I69=0),"",IF(INDEX(Samples[介質],I69)="","",INDEX(Samples[介質],I69)))</f>
        <v/>
      </c>
      <c r="K69" s="92">
        <f>IF(OR(COUNTA($A69:$D69)=0,T69=0),"",IF(INDEX(DB_04[標準單位],T69)="","",INDEX(DB_04[標準單位],T69)))</f>
        <v/>
      </c>
      <c r="L69" s="92">
        <f>IF(COUNTA($A69:$D69)=0,"",IF(OR(C69="",K69=""),"",IF(C69=K69,1,IF(COUNTIFS(DB_06[換算鍵],C69&amp;"|"&amp;K69,DB_06[換算檢查],"OK")=1,INDEX(DB_06[乘數],MATCH(C69&amp;"|"&amp;K69,DB_06[換算鍵],0)),""))))</f>
        <v/>
      </c>
      <c r="M69" s="92">
        <f>UPPER(SUBSTITUTE(SUBSTITUTE(SUBSTITUTE(SUBSTITUTE(TRIM(B69&amp;""),"＜","&lt;"),"＞","&gt;"),"≤","&lt;="),"≥","&gt;="))</f>
        <v/>
      </c>
      <c r="N69" s="92">
        <f>IF(M69="","",IF(OR(M69="ND",M69="N.D."),"ND",IF(OR(M69="NA",M69="N/A",M69="N.A."),"NA",IF(OR(LEFT(M69,2)="&lt;=",LEFT(M69,2)="&gt;="),LEFT(M69,2),IF(OR(LEFT(M69,1)="&lt;",LEFT(M69,1)="&gt;"),LEFT(M69,1),"數值")))))</f>
        <v/>
      </c>
      <c r="O69" s="92">
        <f>IF(OR(N69="",N69="ND",N69="NA"),"",IF(N69="數值",M69,TRIM(MID(M69,LEN(N69)+1,99))))</f>
        <v/>
      </c>
      <c r="P69" s="92">
        <f>IF(O69="","",IFERROR(IF(OR(OR(ISNUMBER(SEARCH("%",O69)),ISNUMBER(SEARCH(" ",O69)),ISNUMBER(SEARCH(",",O69))),OR(SUBSTITUTE(SUBSTITUTE(SUBSTITUTE(SUBSTITUTE(SUBSTITUTE(SUBSTITUTE(SUBSTITUTE(SUBSTITUTE(SUBSTITUTE(SUBSTITUTE(SUBSTITUTE(SUBSTITUTE(SUBSTITUTE(SUBSTITUTE(SUBSTITUTE(SUBSTITUTE(SUBSTITUTE(SUBSTITUTE("x"&amp;O69,"0",""),"1",""),"2",""),"3",""),"4",""),"5",""),"6",""),"7",""),"8",""),"9",""),".",""),"E",""),"+",""),"-",""),"&lt;",""),"&gt;",""),"=","")," ","")&lt;&gt;"x",ISNUMBER(SEARCH("-",SUBSTITUTE(SUBSTITUTE("x"&amp;MID(O69,2,99),"E-","E"),"E+","E"))),ISNUMBER(SEARCH("+",SUBSTITUTE(SUBSTITUTE("x"&amp;MID(O69,2,99),"E-","E"),"E+","E"))))),"",IF(ISNUMBER(AH69),AH69,NA())),""))</f>
        <v/>
      </c>
      <c r="Q69" s="92">
        <f>IF(AND(ISNUMBER(L69),ISNUMBER(P69)),L69*P69,"")</f>
        <v/>
      </c>
      <c r="R69" s="92">
        <f>IF(OR(COUNTA($A69:$D69)=0,U69=0),"",IF(INDEX(DB_05[管制設定值],U69)="","",INDEX(DB_05[管制設定值],U69)))</f>
        <v/>
      </c>
      <c r="S69" s="92">
        <f>IF(OR(COUNTA($A69:$D69)=0,U69=0),"",IF(INDEX(DB_05[監測設定值],U69)="","",INDEX(DB_05[監測設定值],U69)))</f>
        <v/>
      </c>
      <c r="T69" s="92">
        <f>IF(COUNTA($A69:$D69)=0,"",IF(COUNTIFS(DB_04[測項鍵],V69)=1,MATCH(V69,DB_04[測項鍵],0),0))</f>
        <v/>
      </c>
      <c r="U69" s="92">
        <f>IF(COUNTA($A69:$D69)=0,"",IF(COUNTIFS(DB_05[標準鍵],W69)=1,MATCH(W69,DB_05[標準鍵],0),0))</f>
        <v/>
      </c>
      <c r="V69" s="92">
        <f>IF(OR(J69="",A69=""),"",J69&amp;"|"&amp;A69)</f>
        <v/>
      </c>
      <c r="W69" s="92">
        <f>IF(OR('07_QAQC'!$C$3="",V69=""),"",'07_QAQC'!$C$3&amp;"|"&amp;V69)</f>
        <v/>
      </c>
      <c r="X69" s="92">
        <f>IF(OR(H69="",A69=""),"",LEN(H69)&amp;":"&amp;H69&amp;LEN(A69)&amp;":"&amp;A69)</f>
        <v/>
      </c>
      <c r="Y69" s="93">
        <f>IF(COUNTA($A69:$D69)=0,"",IF(I69=0,"樣品未建或重複",IF(INDEX(Samples[樣品檢查],I69)="","OK",INDEX(Samples[樣品檢查],I69))))</f>
        <v/>
      </c>
      <c r="Z69" s="93">
        <f>IF(COUNTA($A69:$D69)=0,"",IF(B69="","缺原始值",IF(OR(B69="-",B69="--"),"無資料",IF(N69="NA","不適用",IF(N69="ND","OK",IF(NOT(ISNUMBER(P69)),"格式待核",IF(AND(N69&lt;&gt;"數值",P69&lt;0),"界限不得為負","OK")))))))</f>
        <v/>
      </c>
      <c r="AA69" s="93">
        <f>IF(COUNTA(A69:D69)=0,"",IF(OR(A69="",H69=""),"缺識別欄位",IF(IF(LEN("="&amp;SUBSTITUTE(SUBSTITUTE(SUBSTITUTE(X69,"~","~~"),"*","~*"),"?","~?"))&lt;=255,COUNTIF(Results[結果識別鍵],"="&amp;SUBSTITUTE(SUBSTITUTE(SUBSTITUTE(X69,"~","~~"),"*","~*"),"?","~?")),COUNTIFS(Results[關聯鍵],"="&amp;SUBSTITUTE(SUBSTITUTE(SUBSTITUTE(H69,"~","~~"),"*","~*"),"?","~?"),Results[分析項目],"="&amp;SUBSTITUTE(SUBSTITUTE(SUBSTITUTE(A69,"~","~~"),"*","~*"),"?","~?")))&gt;1,"同關聯鍵測項重複","OK")))</f>
        <v/>
      </c>
      <c r="AB69" s="93">
        <f>IF(COUNTA($A69:$D69)=0,"",IF(OR(C69="",K69=""),"缺單位",IF(NOT(ISNUMBER(L69)),"單位不相容",IF(L69=1,"OK","已換算"))))</f>
        <v/>
      </c>
      <c r="AC69" s="93">
        <f>IF(COUNTA($A69:$D69)=0,"",IF('07_QAQC'!$C$3="","未選比較版本",IF(U69=0,IF(COUNTIFS(DB_05[標準鍵],W69)&gt;1,"標準鍵重複","未訂此介質／測項門檻"),IF(INDEX(DB_05[版本檢查],U69)&lt;&gt;"OK","標準主檔待核",IF(INDEX(DB_05[標準單位],U69)&lt;&gt;K69,"標準單位不符",IF(INDEX(DB_05[核對狀態],U69)="停用","停用",IF(F69="","缺採樣日期",IF(OR(AND(INDEX(DB_05[生效日],U69)&lt;&gt;"",F69&lt;INDEX(DB_05[生效日],U69)),AND(INDEX(DB_05[失效日],U69)&lt;&gt;"",F69&gt;INDEX(DB_05[失效日],U69))),"日期不適用",INDEX(DB_05[核對狀態],U69)))))))))</f>
        <v/>
      </c>
      <c r="AD69" s="93">
        <f>IF(COUNTA($A69:$D69)=0,"",IF(AC69="未訂此介質／測項門檻",AC69,IF(AC69&lt;&gt;"已核對","標準待核",IF(R69="","未訂管制值",IF(NOT(ISNUMBER(L69)),"單位待核",IF(N69="ND","無法判定（ND無界限）",IF(N69="NA","不適用",IF(Z69&lt;&gt;"OK",Z69,IF(N69="數值",IF(Q69&gt;=R69,"達管制值","未達管制值"),IF(OR(N69="&lt;",N69="&lt;="),IF(OR(Q69&lt;R69,AND(N69="&lt;",Q69=R69)),"未達管制值","無法判定"),IF(OR(N69="&gt;",N69="&gt;="),IF(Q69&gt;=R69,"達管制值","無法判定"),"格式待核")))))))))))</f>
        <v/>
      </c>
      <c r="AE69" s="93">
        <f>IF(COUNTA($A69:$D69)=0,"",IF(AC69="未訂此介質／測項門檻",AC69,IF(AC69&lt;&gt;"已核對","標準待核",IF(S69="","未訂監測值",IF(NOT(ISNUMBER(L69)),"單位待核",IF(N69="ND","無法判定（ND無界限）",IF(N69="NA","不適用",IF(Z69&lt;&gt;"OK",Z69,IF(N69="數值",IF(Q69&gt;=S69,"達監測值","未達監測值"),IF(OR(N69="&lt;",N69="&lt;="),IF(OR(Q69&lt;S69,AND(N69="&lt;",Q69=S69)),"未達監測值","無法判定"),IF(OR(N69="&gt;",N69="&gt;="),IF(Q69&gt;=S69,"達監測值","無法判定"),"格式待核")))))))))))</f>
        <v/>
      </c>
      <c r="AF69" s="93">
        <f>IF(COUNTA($A69:$D69)=0,"",IF(OR(E69="",A69="",B69="",C69=""),"缺必要欄位",IF(Y69&lt;&gt;"OK","樣品資料待補",IF(T69=0,"測項未建或重複",IF(INDEX(DB_04[啟用],T69)&lt;&gt;"是","測項停用",IF(AND(Z69&lt;&gt;"OK",Z69&lt;&gt;"不適用"),Z69,IF(AND(AB69&lt;&gt;"OK",AB69&lt;&gt;"已換算"),"單位待核",IF(AA69&lt;&gt;"OK",AA69,"OK"))))))))</f>
        <v/>
      </c>
      <c r="AG69" s="93">
        <f>IF(COUNTA($A69:$D69)=0,"",IF(N69="ND","ND取0",IF(OR(N69="&lt;",N69="&lt;="),"界限除以2",IF(N69="NA","不適用",IF(OR(N69="&gt;",N69="&gt;="),"保留界限數值","保留原數值")))))</f>
        <v/>
      </c>
      <c r="AH69" s="92">
        <f>IF(O69="","",IFERROR(_xlfn.NUMBERVALUE(O69,".",","),""))</f>
        <v/>
      </c>
      <c r="AI69" s="92">
        <f>IF(H69="","",IFERROR(MATCH(H69,Samples[樣品編號],0),0))</f>
        <v/>
      </c>
    </row>
    <row r="70">
      <c r="A70" s="27" t="inlineStr">
        <is>
          <t>DO</t>
        </is>
      </c>
      <c r="B70" s="28" t="inlineStr">
        <is>
          <t>4.6</t>
        </is>
      </c>
      <c r="C70" s="27" t="inlineStr">
        <is>
          <t>mg/L</t>
        </is>
      </c>
      <c r="D70" s="39" t="inlineStr">
        <is>
          <t>合成資料，非實測；method=field</t>
        </is>
      </c>
      <c r="E70" s="29">
        <f>IF(OR(I70="",I70=0),"",IF(INDEX(Samples[監測點],I70)="","",INDEX(Samples[監測點],I70)))</f>
        <v/>
      </c>
      <c r="F70" s="90">
        <f>IF(OR(I70="",I70=0),"",IF(INDEX(Samples[採樣日期],I70)="","",INDEX(Samples[採樣日期],I70)))</f>
        <v/>
      </c>
      <c r="G70" s="91">
        <f>IF(OR(M70="",M70="NA",M70="N/A"),"",IF(OR(M70="ND",M70="N.D."),0,IFERROR(IF(OR(OR(ISNUMBER(SEARCH("%",O70)),ISNUMBER(SEARCH(" ",O70)),ISNUMBER(SEARCH(",",O70))),OR(SUBSTITUTE(SUBSTITUTE(SUBSTITUTE(SUBSTITUTE(SUBSTITUTE(SUBSTITUTE(SUBSTITUTE(SUBSTITUTE(SUBSTITUTE(SUBSTITUTE(SUBSTITUTE(SUBSTITUTE(SUBSTITUTE(SUBSTITUTE(SUBSTITUTE(SUBSTITUTE(SUBSTITUTE(SUBSTITUTE("x"&amp;M70,"0",""),"1",""),"2",""),"3",""),"4",""),"5",""),"6",""),"7",""),"8",""),"9",""),".",""),"E",""),"+",""),"-",""),"&lt;",""),"&gt;",""),"=","")," ","")&lt;&gt;"x",ISNUMBER(SEARCH("-",SUBSTITUTE(SUBSTITUTE("x"&amp;MID(M70,2,99),"E-","E"),"E+","E"))),ISNUMBER(SEARCH("+",SUBSTITUTE(SUBSTITUTE("x"&amp;MID(M70,2,99),"E-","E"),"E+","E"))))),"",IF(AND(OR(LEFT(M70,1)="&lt;",LEFT(M70,1)="&gt;"),IF(O70="",0,IF(ISNUMBER(AH70),AH70,NA()))&lt;0),"",IF(O70="",0,IF(ISNUMBER(AH70),AH70,NA()))/IF(LEFT(M70,1)="&lt;",2,1))),"")))</f>
        <v/>
      </c>
      <c r="H70" s="57" t="inlineStr">
        <is>
          <t>BH02-W_20260115_03</t>
        </is>
      </c>
      <c r="I70" s="92">
        <f>IF(OR(H70="",AI70=0),0,IF(INDEX(Samples[樣品重複筆數],AI70)=1,AI70,0))</f>
        <v/>
      </c>
      <c r="J70" s="92">
        <f>IF(OR(COUNTA($A70:$D70)=0,I70=0),"",IF(INDEX(Samples[介質],I70)="","",INDEX(Samples[介質],I70)))</f>
        <v/>
      </c>
      <c r="K70" s="92">
        <f>IF(OR(COUNTA($A70:$D70)=0,T70=0),"",IF(INDEX(DB_04[標準單位],T70)="","",INDEX(DB_04[標準單位],T70)))</f>
        <v/>
      </c>
      <c r="L70" s="92">
        <f>IF(COUNTA($A70:$D70)=0,"",IF(OR(C70="",K70=""),"",IF(C70=K70,1,IF(COUNTIFS(DB_06[換算鍵],C70&amp;"|"&amp;K70,DB_06[換算檢查],"OK")=1,INDEX(DB_06[乘數],MATCH(C70&amp;"|"&amp;K70,DB_06[換算鍵],0)),""))))</f>
        <v/>
      </c>
      <c r="M70" s="92">
        <f>UPPER(SUBSTITUTE(SUBSTITUTE(SUBSTITUTE(SUBSTITUTE(TRIM(B70&amp;""),"＜","&lt;"),"＞","&gt;"),"≤","&lt;="),"≥","&gt;="))</f>
        <v/>
      </c>
      <c r="N70" s="92">
        <f>IF(M70="","",IF(OR(M70="ND",M70="N.D."),"ND",IF(OR(M70="NA",M70="N/A",M70="N.A."),"NA",IF(OR(LEFT(M70,2)="&lt;=",LEFT(M70,2)="&gt;="),LEFT(M70,2),IF(OR(LEFT(M70,1)="&lt;",LEFT(M70,1)="&gt;"),LEFT(M70,1),"數值")))))</f>
        <v/>
      </c>
      <c r="O70" s="92">
        <f>IF(OR(N70="",N70="ND",N70="NA"),"",IF(N70="數值",M70,TRIM(MID(M70,LEN(N70)+1,99))))</f>
        <v/>
      </c>
      <c r="P70" s="92">
        <f>IF(O70="","",IFERROR(IF(OR(OR(ISNUMBER(SEARCH("%",O70)),ISNUMBER(SEARCH(" ",O70)),ISNUMBER(SEARCH(",",O70))),OR(SUBSTITUTE(SUBSTITUTE(SUBSTITUTE(SUBSTITUTE(SUBSTITUTE(SUBSTITUTE(SUBSTITUTE(SUBSTITUTE(SUBSTITUTE(SUBSTITUTE(SUBSTITUTE(SUBSTITUTE(SUBSTITUTE(SUBSTITUTE(SUBSTITUTE(SUBSTITUTE(SUBSTITUTE(SUBSTITUTE("x"&amp;O70,"0",""),"1",""),"2",""),"3",""),"4",""),"5",""),"6",""),"7",""),"8",""),"9",""),".",""),"E",""),"+",""),"-",""),"&lt;",""),"&gt;",""),"=","")," ","")&lt;&gt;"x",ISNUMBER(SEARCH("-",SUBSTITUTE(SUBSTITUTE("x"&amp;MID(O70,2,99),"E-","E"),"E+","E"))),ISNUMBER(SEARCH("+",SUBSTITUTE(SUBSTITUTE("x"&amp;MID(O70,2,99),"E-","E"),"E+","E"))))),"",IF(ISNUMBER(AH70),AH70,NA())),""))</f>
        <v/>
      </c>
      <c r="Q70" s="92">
        <f>IF(AND(ISNUMBER(L70),ISNUMBER(P70)),L70*P70,"")</f>
        <v/>
      </c>
      <c r="R70" s="92">
        <f>IF(OR(COUNTA($A70:$D70)=0,U70=0),"",IF(INDEX(DB_05[管制設定值],U70)="","",INDEX(DB_05[管制設定值],U70)))</f>
        <v/>
      </c>
      <c r="S70" s="92">
        <f>IF(OR(COUNTA($A70:$D70)=0,U70=0),"",IF(INDEX(DB_05[監測設定值],U70)="","",INDEX(DB_05[監測設定值],U70)))</f>
        <v/>
      </c>
      <c r="T70" s="92">
        <f>IF(COUNTA($A70:$D70)=0,"",IF(COUNTIFS(DB_04[測項鍵],V70)=1,MATCH(V70,DB_04[測項鍵],0),0))</f>
        <v/>
      </c>
      <c r="U70" s="92">
        <f>IF(COUNTA($A70:$D70)=0,"",IF(COUNTIFS(DB_05[標準鍵],W70)=1,MATCH(W70,DB_05[標準鍵],0),0))</f>
        <v/>
      </c>
      <c r="V70" s="92">
        <f>IF(OR(J70="",A70=""),"",J70&amp;"|"&amp;A70)</f>
        <v/>
      </c>
      <c r="W70" s="92">
        <f>IF(OR('07_QAQC'!$C$3="",V70=""),"",'07_QAQC'!$C$3&amp;"|"&amp;V70)</f>
        <v/>
      </c>
      <c r="X70" s="92">
        <f>IF(OR(H70="",A70=""),"",LEN(H70)&amp;":"&amp;H70&amp;LEN(A70)&amp;":"&amp;A70)</f>
        <v/>
      </c>
      <c r="Y70" s="93">
        <f>IF(COUNTA($A70:$D70)=0,"",IF(I70=0,"樣品未建或重複",IF(INDEX(Samples[樣品檢查],I70)="","OK",INDEX(Samples[樣品檢查],I70))))</f>
        <v/>
      </c>
      <c r="Z70" s="93">
        <f>IF(COUNTA($A70:$D70)=0,"",IF(B70="","缺原始值",IF(OR(B70="-",B70="--"),"無資料",IF(N70="NA","不適用",IF(N70="ND","OK",IF(NOT(ISNUMBER(P70)),"格式待核",IF(AND(N70&lt;&gt;"數值",P70&lt;0),"界限不得為負","OK")))))))</f>
        <v/>
      </c>
      <c r="AA70" s="93">
        <f>IF(COUNTA(A70:D70)=0,"",IF(OR(A70="",H70=""),"缺識別欄位",IF(IF(LEN("="&amp;SUBSTITUTE(SUBSTITUTE(SUBSTITUTE(X70,"~","~~"),"*","~*"),"?","~?"))&lt;=255,COUNTIF(Results[結果識別鍵],"="&amp;SUBSTITUTE(SUBSTITUTE(SUBSTITUTE(X70,"~","~~"),"*","~*"),"?","~?")),COUNTIFS(Results[關聯鍵],"="&amp;SUBSTITUTE(SUBSTITUTE(SUBSTITUTE(H70,"~","~~"),"*","~*"),"?","~?"),Results[分析項目],"="&amp;SUBSTITUTE(SUBSTITUTE(SUBSTITUTE(A70,"~","~~"),"*","~*"),"?","~?")))&gt;1,"同關聯鍵測項重複","OK")))</f>
        <v/>
      </c>
      <c r="AB70" s="93">
        <f>IF(COUNTA($A70:$D70)=0,"",IF(OR(C70="",K70=""),"缺單位",IF(NOT(ISNUMBER(L70)),"單位不相容",IF(L70=1,"OK","已換算"))))</f>
        <v/>
      </c>
      <c r="AC70" s="93">
        <f>IF(COUNTA($A70:$D70)=0,"",IF('07_QAQC'!$C$3="","未選比較版本",IF(U70=0,IF(COUNTIFS(DB_05[標準鍵],W70)&gt;1,"標準鍵重複","未訂此介質／測項門檻"),IF(INDEX(DB_05[版本檢查],U70)&lt;&gt;"OK","標準主檔待核",IF(INDEX(DB_05[標準單位],U70)&lt;&gt;K70,"標準單位不符",IF(INDEX(DB_05[核對狀態],U70)="停用","停用",IF(F70="","缺採樣日期",IF(OR(AND(INDEX(DB_05[生效日],U70)&lt;&gt;"",F70&lt;INDEX(DB_05[生效日],U70)),AND(INDEX(DB_05[失效日],U70)&lt;&gt;"",F70&gt;INDEX(DB_05[失效日],U70))),"日期不適用",INDEX(DB_05[核對狀態],U70)))))))))</f>
        <v/>
      </c>
      <c r="AD70" s="93">
        <f>IF(COUNTA($A70:$D70)=0,"",IF(AC70="未訂此介質／測項門檻",AC70,IF(AC70&lt;&gt;"已核對","標準待核",IF(R70="","未訂管制值",IF(NOT(ISNUMBER(L70)),"單位待核",IF(N70="ND","無法判定（ND無界限）",IF(N70="NA","不適用",IF(Z70&lt;&gt;"OK",Z70,IF(N70="數值",IF(Q70&gt;=R70,"達管制值","未達管制值"),IF(OR(N70="&lt;",N70="&lt;="),IF(OR(Q70&lt;R70,AND(N70="&lt;",Q70=R70)),"未達管制值","無法判定"),IF(OR(N70="&gt;",N70="&gt;="),IF(Q70&gt;=R70,"達管制值","無法判定"),"格式待核")))))))))))</f>
        <v/>
      </c>
      <c r="AE70" s="93">
        <f>IF(COUNTA($A70:$D70)=0,"",IF(AC70="未訂此介質／測項門檻",AC70,IF(AC70&lt;&gt;"已核對","標準待核",IF(S70="","未訂監測值",IF(NOT(ISNUMBER(L70)),"單位待核",IF(N70="ND","無法判定（ND無界限）",IF(N70="NA","不適用",IF(Z70&lt;&gt;"OK",Z70,IF(N70="數值",IF(Q70&gt;=S70,"達監測值","未達監測值"),IF(OR(N70="&lt;",N70="&lt;="),IF(OR(Q70&lt;S70,AND(N70="&lt;",Q70=S70)),"未達監測值","無法判定"),IF(OR(N70="&gt;",N70="&gt;="),IF(Q70&gt;=S70,"達監測值","無法判定"),"格式待核")))))))))))</f>
        <v/>
      </c>
      <c r="AF70" s="93">
        <f>IF(COUNTA($A70:$D70)=0,"",IF(OR(E70="",A70="",B70="",C70=""),"缺必要欄位",IF(Y70&lt;&gt;"OK","樣品資料待補",IF(T70=0,"測項未建或重複",IF(INDEX(DB_04[啟用],T70)&lt;&gt;"是","測項停用",IF(AND(Z70&lt;&gt;"OK",Z70&lt;&gt;"不適用"),Z70,IF(AND(AB70&lt;&gt;"OK",AB70&lt;&gt;"已換算"),"單位待核",IF(AA70&lt;&gt;"OK",AA70,"OK"))))))))</f>
        <v/>
      </c>
      <c r="AG70" s="93">
        <f>IF(COUNTA($A70:$D70)=0,"",IF(N70="ND","ND取0",IF(OR(N70="&lt;",N70="&lt;="),"界限除以2",IF(N70="NA","不適用",IF(OR(N70="&gt;",N70="&gt;="),"保留界限數值","保留原數值")))))</f>
        <v/>
      </c>
      <c r="AH70" s="92">
        <f>IF(O70="","",IFERROR(_xlfn.NUMBERVALUE(O70,".",","),""))</f>
        <v/>
      </c>
      <c r="AI70" s="92">
        <f>IF(H70="","",IFERROR(MATCH(H70,Samples[樣品編號],0),0))</f>
        <v/>
      </c>
    </row>
    <row r="71">
      <c r="A71" s="27" t="inlineStr">
        <is>
          <t>溶氧飽和度</t>
        </is>
      </c>
      <c r="B71" s="28" t="inlineStr">
        <is>
          <t>58</t>
        </is>
      </c>
      <c r="C71" s="27" t="inlineStr">
        <is>
          <t>%</t>
        </is>
      </c>
      <c r="D71" s="39" t="inlineStr">
        <is>
          <t>合成資料，非實測；method=field</t>
        </is>
      </c>
      <c r="E71" s="29">
        <f>IF(OR(I71="",I71=0),"",IF(INDEX(Samples[監測點],I71)="","",INDEX(Samples[監測點],I71)))</f>
        <v/>
      </c>
      <c r="F71" s="90">
        <f>IF(OR(I71="",I71=0),"",IF(INDEX(Samples[採樣日期],I71)="","",INDEX(Samples[採樣日期],I71)))</f>
        <v/>
      </c>
      <c r="G71" s="91">
        <f>IF(OR(M71="",M71="NA",M71="N/A"),"",IF(OR(M71="ND",M71="N.D."),0,IFERROR(IF(OR(OR(ISNUMBER(SEARCH("%",O71)),ISNUMBER(SEARCH(" ",O71)),ISNUMBER(SEARCH(",",O71))),OR(SUBSTITUTE(SUBSTITUTE(SUBSTITUTE(SUBSTITUTE(SUBSTITUTE(SUBSTITUTE(SUBSTITUTE(SUBSTITUTE(SUBSTITUTE(SUBSTITUTE(SUBSTITUTE(SUBSTITUTE(SUBSTITUTE(SUBSTITUTE(SUBSTITUTE(SUBSTITUTE(SUBSTITUTE(SUBSTITUTE("x"&amp;M71,"0",""),"1",""),"2",""),"3",""),"4",""),"5",""),"6",""),"7",""),"8",""),"9",""),".",""),"E",""),"+",""),"-",""),"&lt;",""),"&gt;",""),"=","")," ","")&lt;&gt;"x",ISNUMBER(SEARCH("-",SUBSTITUTE(SUBSTITUTE("x"&amp;MID(M71,2,99),"E-","E"),"E+","E"))),ISNUMBER(SEARCH("+",SUBSTITUTE(SUBSTITUTE("x"&amp;MID(M71,2,99),"E-","E"),"E+","E"))))),"",IF(AND(OR(LEFT(M71,1)="&lt;",LEFT(M71,1)="&gt;"),IF(O71="",0,IF(ISNUMBER(AH71),AH71,NA()))&lt;0),"",IF(O71="",0,IF(ISNUMBER(AH71),AH71,NA()))/IF(LEFT(M71,1)="&lt;",2,1))),"")))</f>
        <v/>
      </c>
      <c r="H71" s="57" t="inlineStr">
        <is>
          <t>BH02-W_20260115_03</t>
        </is>
      </c>
      <c r="I71" s="92">
        <f>IF(OR(H71="",AI71=0),0,IF(INDEX(Samples[樣品重複筆數],AI71)=1,AI71,0))</f>
        <v/>
      </c>
      <c r="J71" s="92">
        <f>IF(OR(COUNTA($A71:$D71)=0,I71=0),"",IF(INDEX(Samples[介質],I71)="","",INDEX(Samples[介質],I71)))</f>
        <v/>
      </c>
      <c r="K71" s="92">
        <f>IF(OR(COUNTA($A71:$D71)=0,T71=0),"",IF(INDEX(DB_04[標準單位],T71)="","",INDEX(DB_04[標準單位],T71)))</f>
        <v/>
      </c>
      <c r="L71" s="92">
        <f>IF(COUNTA($A71:$D71)=0,"",IF(OR(C71="",K71=""),"",IF(C71=K71,1,IF(COUNTIFS(DB_06[換算鍵],C71&amp;"|"&amp;K71,DB_06[換算檢查],"OK")=1,INDEX(DB_06[乘數],MATCH(C71&amp;"|"&amp;K71,DB_06[換算鍵],0)),""))))</f>
        <v/>
      </c>
      <c r="M71" s="92">
        <f>UPPER(SUBSTITUTE(SUBSTITUTE(SUBSTITUTE(SUBSTITUTE(TRIM(B71&amp;""),"＜","&lt;"),"＞","&gt;"),"≤","&lt;="),"≥","&gt;="))</f>
        <v/>
      </c>
      <c r="N71" s="92">
        <f>IF(M71="","",IF(OR(M71="ND",M71="N.D."),"ND",IF(OR(M71="NA",M71="N/A",M71="N.A."),"NA",IF(OR(LEFT(M71,2)="&lt;=",LEFT(M71,2)="&gt;="),LEFT(M71,2),IF(OR(LEFT(M71,1)="&lt;",LEFT(M71,1)="&gt;"),LEFT(M71,1),"數值")))))</f>
        <v/>
      </c>
      <c r="O71" s="92">
        <f>IF(OR(N71="",N71="ND",N71="NA"),"",IF(N71="數值",M71,TRIM(MID(M71,LEN(N71)+1,99))))</f>
        <v/>
      </c>
      <c r="P71" s="92">
        <f>IF(O71="","",IFERROR(IF(OR(OR(ISNUMBER(SEARCH("%",O71)),ISNUMBER(SEARCH(" ",O71)),ISNUMBER(SEARCH(",",O71))),OR(SUBSTITUTE(SUBSTITUTE(SUBSTITUTE(SUBSTITUTE(SUBSTITUTE(SUBSTITUTE(SUBSTITUTE(SUBSTITUTE(SUBSTITUTE(SUBSTITUTE(SUBSTITUTE(SUBSTITUTE(SUBSTITUTE(SUBSTITUTE(SUBSTITUTE(SUBSTITUTE(SUBSTITUTE(SUBSTITUTE("x"&amp;O71,"0",""),"1",""),"2",""),"3",""),"4",""),"5",""),"6",""),"7",""),"8",""),"9",""),".",""),"E",""),"+",""),"-",""),"&lt;",""),"&gt;",""),"=","")," ","")&lt;&gt;"x",ISNUMBER(SEARCH("-",SUBSTITUTE(SUBSTITUTE("x"&amp;MID(O71,2,99),"E-","E"),"E+","E"))),ISNUMBER(SEARCH("+",SUBSTITUTE(SUBSTITUTE("x"&amp;MID(O71,2,99),"E-","E"),"E+","E"))))),"",IF(ISNUMBER(AH71),AH71,NA())),""))</f>
        <v/>
      </c>
      <c r="Q71" s="92">
        <f>IF(AND(ISNUMBER(L71),ISNUMBER(P71)),L71*P71,"")</f>
        <v/>
      </c>
      <c r="R71" s="92">
        <f>IF(OR(COUNTA($A71:$D71)=0,U71=0),"",IF(INDEX(DB_05[管制設定值],U71)="","",INDEX(DB_05[管制設定值],U71)))</f>
        <v/>
      </c>
      <c r="S71" s="92">
        <f>IF(OR(COUNTA($A71:$D71)=0,U71=0),"",IF(INDEX(DB_05[監測設定值],U71)="","",INDEX(DB_05[監測設定值],U71)))</f>
        <v/>
      </c>
      <c r="T71" s="92">
        <f>IF(COUNTA($A71:$D71)=0,"",IF(COUNTIFS(DB_04[測項鍵],V71)=1,MATCH(V71,DB_04[測項鍵],0),0))</f>
        <v/>
      </c>
      <c r="U71" s="92">
        <f>IF(COUNTA($A71:$D71)=0,"",IF(COUNTIFS(DB_05[標準鍵],W71)=1,MATCH(W71,DB_05[標準鍵],0),0))</f>
        <v/>
      </c>
      <c r="V71" s="92">
        <f>IF(OR(J71="",A71=""),"",J71&amp;"|"&amp;A71)</f>
        <v/>
      </c>
      <c r="W71" s="92">
        <f>IF(OR('07_QAQC'!$C$3="",V71=""),"",'07_QAQC'!$C$3&amp;"|"&amp;V71)</f>
        <v/>
      </c>
      <c r="X71" s="92">
        <f>IF(OR(H71="",A71=""),"",LEN(H71)&amp;":"&amp;H71&amp;LEN(A71)&amp;":"&amp;A71)</f>
        <v/>
      </c>
      <c r="Y71" s="93">
        <f>IF(COUNTA($A71:$D71)=0,"",IF(I71=0,"樣品未建或重複",IF(INDEX(Samples[樣品檢查],I71)="","OK",INDEX(Samples[樣品檢查],I71))))</f>
        <v/>
      </c>
      <c r="Z71" s="93">
        <f>IF(COUNTA($A71:$D71)=0,"",IF(B71="","缺原始值",IF(OR(B71="-",B71="--"),"無資料",IF(N71="NA","不適用",IF(N71="ND","OK",IF(NOT(ISNUMBER(P71)),"格式待核",IF(AND(N71&lt;&gt;"數值",P71&lt;0),"界限不得為負","OK")))))))</f>
        <v/>
      </c>
      <c r="AA71" s="93">
        <f>IF(COUNTA(A71:D71)=0,"",IF(OR(A71="",H71=""),"缺識別欄位",IF(IF(LEN("="&amp;SUBSTITUTE(SUBSTITUTE(SUBSTITUTE(X71,"~","~~"),"*","~*"),"?","~?"))&lt;=255,COUNTIF(Results[結果識別鍵],"="&amp;SUBSTITUTE(SUBSTITUTE(SUBSTITUTE(X71,"~","~~"),"*","~*"),"?","~?")),COUNTIFS(Results[關聯鍵],"="&amp;SUBSTITUTE(SUBSTITUTE(SUBSTITUTE(H71,"~","~~"),"*","~*"),"?","~?"),Results[分析項目],"="&amp;SUBSTITUTE(SUBSTITUTE(SUBSTITUTE(A71,"~","~~"),"*","~*"),"?","~?")))&gt;1,"同關聯鍵測項重複","OK")))</f>
        <v/>
      </c>
      <c r="AB71" s="93">
        <f>IF(COUNTA($A71:$D71)=0,"",IF(OR(C71="",K71=""),"缺單位",IF(NOT(ISNUMBER(L71)),"單位不相容",IF(L71=1,"OK","已換算"))))</f>
        <v/>
      </c>
      <c r="AC71" s="93">
        <f>IF(COUNTA($A71:$D71)=0,"",IF('07_QAQC'!$C$3="","未選比較版本",IF(U71=0,IF(COUNTIFS(DB_05[標準鍵],W71)&gt;1,"標準鍵重複","未訂此介質／測項門檻"),IF(INDEX(DB_05[版本檢查],U71)&lt;&gt;"OK","標準主檔待核",IF(INDEX(DB_05[標準單位],U71)&lt;&gt;K71,"標準單位不符",IF(INDEX(DB_05[核對狀態],U71)="停用","停用",IF(F71="","缺採樣日期",IF(OR(AND(INDEX(DB_05[生效日],U71)&lt;&gt;"",F71&lt;INDEX(DB_05[生效日],U71)),AND(INDEX(DB_05[失效日],U71)&lt;&gt;"",F71&gt;INDEX(DB_05[失效日],U71))),"日期不適用",INDEX(DB_05[核對狀態],U71)))))))))</f>
        <v/>
      </c>
      <c r="AD71" s="93">
        <f>IF(COUNTA($A71:$D71)=0,"",IF(AC71="未訂此介質／測項門檻",AC71,IF(AC71&lt;&gt;"已核對","標準待核",IF(R71="","未訂管制值",IF(NOT(ISNUMBER(L71)),"單位待核",IF(N71="ND","無法判定（ND無界限）",IF(N71="NA","不適用",IF(Z71&lt;&gt;"OK",Z71,IF(N71="數值",IF(Q71&gt;=R71,"達管制值","未達管制值"),IF(OR(N71="&lt;",N71="&lt;="),IF(OR(Q71&lt;R71,AND(N71="&lt;",Q71=R71)),"未達管制值","無法判定"),IF(OR(N71="&gt;",N71="&gt;="),IF(Q71&gt;=R71,"達管制值","無法判定"),"格式待核")))))))))))</f>
        <v/>
      </c>
      <c r="AE71" s="93">
        <f>IF(COUNTA($A71:$D71)=0,"",IF(AC71="未訂此介質／測項門檻",AC71,IF(AC71&lt;&gt;"已核對","標準待核",IF(S71="","未訂監測值",IF(NOT(ISNUMBER(L71)),"單位待核",IF(N71="ND","無法判定（ND無界限）",IF(N71="NA","不適用",IF(Z71&lt;&gt;"OK",Z71,IF(N71="數值",IF(Q71&gt;=S71,"達監測值","未達監測值"),IF(OR(N71="&lt;",N71="&lt;="),IF(OR(Q71&lt;S71,AND(N71="&lt;",Q71=S71)),"未達監測值","無法判定"),IF(OR(N71="&gt;",N71="&gt;="),IF(Q71&gt;=S71,"達監測值","無法判定"),"格式待核")))))))))))</f>
        <v/>
      </c>
      <c r="AF71" s="93">
        <f>IF(COUNTA($A71:$D71)=0,"",IF(OR(E71="",A71="",B71="",C71=""),"缺必要欄位",IF(Y71&lt;&gt;"OK","樣品資料待補",IF(T71=0,"測項未建或重複",IF(INDEX(DB_04[啟用],T71)&lt;&gt;"是","測項停用",IF(AND(Z71&lt;&gt;"OK",Z71&lt;&gt;"不適用"),Z71,IF(AND(AB71&lt;&gt;"OK",AB71&lt;&gt;"已換算"),"單位待核",IF(AA71&lt;&gt;"OK",AA71,"OK"))))))))</f>
        <v/>
      </c>
      <c r="AG71" s="93">
        <f>IF(COUNTA($A71:$D71)=0,"",IF(N71="ND","ND取0",IF(OR(N71="&lt;",N71="&lt;="),"界限除以2",IF(N71="NA","不適用",IF(OR(N71="&gt;",N71="&gt;="),"保留界限數值","保留原數值")))))</f>
        <v/>
      </c>
      <c r="AH71" s="92">
        <f>IF(O71="","",IFERROR(_xlfn.NUMBERVALUE(O71,".",","),""))</f>
        <v/>
      </c>
      <c r="AI71" s="92">
        <f>IF(H71="","",IFERROR(MATCH(H71,Samples[樣品編號],0),0))</f>
        <v/>
      </c>
    </row>
    <row r="72">
      <c r="A72" s="27" t="inlineStr">
        <is>
          <t>ORP</t>
        </is>
      </c>
      <c r="B72" s="28" t="inlineStr">
        <is>
          <t>-30</t>
        </is>
      </c>
      <c r="C72" s="27" t="inlineStr">
        <is>
          <t>mV</t>
        </is>
      </c>
      <c r="D72" s="39" t="inlineStr">
        <is>
          <t>合成資料，非實測；method=field; reference_electrode=Ag/AgCl; calibration=verified</t>
        </is>
      </c>
      <c r="E72" s="29">
        <f>IF(OR(I72="",I72=0),"",IF(INDEX(Samples[監測點],I72)="","",INDEX(Samples[監測點],I72)))</f>
        <v/>
      </c>
      <c r="F72" s="90">
        <f>IF(OR(I72="",I72=0),"",IF(INDEX(Samples[採樣日期],I72)="","",INDEX(Samples[採樣日期],I72)))</f>
        <v/>
      </c>
      <c r="G72" s="91">
        <f>IF(OR(M72="",M72="NA",M72="N/A"),"",IF(OR(M72="ND",M72="N.D."),0,IFERROR(IF(OR(OR(ISNUMBER(SEARCH("%",O72)),ISNUMBER(SEARCH(" ",O72)),ISNUMBER(SEARCH(",",O72))),OR(SUBSTITUTE(SUBSTITUTE(SUBSTITUTE(SUBSTITUTE(SUBSTITUTE(SUBSTITUTE(SUBSTITUTE(SUBSTITUTE(SUBSTITUTE(SUBSTITUTE(SUBSTITUTE(SUBSTITUTE(SUBSTITUTE(SUBSTITUTE(SUBSTITUTE(SUBSTITUTE(SUBSTITUTE(SUBSTITUTE("x"&amp;M72,"0",""),"1",""),"2",""),"3",""),"4",""),"5",""),"6",""),"7",""),"8",""),"9",""),".",""),"E",""),"+",""),"-",""),"&lt;",""),"&gt;",""),"=","")," ","")&lt;&gt;"x",ISNUMBER(SEARCH("-",SUBSTITUTE(SUBSTITUTE("x"&amp;MID(M72,2,99),"E-","E"),"E+","E"))),ISNUMBER(SEARCH("+",SUBSTITUTE(SUBSTITUTE("x"&amp;MID(M72,2,99),"E-","E"),"E+","E"))))),"",IF(AND(OR(LEFT(M72,1)="&lt;",LEFT(M72,1)="&gt;"),IF(O72="",0,IF(ISNUMBER(AH72),AH72,NA()))&lt;0),"",IF(O72="",0,IF(ISNUMBER(AH72),AH72,NA()))/IF(LEFT(M72,1)="&lt;",2,1))),"")))</f>
        <v/>
      </c>
      <c r="H72" s="57" t="inlineStr">
        <is>
          <t>BH02-W_20260115_03</t>
        </is>
      </c>
      <c r="I72" s="92">
        <f>IF(OR(H72="",AI72=0),0,IF(INDEX(Samples[樣品重複筆數],AI72)=1,AI72,0))</f>
        <v/>
      </c>
      <c r="J72" s="92">
        <f>IF(OR(COUNTA($A72:$D72)=0,I72=0),"",IF(INDEX(Samples[介質],I72)="","",INDEX(Samples[介質],I72)))</f>
        <v/>
      </c>
      <c r="K72" s="92">
        <f>IF(OR(COUNTA($A72:$D72)=0,T72=0),"",IF(INDEX(DB_04[標準單位],T72)="","",INDEX(DB_04[標準單位],T72)))</f>
        <v/>
      </c>
      <c r="L72" s="92">
        <f>IF(COUNTA($A72:$D72)=0,"",IF(OR(C72="",K72=""),"",IF(C72=K72,1,IF(COUNTIFS(DB_06[換算鍵],C72&amp;"|"&amp;K72,DB_06[換算檢查],"OK")=1,INDEX(DB_06[乘數],MATCH(C72&amp;"|"&amp;K72,DB_06[換算鍵],0)),""))))</f>
        <v/>
      </c>
      <c r="M72" s="92">
        <f>UPPER(SUBSTITUTE(SUBSTITUTE(SUBSTITUTE(SUBSTITUTE(TRIM(B72&amp;""),"＜","&lt;"),"＞","&gt;"),"≤","&lt;="),"≥","&gt;="))</f>
        <v/>
      </c>
      <c r="N72" s="92">
        <f>IF(M72="","",IF(OR(M72="ND",M72="N.D."),"ND",IF(OR(M72="NA",M72="N/A",M72="N.A."),"NA",IF(OR(LEFT(M72,2)="&lt;=",LEFT(M72,2)="&gt;="),LEFT(M72,2),IF(OR(LEFT(M72,1)="&lt;",LEFT(M72,1)="&gt;"),LEFT(M72,1),"數值")))))</f>
        <v/>
      </c>
      <c r="O72" s="92">
        <f>IF(OR(N72="",N72="ND",N72="NA"),"",IF(N72="數值",M72,TRIM(MID(M72,LEN(N72)+1,99))))</f>
        <v/>
      </c>
      <c r="P72" s="92">
        <f>IF(O72="","",IFERROR(IF(OR(OR(ISNUMBER(SEARCH("%",O72)),ISNUMBER(SEARCH(" ",O72)),ISNUMBER(SEARCH(",",O72))),OR(SUBSTITUTE(SUBSTITUTE(SUBSTITUTE(SUBSTITUTE(SUBSTITUTE(SUBSTITUTE(SUBSTITUTE(SUBSTITUTE(SUBSTITUTE(SUBSTITUTE(SUBSTITUTE(SUBSTITUTE(SUBSTITUTE(SUBSTITUTE(SUBSTITUTE(SUBSTITUTE(SUBSTITUTE(SUBSTITUTE("x"&amp;O72,"0",""),"1",""),"2",""),"3",""),"4",""),"5",""),"6",""),"7",""),"8",""),"9",""),".",""),"E",""),"+",""),"-",""),"&lt;",""),"&gt;",""),"=","")," ","")&lt;&gt;"x",ISNUMBER(SEARCH("-",SUBSTITUTE(SUBSTITUTE("x"&amp;MID(O72,2,99),"E-","E"),"E+","E"))),ISNUMBER(SEARCH("+",SUBSTITUTE(SUBSTITUTE("x"&amp;MID(O72,2,99),"E-","E"),"E+","E"))))),"",IF(ISNUMBER(AH72),AH72,NA())),""))</f>
        <v/>
      </c>
      <c r="Q72" s="92">
        <f>IF(AND(ISNUMBER(L72),ISNUMBER(P72)),L72*P72,"")</f>
        <v/>
      </c>
      <c r="R72" s="92">
        <f>IF(OR(COUNTA($A72:$D72)=0,U72=0),"",IF(INDEX(DB_05[管制設定值],U72)="","",INDEX(DB_05[管制設定值],U72)))</f>
        <v/>
      </c>
      <c r="S72" s="92">
        <f>IF(OR(COUNTA($A72:$D72)=0,U72=0),"",IF(INDEX(DB_05[監測設定值],U72)="","",INDEX(DB_05[監測設定值],U72)))</f>
        <v/>
      </c>
      <c r="T72" s="92">
        <f>IF(COUNTA($A72:$D72)=0,"",IF(COUNTIFS(DB_04[測項鍵],V72)=1,MATCH(V72,DB_04[測項鍵],0),0))</f>
        <v/>
      </c>
      <c r="U72" s="92">
        <f>IF(COUNTA($A72:$D72)=0,"",IF(COUNTIFS(DB_05[標準鍵],W72)=1,MATCH(W72,DB_05[標準鍵],0),0))</f>
        <v/>
      </c>
      <c r="V72" s="92">
        <f>IF(OR(J72="",A72=""),"",J72&amp;"|"&amp;A72)</f>
        <v/>
      </c>
      <c r="W72" s="92">
        <f>IF(OR('07_QAQC'!$C$3="",V72=""),"",'07_QAQC'!$C$3&amp;"|"&amp;V72)</f>
        <v/>
      </c>
      <c r="X72" s="92">
        <f>IF(OR(H72="",A72=""),"",LEN(H72)&amp;":"&amp;H72&amp;LEN(A72)&amp;":"&amp;A72)</f>
        <v/>
      </c>
      <c r="Y72" s="93">
        <f>IF(COUNTA($A72:$D72)=0,"",IF(I72=0,"樣品未建或重複",IF(INDEX(Samples[樣品檢查],I72)="","OK",INDEX(Samples[樣品檢查],I72))))</f>
        <v/>
      </c>
      <c r="Z72" s="93">
        <f>IF(COUNTA($A72:$D72)=0,"",IF(B72="","缺原始值",IF(OR(B72="-",B72="--"),"無資料",IF(N72="NA","不適用",IF(N72="ND","OK",IF(NOT(ISNUMBER(P72)),"格式待核",IF(AND(N72&lt;&gt;"數值",P72&lt;0),"界限不得為負","OK")))))))</f>
        <v/>
      </c>
      <c r="AA72" s="93">
        <f>IF(COUNTA(A72:D72)=0,"",IF(OR(A72="",H72=""),"缺識別欄位",IF(IF(LEN("="&amp;SUBSTITUTE(SUBSTITUTE(SUBSTITUTE(X72,"~","~~"),"*","~*"),"?","~?"))&lt;=255,COUNTIF(Results[結果識別鍵],"="&amp;SUBSTITUTE(SUBSTITUTE(SUBSTITUTE(X72,"~","~~"),"*","~*"),"?","~?")),COUNTIFS(Results[關聯鍵],"="&amp;SUBSTITUTE(SUBSTITUTE(SUBSTITUTE(H72,"~","~~"),"*","~*"),"?","~?"),Results[分析項目],"="&amp;SUBSTITUTE(SUBSTITUTE(SUBSTITUTE(A72,"~","~~"),"*","~*"),"?","~?")))&gt;1,"同關聯鍵測項重複","OK")))</f>
        <v/>
      </c>
      <c r="AB72" s="93">
        <f>IF(COUNTA($A72:$D72)=0,"",IF(OR(C72="",K72=""),"缺單位",IF(NOT(ISNUMBER(L72)),"單位不相容",IF(L72=1,"OK","已換算"))))</f>
        <v/>
      </c>
      <c r="AC72" s="93">
        <f>IF(COUNTA($A72:$D72)=0,"",IF('07_QAQC'!$C$3="","未選比較版本",IF(U72=0,IF(COUNTIFS(DB_05[標準鍵],W72)&gt;1,"標準鍵重複","未訂此介質／測項門檻"),IF(INDEX(DB_05[版本檢查],U72)&lt;&gt;"OK","標準主檔待核",IF(INDEX(DB_05[標準單位],U72)&lt;&gt;K72,"標準單位不符",IF(INDEX(DB_05[核對狀態],U72)="停用","停用",IF(F72="","缺採樣日期",IF(OR(AND(INDEX(DB_05[生效日],U72)&lt;&gt;"",F72&lt;INDEX(DB_05[生效日],U72)),AND(INDEX(DB_05[失效日],U72)&lt;&gt;"",F72&gt;INDEX(DB_05[失效日],U72))),"日期不適用",INDEX(DB_05[核對狀態],U72)))))))))</f>
        <v/>
      </c>
      <c r="AD72" s="93">
        <f>IF(COUNTA($A72:$D72)=0,"",IF(AC72="未訂此介質／測項門檻",AC72,IF(AC72&lt;&gt;"已核對","標準待核",IF(R72="","未訂管制值",IF(NOT(ISNUMBER(L72)),"單位待核",IF(N72="ND","無法判定（ND無界限）",IF(N72="NA","不適用",IF(Z72&lt;&gt;"OK",Z72,IF(N72="數值",IF(Q72&gt;=R72,"達管制值","未達管制值"),IF(OR(N72="&lt;",N72="&lt;="),IF(OR(Q72&lt;R72,AND(N72="&lt;",Q72=R72)),"未達管制值","無法判定"),IF(OR(N72="&gt;",N72="&gt;="),IF(Q72&gt;=R72,"達管制值","無法判定"),"格式待核")))))))))))</f>
        <v/>
      </c>
      <c r="AE72" s="93">
        <f>IF(COUNTA($A72:$D72)=0,"",IF(AC72="未訂此介質／測項門檻",AC72,IF(AC72&lt;&gt;"已核對","標準待核",IF(S72="","未訂監測值",IF(NOT(ISNUMBER(L72)),"單位待核",IF(N72="ND","無法判定（ND無界限）",IF(N72="NA","不適用",IF(Z72&lt;&gt;"OK",Z72,IF(N72="數值",IF(Q72&gt;=S72,"達監測值","未達監測值"),IF(OR(N72="&lt;",N72="&lt;="),IF(OR(Q72&lt;S72,AND(N72="&lt;",Q72=S72)),"未達監測值","無法判定"),IF(OR(N72="&gt;",N72="&gt;="),IF(Q72&gt;=S72,"達監測值","無法判定"),"格式待核")))))))))))</f>
        <v/>
      </c>
      <c r="AF72" s="93">
        <f>IF(COUNTA($A72:$D72)=0,"",IF(OR(E72="",A72="",B72="",C72=""),"缺必要欄位",IF(Y72&lt;&gt;"OK","樣品資料待補",IF(T72=0,"測項未建或重複",IF(INDEX(DB_04[啟用],T72)&lt;&gt;"是","測項停用",IF(AND(Z72&lt;&gt;"OK",Z72&lt;&gt;"不適用"),Z72,IF(AND(AB72&lt;&gt;"OK",AB72&lt;&gt;"已換算"),"單位待核",IF(AA72&lt;&gt;"OK",AA72,"OK"))))))))</f>
        <v/>
      </c>
      <c r="AG72" s="93">
        <f>IF(COUNTA($A72:$D72)=0,"",IF(N72="ND","ND取0",IF(OR(N72="&lt;",N72="&lt;="),"界限除以2",IF(N72="NA","不適用",IF(OR(N72="&gt;",N72="&gt;="),"保留界限數值","保留原數值")))))</f>
        <v/>
      </c>
      <c r="AH72" s="92">
        <f>IF(O72="","",IFERROR(_xlfn.NUMBERVALUE(O72,".",","),""))</f>
        <v/>
      </c>
      <c r="AI72" s="92">
        <f>IF(H72="","",IFERROR(MATCH(H72,Samples[樣品編號],0),0))</f>
        <v/>
      </c>
    </row>
    <row r="73">
      <c r="A73" s="27" t="inlineStr">
        <is>
          <t>總有機碳</t>
        </is>
      </c>
      <c r="B73" s="28" t="inlineStr">
        <is>
          <t>3.0</t>
        </is>
      </c>
      <c r="C73" s="27" t="inlineStr">
        <is>
          <t>mg/L</t>
        </is>
      </c>
      <c r="D73" s="39" t="inlineStr">
        <is>
          <t>合成資料，非實測；method=lab</t>
        </is>
      </c>
      <c r="E73" s="29">
        <f>IF(OR(I73="",I73=0),"",IF(INDEX(Samples[監測點],I73)="","",INDEX(Samples[監測點],I73)))</f>
        <v/>
      </c>
      <c r="F73" s="90">
        <f>IF(OR(I73="",I73=0),"",IF(INDEX(Samples[採樣日期],I73)="","",INDEX(Samples[採樣日期],I73)))</f>
        <v/>
      </c>
      <c r="G73" s="91">
        <f>IF(OR(M73="",M73="NA",M73="N/A"),"",IF(OR(M73="ND",M73="N.D."),0,IFERROR(IF(OR(OR(ISNUMBER(SEARCH("%",O73)),ISNUMBER(SEARCH(" ",O73)),ISNUMBER(SEARCH(",",O73))),OR(SUBSTITUTE(SUBSTITUTE(SUBSTITUTE(SUBSTITUTE(SUBSTITUTE(SUBSTITUTE(SUBSTITUTE(SUBSTITUTE(SUBSTITUTE(SUBSTITUTE(SUBSTITUTE(SUBSTITUTE(SUBSTITUTE(SUBSTITUTE(SUBSTITUTE(SUBSTITUTE(SUBSTITUTE(SUBSTITUTE("x"&amp;M73,"0",""),"1",""),"2",""),"3",""),"4",""),"5",""),"6",""),"7",""),"8",""),"9",""),".",""),"E",""),"+",""),"-",""),"&lt;",""),"&gt;",""),"=","")," ","")&lt;&gt;"x",ISNUMBER(SEARCH("-",SUBSTITUTE(SUBSTITUTE("x"&amp;MID(M73,2,99),"E-","E"),"E+","E"))),ISNUMBER(SEARCH("+",SUBSTITUTE(SUBSTITUTE("x"&amp;MID(M73,2,99),"E-","E"),"E+","E"))))),"",IF(AND(OR(LEFT(M73,1)="&lt;",LEFT(M73,1)="&gt;"),IF(O73="",0,IF(ISNUMBER(AH73),AH73,NA()))&lt;0),"",IF(O73="",0,IF(ISNUMBER(AH73),AH73,NA()))/IF(LEFT(M73,1)="&lt;",2,1))),"")))</f>
        <v/>
      </c>
      <c r="H73" s="57" t="inlineStr">
        <is>
          <t>BH02-W_20260115_03</t>
        </is>
      </c>
      <c r="I73" s="92">
        <f>IF(OR(H73="",AI73=0),0,IF(INDEX(Samples[樣品重複筆數],AI73)=1,AI73,0))</f>
        <v/>
      </c>
      <c r="J73" s="92">
        <f>IF(OR(COUNTA($A73:$D73)=0,I73=0),"",IF(INDEX(Samples[介質],I73)="","",INDEX(Samples[介質],I73)))</f>
        <v/>
      </c>
      <c r="K73" s="92">
        <f>IF(OR(COUNTA($A73:$D73)=0,T73=0),"",IF(INDEX(DB_04[標準單位],T73)="","",INDEX(DB_04[標準單位],T73)))</f>
        <v/>
      </c>
      <c r="L73" s="92">
        <f>IF(COUNTA($A73:$D73)=0,"",IF(OR(C73="",K73=""),"",IF(C73=K73,1,IF(COUNTIFS(DB_06[換算鍵],C73&amp;"|"&amp;K73,DB_06[換算檢查],"OK")=1,INDEX(DB_06[乘數],MATCH(C73&amp;"|"&amp;K73,DB_06[換算鍵],0)),""))))</f>
        <v/>
      </c>
      <c r="M73" s="92">
        <f>UPPER(SUBSTITUTE(SUBSTITUTE(SUBSTITUTE(SUBSTITUTE(TRIM(B73&amp;""),"＜","&lt;"),"＞","&gt;"),"≤","&lt;="),"≥","&gt;="))</f>
        <v/>
      </c>
      <c r="N73" s="92">
        <f>IF(M73="","",IF(OR(M73="ND",M73="N.D."),"ND",IF(OR(M73="NA",M73="N/A",M73="N.A."),"NA",IF(OR(LEFT(M73,2)="&lt;=",LEFT(M73,2)="&gt;="),LEFT(M73,2),IF(OR(LEFT(M73,1)="&lt;",LEFT(M73,1)="&gt;"),LEFT(M73,1),"數值")))))</f>
        <v/>
      </c>
      <c r="O73" s="92">
        <f>IF(OR(N73="",N73="ND",N73="NA"),"",IF(N73="數值",M73,TRIM(MID(M73,LEN(N73)+1,99))))</f>
        <v/>
      </c>
      <c r="P73" s="92">
        <f>IF(O73="","",IFERROR(IF(OR(OR(ISNUMBER(SEARCH("%",O73)),ISNUMBER(SEARCH(" ",O73)),ISNUMBER(SEARCH(",",O73))),OR(SUBSTITUTE(SUBSTITUTE(SUBSTITUTE(SUBSTITUTE(SUBSTITUTE(SUBSTITUTE(SUBSTITUTE(SUBSTITUTE(SUBSTITUTE(SUBSTITUTE(SUBSTITUTE(SUBSTITUTE(SUBSTITUTE(SUBSTITUTE(SUBSTITUTE(SUBSTITUTE(SUBSTITUTE(SUBSTITUTE("x"&amp;O73,"0",""),"1",""),"2",""),"3",""),"4",""),"5",""),"6",""),"7",""),"8",""),"9",""),".",""),"E",""),"+",""),"-",""),"&lt;",""),"&gt;",""),"=","")," ","")&lt;&gt;"x",ISNUMBER(SEARCH("-",SUBSTITUTE(SUBSTITUTE("x"&amp;MID(O73,2,99),"E-","E"),"E+","E"))),ISNUMBER(SEARCH("+",SUBSTITUTE(SUBSTITUTE("x"&amp;MID(O73,2,99),"E-","E"),"E+","E"))))),"",IF(ISNUMBER(AH73),AH73,NA())),""))</f>
        <v/>
      </c>
      <c r="Q73" s="92">
        <f>IF(AND(ISNUMBER(L73),ISNUMBER(P73)),L73*P73,"")</f>
        <v/>
      </c>
      <c r="R73" s="92">
        <f>IF(OR(COUNTA($A73:$D73)=0,U73=0),"",IF(INDEX(DB_05[管制設定值],U73)="","",INDEX(DB_05[管制設定值],U73)))</f>
        <v/>
      </c>
      <c r="S73" s="92">
        <f>IF(OR(COUNTA($A73:$D73)=0,U73=0),"",IF(INDEX(DB_05[監測設定值],U73)="","",INDEX(DB_05[監測設定值],U73)))</f>
        <v/>
      </c>
      <c r="T73" s="92">
        <f>IF(COUNTA($A73:$D73)=0,"",IF(COUNTIFS(DB_04[測項鍵],V73)=1,MATCH(V73,DB_04[測項鍵],0),0))</f>
        <v/>
      </c>
      <c r="U73" s="92">
        <f>IF(COUNTA($A73:$D73)=0,"",IF(COUNTIFS(DB_05[標準鍵],W73)=1,MATCH(W73,DB_05[標準鍵],0),0))</f>
        <v/>
      </c>
      <c r="V73" s="92">
        <f>IF(OR(J73="",A73=""),"",J73&amp;"|"&amp;A73)</f>
        <v/>
      </c>
      <c r="W73" s="92">
        <f>IF(OR('07_QAQC'!$C$3="",V73=""),"",'07_QAQC'!$C$3&amp;"|"&amp;V73)</f>
        <v/>
      </c>
      <c r="X73" s="92">
        <f>IF(OR(H73="",A73=""),"",LEN(H73)&amp;":"&amp;H73&amp;LEN(A73)&amp;":"&amp;A73)</f>
        <v/>
      </c>
      <c r="Y73" s="93">
        <f>IF(COUNTA($A73:$D73)=0,"",IF(I73=0,"樣品未建或重複",IF(INDEX(Samples[樣品檢查],I73)="","OK",INDEX(Samples[樣品檢查],I73))))</f>
        <v/>
      </c>
      <c r="Z73" s="93">
        <f>IF(COUNTA($A73:$D73)=0,"",IF(B73="","缺原始值",IF(OR(B73="-",B73="--"),"無資料",IF(N73="NA","不適用",IF(N73="ND","OK",IF(NOT(ISNUMBER(P73)),"格式待核",IF(AND(N73&lt;&gt;"數值",P73&lt;0),"界限不得為負","OK")))))))</f>
        <v/>
      </c>
      <c r="AA73" s="93">
        <f>IF(COUNTA(A73:D73)=0,"",IF(OR(A73="",H73=""),"缺識別欄位",IF(IF(LEN("="&amp;SUBSTITUTE(SUBSTITUTE(SUBSTITUTE(X73,"~","~~"),"*","~*"),"?","~?"))&lt;=255,COUNTIF(Results[結果識別鍵],"="&amp;SUBSTITUTE(SUBSTITUTE(SUBSTITUTE(X73,"~","~~"),"*","~*"),"?","~?")),COUNTIFS(Results[關聯鍵],"="&amp;SUBSTITUTE(SUBSTITUTE(SUBSTITUTE(H73,"~","~~"),"*","~*"),"?","~?"),Results[分析項目],"="&amp;SUBSTITUTE(SUBSTITUTE(SUBSTITUTE(A73,"~","~~"),"*","~*"),"?","~?")))&gt;1,"同關聯鍵測項重複","OK")))</f>
        <v/>
      </c>
      <c r="AB73" s="93">
        <f>IF(COUNTA($A73:$D73)=0,"",IF(OR(C73="",K73=""),"缺單位",IF(NOT(ISNUMBER(L73)),"單位不相容",IF(L73=1,"OK","已換算"))))</f>
        <v/>
      </c>
      <c r="AC73" s="93">
        <f>IF(COUNTA($A73:$D73)=0,"",IF('07_QAQC'!$C$3="","未選比較版本",IF(U73=0,IF(COUNTIFS(DB_05[標準鍵],W73)&gt;1,"標準鍵重複","未訂此介質／測項門檻"),IF(INDEX(DB_05[版本檢查],U73)&lt;&gt;"OK","標準主檔待核",IF(INDEX(DB_05[標準單位],U73)&lt;&gt;K73,"標準單位不符",IF(INDEX(DB_05[核對狀態],U73)="停用","停用",IF(F73="","缺採樣日期",IF(OR(AND(INDEX(DB_05[生效日],U73)&lt;&gt;"",F73&lt;INDEX(DB_05[生效日],U73)),AND(INDEX(DB_05[失效日],U73)&lt;&gt;"",F73&gt;INDEX(DB_05[失效日],U73))),"日期不適用",INDEX(DB_05[核對狀態],U73)))))))))</f>
        <v/>
      </c>
      <c r="AD73" s="93">
        <f>IF(COUNTA($A73:$D73)=0,"",IF(AC73="未訂此介質／測項門檻",AC73,IF(AC73&lt;&gt;"已核對","標準待核",IF(R73="","未訂管制值",IF(NOT(ISNUMBER(L73)),"單位待核",IF(N73="ND","無法判定（ND無界限）",IF(N73="NA","不適用",IF(Z73&lt;&gt;"OK",Z73,IF(N73="數值",IF(Q73&gt;=R73,"達管制值","未達管制值"),IF(OR(N73="&lt;",N73="&lt;="),IF(OR(Q73&lt;R73,AND(N73="&lt;",Q73=R73)),"未達管制值","無法判定"),IF(OR(N73="&gt;",N73="&gt;="),IF(Q73&gt;=R73,"達管制值","無法判定"),"格式待核")))))))))))</f>
        <v/>
      </c>
      <c r="AE73" s="93">
        <f>IF(COUNTA($A73:$D73)=0,"",IF(AC73="未訂此介質／測項門檻",AC73,IF(AC73&lt;&gt;"已核對","標準待核",IF(S73="","未訂監測值",IF(NOT(ISNUMBER(L73)),"單位待核",IF(N73="ND","無法判定（ND無界限）",IF(N73="NA","不適用",IF(Z73&lt;&gt;"OK",Z73,IF(N73="數值",IF(Q73&gt;=S73,"達監測值","未達監測值"),IF(OR(N73="&lt;",N73="&lt;="),IF(OR(Q73&lt;S73,AND(N73="&lt;",Q73=S73)),"未達監測值","無法判定"),IF(OR(N73="&gt;",N73="&gt;="),IF(Q73&gt;=S73,"達監測值","無法判定"),"格式待核")))))))))))</f>
        <v/>
      </c>
      <c r="AF73" s="93">
        <f>IF(COUNTA($A73:$D73)=0,"",IF(OR(E73="",A73="",B73="",C73=""),"缺必要欄位",IF(Y73&lt;&gt;"OK","樣品資料待補",IF(T73=0,"測項未建或重複",IF(INDEX(DB_04[啟用],T73)&lt;&gt;"是","測項停用",IF(AND(Z73&lt;&gt;"OK",Z73&lt;&gt;"不適用"),Z73,IF(AND(AB73&lt;&gt;"OK",AB73&lt;&gt;"已換算"),"單位待核",IF(AA73&lt;&gt;"OK",AA73,"OK"))))))))</f>
        <v/>
      </c>
      <c r="AG73" s="93">
        <f>IF(COUNTA($A73:$D73)=0,"",IF(N73="ND","ND取0",IF(OR(N73="&lt;",N73="&lt;="),"界限除以2",IF(N73="NA","不適用",IF(OR(N73="&gt;",N73="&gt;="),"保留界限數值","保留原數值")))))</f>
        <v/>
      </c>
      <c r="AH73" s="92">
        <f>IF(O73="","",IFERROR(_xlfn.NUMBERVALUE(O73,".",","),""))</f>
        <v/>
      </c>
      <c r="AI73" s="92">
        <f>IF(H73="","",IFERROR(MATCH(H73,Samples[樣品編號],0),0))</f>
        <v/>
      </c>
    </row>
    <row r="74">
      <c r="A74" s="27" t="inlineStr">
        <is>
          <t>鋅</t>
        </is>
      </c>
      <c r="B74" s="28" t="inlineStr">
        <is>
          <t>98</t>
        </is>
      </c>
      <c r="C74" s="27" t="inlineStr">
        <is>
          <t>mg/kg</t>
        </is>
      </c>
      <c r="D74" s="39" t="inlineStr">
        <is>
          <t>合成資料，非實測；method=XRF; basis=dry</t>
        </is>
      </c>
      <c r="E74" s="29">
        <f>IF(OR(I74="",I74=0),"",IF(INDEX(Samples[監測點],I74)="","",INDEX(Samples[監測點],I74)))</f>
        <v/>
      </c>
      <c r="F74" s="90">
        <f>IF(OR(I74="",I74=0),"",IF(INDEX(Samples[採樣日期],I74)="","",INDEX(Samples[採樣日期],I74)))</f>
        <v/>
      </c>
      <c r="G74" s="91">
        <f>IF(OR(M74="",M74="NA",M74="N/A"),"",IF(OR(M74="ND",M74="N.D."),0,IFERROR(IF(OR(OR(ISNUMBER(SEARCH("%",O74)),ISNUMBER(SEARCH(" ",O74)),ISNUMBER(SEARCH(",",O74))),OR(SUBSTITUTE(SUBSTITUTE(SUBSTITUTE(SUBSTITUTE(SUBSTITUTE(SUBSTITUTE(SUBSTITUTE(SUBSTITUTE(SUBSTITUTE(SUBSTITUTE(SUBSTITUTE(SUBSTITUTE(SUBSTITUTE(SUBSTITUTE(SUBSTITUTE(SUBSTITUTE(SUBSTITUTE(SUBSTITUTE("x"&amp;M74,"0",""),"1",""),"2",""),"3",""),"4",""),"5",""),"6",""),"7",""),"8",""),"9",""),".",""),"E",""),"+",""),"-",""),"&lt;",""),"&gt;",""),"=","")," ","")&lt;&gt;"x",ISNUMBER(SEARCH("-",SUBSTITUTE(SUBSTITUTE("x"&amp;MID(M74,2,99),"E-","E"),"E+","E"))),ISNUMBER(SEARCH("+",SUBSTITUTE(SUBSTITUTE("x"&amp;MID(M74,2,99),"E-","E"),"E+","E"))))),"",IF(AND(OR(LEFT(M74,1)="&lt;",LEFT(M74,1)="&gt;"),IF(O74="",0,IF(ISNUMBER(AH74),AH74,NA()))&lt;0),"",IF(O74="",0,IF(ISNUMBER(AH74),AH74,NA()))/IF(LEFT(M74,1)="&lt;",2,1))),"")))</f>
        <v/>
      </c>
      <c r="H74" s="57" t="inlineStr">
        <is>
          <t>BH02-S_20260415_01</t>
        </is>
      </c>
      <c r="I74" s="92">
        <f>IF(OR(H74="",AI74=0),0,IF(INDEX(Samples[樣品重複筆數],AI74)=1,AI74,0))</f>
        <v/>
      </c>
      <c r="J74" s="92">
        <f>IF(OR(COUNTA($A74:$D74)=0,I74=0),"",IF(INDEX(Samples[介質],I74)="","",INDEX(Samples[介質],I74)))</f>
        <v/>
      </c>
      <c r="K74" s="92">
        <f>IF(OR(COUNTA($A74:$D74)=0,T74=0),"",IF(INDEX(DB_04[標準單位],T74)="","",INDEX(DB_04[標準單位],T74)))</f>
        <v/>
      </c>
      <c r="L74" s="92">
        <f>IF(COUNTA($A74:$D74)=0,"",IF(OR(C74="",K74=""),"",IF(C74=K74,1,IF(COUNTIFS(DB_06[換算鍵],C74&amp;"|"&amp;K74,DB_06[換算檢查],"OK")=1,INDEX(DB_06[乘數],MATCH(C74&amp;"|"&amp;K74,DB_06[換算鍵],0)),""))))</f>
        <v/>
      </c>
      <c r="M74" s="92">
        <f>UPPER(SUBSTITUTE(SUBSTITUTE(SUBSTITUTE(SUBSTITUTE(TRIM(B74&amp;""),"＜","&lt;"),"＞","&gt;"),"≤","&lt;="),"≥","&gt;="))</f>
        <v/>
      </c>
      <c r="N74" s="92">
        <f>IF(M74="","",IF(OR(M74="ND",M74="N.D."),"ND",IF(OR(M74="NA",M74="N/A",M74="N.A."),"NA",IF(OR(LEFT(M74,2)="&lt;=",LEFT(M74,2)="&gt;="),LEFT(M74,2),IF(OR(LEFT(M74,1)="&lt;",LEFT(M74,1)="&gt;"),LEFT(M74,1),"數值")))))</f>
        <v/>
      </c>
      <c r="O74" s="92">
        <f>IF(OR(N74="",N74="ND",N74="NA"),"",IF(N74="數值",M74,TRIM(MID(M74,LEN(N74)+1,99))))</f>
        <v/>
      </c>
      <c r="P74" s="92">
        <f>IF(O74="","",IFERROR(IF(OR(OR(ISNUMBER(SEARCH("%",O74)),ISNUMBER(SEARCH(" ",O74)),ISNUMBER(SEARCH(",",O74))),OR(SUBSTITUTE(SUBSTITUTE(SUBSTITUTE(SUBSTITUTE(SUBSTITUTE(SUBSTITUTE(SUBSTITUTE(SUBSTITUTE(SUBSTITUTE(SUBSTITUTE(SUBSTITUTE(SUBSTITUTE(SUBSTITUTE(SUBSTITUTE(SUBSTITUTE(SUBSTITUTE(SUBSTITUTE(SUBSTITUTE("x"&amp;O74,"0",""),"1",""),"2",""),"3",""),"4",""),"5",""),"6",""),"7",""),"8",""),"9",""),".",""),"E",""),"+",""),"-",""),"&lt;",""),"&gt;",""),"=","")," ","")&lt;&gt;"x",ISNUMBER(SEARCH("-",SUBSTITUTE(SUBSTITUTE("x"&amp;MID(O74,2,99),"E-","E"),"E+","E"))),ISNUMBER(SEARCH("+",SUBSTITUTE(SUBSTITUTE("x"&amp;MID(O74,2,99),"E-","E"),"E+","E"))))),"",IF(ISNUMBER(AH74),AH74,NA())),""))</f>
        <v/>
      </c>
      <c r="Q74" s="92">
        <f>IF(AND(ISNUMBER(L74),ISNUMBER(P74)),L74*P74,"")</f>
        <v/>
      </c>
      <c r="R74" s="92">
        <f>IF(OR(COUNTA($A74:$D74)=0,U74=0),"",IF(INDEX(DB_05[管制設定值],U74)="","",INDEX(DB_05[管制設定值],U74)))</f>
        <v/>
      </c>
      <c r="S74" s="92">
        <f>IF(OR(COUNTA($A74:$D74)=0,U74=0),"",IF(INDEX(DB_05[監測設定值],U74)="","",INDEX(DB_05[監測設定值],U74)))</f>
        <v/>
      </c>
      <c r="T74" s="92">
        <f>IF(COUNTA($A74:$D74)=0,"",IF(COUNTIFS(DB_04[測項鍵],V74)=1,MATCH(V74,DB_04[測項鍵],0),0))</f>
        <v/>
      </c>
      <c r="U74" s="92">
        <f>IF(COUNTA($A74:$D74)=0,"",IF(COUNTIFS(DB_05[標準鍵],W74)=1,MATCH(W74,DB_05[標準鍵],0),0))</f>
        <v/>
      </c>
      <c r="V74" s="92">
        <f>IF(OR(J74="",A74=""),"",J74&amp;"|"&amp;A74)</f>
        <v/>
      </c>
      <c r="W74" s="92">
        <f>IF(OR('07_QAQC'!$C$3="",V74=""),"",'07_QAQC'!$C$3&amp;"|"&amp;V74)</f>
        <v/>
      </c>
      <c r="X74" s="92">
        <f>IF(OR(H74="",A74=""),"",LEN(H74)&amp;":"&amp;H74&amp;LEN(A74)&amp;":"&amp;A74)</f>
        <v/>
      </c>
      <c r="Y74" s="93">
        <f>IF(COUNTA($A74:$D74)=0,"",IF(I74=0,"樣品未建或重複",IF(INDEX(Samples[樣品檢查],I74)="","OK",INDEX(Samples[樣品檢查],I74))))</f>
        <v/>
      </c>
      <c r="Z74" s="93">
        <f>IF(COUNTA($A74:$D74)=0,"",IF(B74="","缺原始值",IF(OR(B74="-",B74="--"),"無資料",IF(N74="NA","不適用",IF(N74="ND","OK",IF(NOT(ISNUMBER(P74)),"格式待核",IF(AND(N74&lt;&gt;"數值",P74&lt;0),"界限不得為負","OK")))))))</f>
        <v/>
      </c>
      <c r="AA74" s="93">
        <f>IF(COUNTA(A74:D74)=0,"",IF(OR(A74="",H74=""),"缺識別欄位",IF(IF(LEN("="&amp;SUBSTITUTE(SUBSTITUTE(SUBSTITUTE(X74,"~","~~"),"*","~*"),"?","~?"))&lt;=255,COUNTIF(Results[結果識別鍵],"="&amp;SUBSTITUTE(SUBSTITUTE(SUBSTITUTE(X74,"~","~~"),"*","~*"),"?","~?")),COUNTIFS(Results[關聯鍵],"="&amp;SUBSTITUTE(SUBSTITUTE(SUBSTITUTE(H74,"~","~~"),"*","~*"),"?","~?"),Results[分析項目],"="&amp;SUBSTITUTE(SUBSTITUTE(SUBSTITUTE(A74,"~","~~"),"*","~*"),"?","~?")))&gt;1,"同關聯鍵測項重複","OK")))</f>
        <v/>
      </c>
      <c r="AB74" s="93">
        <f>IF(COUNTA($A74:$D74)=0,"",IF(OR(C74="",K74=""),"缺單位",IF(NOT(ISNUMBER(L74)),"單位不相容",IF(L74=1,"OK","已換算"))))</f>
        <v/>
      </c>
      <c r="AC74" s="93">
        <f>IF(COUNTA($A74:$D74)=0,"",IF('07_QAQC'!$C$3="","未選比較版本",IF(U74=0,IF(COUNTIFS(DB_05[標準鍵],W74)&gt;1,"標準鍵重複","未訂此介質／測項門檻"),IF(INDEX(DB_05[版本檢查],U74)&lt;&gt;"OK","標準主檔待核",IF(INDEX(DB_05[標準單位],U74)&lt;&gt;K74,"標準單位不符",IF(INDEX(DB_05[核對狀態],U74)="停用","停用",IF(F74="","缺採樣日期",IF(OR(AND(INDEX(DB_05[生效日],U74)&lt;&gt;"",F74&lt;INDEX(DB_05[生效日],U74)),AND(INDEX(DB_05[失效日],U74)&lt;&gt;"",F74&gt;INDEX(DB_05[失效日],U74))),"日期不適用",INDEX(DB_05[核對狀態],U74)))))))))</f>
        <v/>
      </c>
      <c r="AD74" s="93">
        <f>IF(COUNTA($A74:$D74)=0,"",IF(AC74="未訂此介質／測項門檻",AC74,IF(AC74&lt;&gt;"已核對","標準待核",IF(R74="","未訂管制值",IF(NOT(ISNUMBER(L74)),"單位待核",IF(N74="ND","無法判定（ND無界限）",IF(N74="NA","不適用",IF(Z74&lt;&gt;"OK",Z74,IF(N74="數值",IF(Q74&gt;=R74,"達管制值","未達管制值"),IF(OR(N74="&lt;",N74="&lt;="),IF(OR(Q74&lt;R74,AND(N74="&lt;",Q74=R74)),"未達管制值","無法判定"),IF(OR(N74="&gt;",N74="&gt;="),IF(Q74&gt;=R74,"達管制值","無法判定"),"格式待核")))))))))))</f>
        <v/>
      </c>
      <c r="AE74" s="93">
        <f>IF(COUNTA($A74:$D74)=0,"",IF(AC74="未訂此介質／測項門檻",AC74,IF(AC74&lt;&gt;"已核對","標準待核",IF(S74="","未訂監測值",IF(NOT(ISNUMBER(L74)),"單位待核",IF(N74="ND","無法判定（ND無界限）",IF(N74="NA","不適用",IF(Z74&lt;&gt;"OK",Z74,IF(N74="數值",IF(Q74&gt;=S74,"達監測值","未達監測值"),IF(OR(N74="&lt;",N74="&lt;="),IF(OR(Q74&lt;S74,AND(N74="&lt;",Q74=S74)),"未達監測值","無法判定"),IF(OR(N74="&gt;",N74="&gt;="),IF(Q74&gt;=S74,"達監測值","無法判定"),"格式待核")))))))))))</f>
        <v/>
      </c>
      <c r="AF74" s="93">
        <f>IF(COUNTA($A74:$D74)=0,"",IF(OR(E74="",A74="",B74="",C74=""),"缺必要欄位",IF(Y74&lt;&gt;"OK","樣品資料待補",IF(T74=0,"測項未建或重複",IF(INDEX(DB_04[啟用],T74)&lt;&gt;"是","測項停用",IF(AND(Z74&lt;&gt;"OK",Z74&lt;&gt;"不適用"),Z74,IF(AND(AB74&lt;&gt;"OK",AB74&lt;&gt;"已換算"),"單位待核",IF(AA74&lt;&gt;"OK",AA74,"OK"))))))))</f>
        <v/>
      </c>
      <c r="AG74" s="93">
        <f>IF(COUNTA($A74:$D74)=0,"",IF(N74="ND","ND取0",IF(OR(N74="&lt;",N74="&lt;="),"界限除以2",IF(N74="NA","不適用",IF(OR(N74="&gt;",N74="&gt;="),"保留界限數值","保留原數值")))))</f>
        <v/>
      </c>
      <c r="AH74" s="92">
        <f>IF(O74="","",IFERROR(_xlfn.NUMBERVALUE(O74,".",","),""))</f>
        <v/>
      </c>
      <c r="AI74" s="92">
        <f>IF(H74="","",IFERROR(MATCH(H74,Samples[樣品編號],0),0))</f>
        <v/>
      </c>
    </row>
    <row r="75">
      <c r="A75" s="27" t="inlineStr">
        <is>
          <t>總有機碳</t>
        </is>
      </c>
      <c r="B75" s="28" t="inlineStr">
        <is>
          <t>0.32</t>
        </is>
      </c>
      <c r="C75" s="27" t="inlineStr">
        <is>
          <t>%</t>
        </is>
      </c>
      <c r="D75" s="39" t="inlineStr">
        <is>
          <t>合成資料，非實測；method=lab; basis=dry</t>
        </is>
      </c>
      <c r="E75" s="29">
        <f>IF(OR(I75="",I75=0),"",IF(INDEX(Samples[監測點],I75)="","",INDEX(Samples[監測點],I75)))</f>
        <v/>
      </c>
      <c r="F75" s="90">
        <f>IF(OR(I75="",I75=0),"",IF(INDEX(Samples[採樣日期],I75)="","",INDEX(Samples[採樣日期],I75)))</f>
        <v/>
      </c>
      <c r="G75" s="91">
        <f>IF(OR(M75="",M75="NA",M75="N/A"),"",IF(OR(M75="ND",M75="N.D."),0,IFERROR(IF(OR(OR(ISNUMBER(SEARCH("%",O75)),ISNUMBER(SEARCH(" ",O75)),ISNUMBER(SEARCH(",",O75))),OR(SUBSTITUTE(SUBSTITUTE(SUBSTITUTE(SUBSTITUTE(SUBSTITUTE(SUBSTITUTE(SUBSTITUTE(SUBSTITUTE(SUBSTITUTE(SUBSTITUTE(SUBSTITUTE(SUBSTITUTE(SUBSTITUTE(SUBSTITUTE(SUBSTITUTE(SUBSTITUTE(SUBSTITUTE(SUBSTITUTE("x"&amp;M75,"0",""),"1",""),"2",""),"3",""),"4",""),"5",""),"6",""),"7",""),"8",""),"9",""),".",""),"E",""),"+",""),"-",""),"&lt;",""),"&gt;",""),"=","")," ","")&lt;&gt;"x",ISNUMBER(SEARCH("-",SUBSTITUTE(SUBSTITUTE("x"&amp;MID(M75,2,99),"E-","E"),"E+","E"))),ISNUMBER(SEARCH("+",SUBSTITUTE(SUBSTITUTE("x"&amp;MID(M75,2,99),"E-","E"),"E+","E"))))),"",IF(AND(OR(LEFT(M75,1)="&lt;",LEFT(M75,1)="&gt;"),IF(O75="",0,IF(ISNUMBER(AH75),AH75,NA()))&lt;0),"",IF(O75="",0,IF(ISNUMBER(AH75),AH75,NA()))/IF(LEFT(M75,1)="&lt;",2,1))),"")))</f>
        <v/>
      </c>
      <c r="H75" s="57" t="inlineStr">
        <is>
          <t>BH02-S_20260415_01</t>
        </is>
      </c>
      <c r="I75" s="92">
        <f>IF(OR(H75="",AI75=0),0,IF(INDEX(Samples[樣品重複筆數],AI75)=1,AI75,0))</f>
        <v/>
      </c>
      <c r="J75" s="92">
        <f>IF(OR(COUNTA($A75:$D75)=0,I75=0),"",IF(INDEX(Samples[介質],I75)="","",INDEX(Samples[介質],I75)))</f>
        <v/>
      </c>
      <c r="K75" s="92">
        <f>IF(OR(COUNTA($A75:$D75)=0,T75=0),"",IF(INDEX(DB_04[標準單位],T75)="","",INDEX(DB_04[標準單位],T75)))</f>
        <v/>
      </c>
      <c r="L75" s="92">
        <f>IF(COUNTA($A75:$D75)=0,"",IF(OR(C75="",K75=""),"",IF(C75=K75,1,IF(COUNTIFS(DB_06[換算鍵],C75&amp;"|"&amp;K75,DB_06[換算檢查],"OK")=1,INDEX(DB_06[乘數],MATCH(C75&amp;"|"&amp;K75,DB_06[換算鍵],0)),""))))</f>
        <v/>
      </c>
      <c r="M75" s="92">
        <f>UPPER(SUBSTITUTE(SUBSTITUTE(SUBSTITUTE(SUBSTITUTE(TRIM(B75&amp;""),"＜","&lt;"),"＞","&gt;"),"≤","&lt;="),"≥","&gt;="))</f>
        <v/>
      </c>
      <c r="N75" s="92">
        <f>IF(M75="","",IF(OR(M75="ND",M75="N.D."),"ND",IF(OR(M75="NA",M75="N/A",M75="N.A."),"NA",IF(OR(LEFT(M75,2)="&lt;=",LEFT(M75,2)="&gt;="),LEFT(M75,2),IF(OR(LEFT(M75,1)="&lt;",LEFT(M75,1)="&gt;"),LEFT(M75,1),"數值")))))</f>
        <v/>
      </c>
      <c r="O75" s="92">
        <f>IF(OR(N75="",N75="ND",N75="NA"),"",IF(N75="數值",M75,TRIM(MID(M75,LEN(N75)+1,99))))</f>
        <v/>
      </c>
      <c r="P75" s="92">
        <f>IF(O75="","",IFERROR(IF(OR(OR(ISNUMBER(SEARCH("%",O75)),ISNUMBER(SEARCH(" ",O75)),ISNUMBER(SEARCH(",",O75))),OR(SUBSTITUTE(SUBSTITUTE(SUBSTITUTE(SUBSTITUTE(SUBSTITUTE(SUBSTITUTE(SUBSTITUTE(SUBSTITUTE(SUBSTITUTE(SUBSTITUTE(SUBSTITUTE(SUBSTITUTE(SUBSTITUTE(SUBSTITUTE(SUBSTITUTE(SUBSTITUTE(SUBSTITUTE(SUBSTITUTE("x"&amp;O75,"0",""),"1",""),"2",""),"3",""),"4",""),"5",""),"6",""),"7",""),"8",""),"9",""),".",""),"E",""),"+",""),"-",""),"&lt;",""),"&gt;",""),"=","")," ","")&lt;&gt;"x",ISNUMBER(SEARCH("-",SUBSTITUTE(SUBSTITUTE("x"&amp;MID(O75,2,99),"E-","E"),"E+","E"))),ISNUMBER(SEARCH("+",SUBSTITUTE(SUBSTITUTE("x"&amp;MID(O75,2,99),"E-","E"),"E+","E"))))),"",IF(ISNUMBER(AH75),AH75,NA())),""))</f>
        <v/>
      </c>
      <c r="Q75" s="92">
        <f>IF(AND(ISNUMBER(L75),ISNUMBER(P75)),L75*P75,"")</f>
        <v/>
      </c>
      <c r="R75" s="92">
        <f>IF(OR(COUNTA($A75:$D75)=0,U75=0),"",IF(INDEX(DB_05[管制設定值],U75)="","",INDEX(DB_05[管制設定值],U75)))</f>
        <v/>
      </c>
      <c r="S75" s="92">
        <f>IF(OR(COUNTA($A75:$D75)=0,U75=0),"",IF(INDEX(DB_05[監測設定值],U75)="","",INDEX(DB_05[監測設定值],U75)))</f>
        <v/>
      </c>
      <c r="T75" s="92">
        <f>IF(COUNTA($A75:$D75)=0,"",IF(COUNTIFS(DB_04[測項鍵],V75)=1,MATCH(V75,DB_04[測項鍵],0),0))</f>
        <v/>
      </c>
      <c r="U75" s="92">
        <f>IF(COUNTA($A75:$D75)=0,"",IF(COUNTIFS(DB_05[標準鍵],W75)=1,MATCH(W75,DB_05[標準鍵],0),0))</f>
        <v/>
      </c>
      <c r="V75" s="92">
        <f>IF(OR(J75="",A75=""),"",J75&amp;"|"&amp;A75)</f>
        <v/>
      </c>
      <c r="W75" s="92">
        <f>IF(OR('07_QAQC'!$C$3="",V75=""),"",'07_QAQC'!$C$3&amp;"|"&amp;V75)</f>
        <v/>
      </c>
      <c r="X75" s="92">
        <f>IF(OR(H75="",A75=""),"",LEN(H75)&amp;":"&amp;H75&amp;LEN(A75)&amp;":"&amp;A75)</f>
        <v/>
      </c>
      <c r="Y75" s="93">
        <f>IF(COUNTA($A75:$D75)=0,"",IF(I75=0,"樣品未建或重複",IF(INDEX(Samples[樣品檢查],I75)="","OK",INDEX(Samples[樣品檢查],I75))))</f>
        <v/>
      </c>
      <c r="Z75" s="93">
        <f>IF(COUNTA($A75:$D75)=0,"",IF(B75="","缺原始值",IF(OR(B75="-",B75="--"),"無資料",IF(N75="NA","不適用",IF(N75="ND","OK",IF(NOT(ISNUMBER(P75)),"格式待核",IF(AND(N75&lt;&gt;"數值",P75&lt;0),"界限不得為負","OK")))))))</f>
        <v/>
      </c>
      <c r="AA75" s="93">
        <f>IF(COUNTA(A75:D75)=0,"",IF(OR(A75="",H75=""),"缺識別欄位",IF(IF(LEN("="&amp;SUBSTITUTE(SUBSTITUTE(SUBSTITUTE(X75,"~","~~"),"*","~*"),"?","~?"))&lt;=255,COUNTIF(Results[結果識別鍵],"="&amp;SUBSTITUTE(SUBSTITUTE(SUBSTITUTE(X75,"~","~~"),"*","~*"),"?","~?")),COUNTIFS(Results[關聯鍵],"="&amp;SUBSTITUTE(SUBSTITUTE(SUBSTITUTE(H75,"~","~~"),"*","~*"),"?","~?"),Results[分析項目],"="&amp;SUBSTITUTE(SUBSTITUTE(SUBSTITUTE(A75,"~","~~"),"*","~*"),"?","~?")))&gt;1,"同關聯鍵測項重複","OK")))</f>
        <v/>
      </c>
      <c r="AB75" s="93">
        <f>IF(COUNTA($A75:$D75)=0,"",IF(OR(C75="",K75=""),"缺單位",IF(NOT(ISNUMBER(L75)),"單位不相容",IF(L75=1,"OK","已換算"))))</f>
        <v/>
      </c>
      <c r="AC75" s="93">
        <f>IF(COUNTA($A75:$D75)=0,"",IF('07_QAQC'!$C$3="","未選比較版本",IF(U75=0,IF(COUNTIFS(DB_05[標準鍵],W75)&gt;1,"標準鍵重複","未訂此介質／測項門檻"),IF(INDEX(DB_05[版本檢查],U75)&lt;&gt;"OK","標準主檔待核",IF(INDEX(DB_05[標準單位],U75)&lt;&gt;K75,"標準單位不符",IF(INDEX(DB_05[核對狀態],U75)="停用","停用",IF(F75="","缺採樣日期",IF(OR(AND(INDEX(DB_05[生效日],U75)&lt;&gt;"",F75&lt;INDEX(DB_05[生效日],U75)),AND(INDEX(DB_05[失效日],U75)&lt;&gt;"",F75&gt;INDEX(DB_05[失效日],U75))),"日期不適用",INDEX(DB_05[核對狀態],U75)))))))))</f>
        <v/>
      </c>
      <c r="AD75" s="93">
        <f>IF(COUNTA($A75:$D75)=0,"",IF(AC75="未訂此介質／測項門檻",AC75,IF(AC75&lt;&gt;"已核對","標準待核",IF(R75="","未訂管制值",IF(NOT(ISNUMBER(L75)),"單位待核",IF(N75="ND","無法判定（ND無界限）",IF(N75="NA","不適用",IF(Z75&lt;&gt;"OK",Z75,IF(N75="數值",IF(Q75&gt;=R75,"達管制值","未達管制值"),IF(OR(N75="&lt;",N75="&lt;="),IF(OR(Q75&lt;R75,AND(N75="&lt;",Q75=R75)),"未達管制值","無法判定"),IF(OR(N75="&gt;",N75="&gt;="),IF(Q75&gt;=R75,"達管制值","無法判定"),"格式待核")))))))))))</f>
        <v/>
      </c>
      <c r="AE75" s="93">
        <f>IF(COUNTA($A75:$D75)=0,"",IF(AC75="未訂此介質／測項門檻",AC75,IF(AC75&lt;&gt;"已核對","標準待核",IF(S75="","未訂監測值",IF(NOT(ISNUMBER(L75)),"單位待核",IF(N75="ND","無法判定（ND無界限）",IF(N75="NA","不適用",IF(Z75&lt;&gt;"OK",Z75,IF(N75="數值",IF(Q75&gt;=S75,"達監測值","未達監測值"),IF(OR(N75="&lt;",N75="&lt;="),IF(OR(Q75&lt;S75,AND(N75="&lt;",Q75=S75)),"未達監測值","無法判定"),IF(OR(N75="&gt;",N75="&gt;="),IF(Q75&gt;=S75,"達監測值","無法判定"),"格式待核")))))))))))</f>
        <v/>
      </c>
      <c r="AF75" s="93">
        <f>IF(COUNTA($A75:$D75)=0,"",IF(OR(E75="",A75="",B75="",C75=""),"缺必要欄位",IF(Y75&lt;&gt;"OK","樣品資料待補",IF(T75=0,"測項未建或重複",IF(INDEX(DB_04[啟用],T75)&lt;&gt;"是","測項停用",IF(AND(Z75&lt;&gt;"OK",Z75&lt;&gt;"不適用"),Z75,IF(AND(AB75&lt;&gt;"OK",AB75&lt;&gt;"已換算"),"單位待核",IF(AA75&lt;&gt;"OK",AA75,"OK"))))))))</f>
        <v/>
      </c>
      <c r="AG75" s="93">
        <f>IF(COUNTA($A75:$D75)=0,"",IF(N75="ND","ND取0",IF(OR(N75="&lt;",N75="&lt;="),"界限除以2",IF(N75="NA","不適用",IF(OR(N75="&gt;",N75="&gt;="),"保留界限數值","保留原數值")))))</f>
        <v/>
      </c>
      <c r="AH75" s="92">
        <f>IF(O75="","",IFERROR(_xlfn.NUMBERVALUE(O75,".",","),""))</f>
        <v/>
      </c>
      <c r="AI75" s="92">
        <f>IF(H75="","",IFERROR(MATCH(H75,Samples[樣品編號],0),0))</f>
        <v/>
      </c>
    </row>
    <row r="76">
      <c r="A76" s="27" t="inlineStr">
        <is>
          <t>pH</t>
        </is>
      </c>
      <c r="B76" s="28" t="inlineStr">
        <is>
          <t>6.6</t>
        </is>
      </c>
      <c r="C76" s="27" t="inlineStr">
        <is>
          <t>無因次</t>
        </is>
      </c>
      <c r="D76" s="39" t="inlineStr">
        <is>
          <t>合成資料，非實測；method=field</t>
        </is>
      </c>
      <c r="E76" s="29">
        <f>IF(OR(I76="",I76=0),"",IF(INDEX(Samples[監測點],I76)="","",INDEX(Samples[監測點],I76)))</f>
        <v/>
      </c>
      <c r="F76" s="90">
        <f>IF(OR(I76="",I76=0),"",IF(INDEX(Samples[採樣日期],I76)="","",INDEX(Samples[採樣日期],I76)))</f>
        <v/>
      </c>
      <c r="G76" s="91">
        <f>IF(OR(M76="",M76="NA",M76="N/A"),"",IF(OR(M76="ND",M76="N.D."),0,IFERROR(IF(OR(OR(ISNUMBER(SEARCH("%",O76)),ISNUMBER(SEARCH(" ",O76)),ISNUMBER(SEARCH(",",O76))),OR(SUBSTITUTE(SUBSTITUTE(SUBSTITUTE(SUBSTITUTE(SUBSTITUTE(SUBSTITUTE(SUBSTITUTE(SUBSTITUTE(SUBSTITUTE(SUBSTITUTE(SUBSTITUTE(SUBSTITUTE(SUBSTITUTE(SUBSTITUTE(SUBSTITUTE(SUBSTITUTE(SUBSTITUTE(SUBSTITUTE("x"&amp;M76,"0",""),"1",""),"2",""),"3",""),"4",""),"5",""),"6",""),"7",""),"8",""),"9",""),".",""),"E",""),"+",""),"-",""),"&lt;",""),"&gt;",""),"=","")," ","")&lt;&gt;"x",ISNUMBER(SEARCH("-",SUBSTITUTE(SUBSTITUTE("x"&amp;MID(M76,2,99),"E-","E"),"E+","E"))),ISNUMBER(SEARCH("+",SUBSTITUTE(SUBSTITUTE("x"&amp;MID(M76,2,99),"E-","E"),"E+","E"))))),"",IF(AND(OR(LEFT(M76,1)="&lt;",LEFT(M76,1)="&gt;"),IF(O76="",0,IF(ISNUMBER(AH76),AH76,NA()))&lt;0),"",IF(O76="",0,IF(ISNUMBER(AH76),AH76,NA()))/IF(LEFT(M76,1)="&lt;",2,1))),"")))</f>
        <v/>
      </c>
      <c r="H76" s="57" t="inlineStr">
        <is>
          <t>BH02-W_20260415_01</t>
        </is>
      </c>
      <c r="I76" s="92">
        <f>IF(OR(H76="",AI76=0),0,IF(INDEX(Samples[樣品重複筆數],AI76)=1,AI76,0))</f>
        <v/>
      </c>
      <c r="J76" s="92">
        <f>IF(OR(COUNTA($A76:$D76)=0,I76=0),"",IF(INDEX(Samples[介質],I76)="","",INDEX(Samples[介質],I76)))</f>
        <v/>
      </c>
      <c r="K76" s="92">
        <f>IF(OR(COUNTA($A76:$D76)=0,T76=0),"",IF(INDEX(DB_04[標準單位],T76)="","",INDEX(DB_04[標準單位],T76)))</f>
        <v/>
      </c>
      <c r="L76" s="92">
        <f>IF(COUNTA($A76:$D76)=0,"",IF(OR(C76="",K76=""),"",IF(C76=K76,1,IF(COUNTIFS(DB_06[換算鍵],C76&amp;"|"&amp;K76,DB_06[換算檢查],"OK")=1,INDEX(DB_06[乘數],MATCH(C76&amp;"|"&amp;K76,DB_06[換算鍵],0)),""))))</f>
        <v/>
      </c>
      <c r="M76" s="92">
        <f>UPPER(SUBSTITUTE(SUBSTITUTE(SUBSTITUTE(SUBSTITUTE(TRIM(B76&amp;""),"＜","&lt;"),"＞","&gt;"),"≤","&lt;="),"≥","&gt;="))</f>
        <v/>
      </c>
      <c r="N76" s="92">
        <f>IF(M76="","",IF(OR(M76="ND",M76="N.D."),"ND",IF(OR(M76="NA",M76="N/A",M76="N.A."),"NA",IF(OR(LEFT(M76,2)="&lt;=",LEFT(M76,2)="&gt;="),LEFT(M76,2),IF(OR(LEFT(M76,1)="&lt;",LEFT(M76,1)="&gt;"),LEFT(M76,1),"數值")))))</f>
        <v/>
      </c>
      <c r="O76" s="92">
        <f>IF(OR(N76="",N76="ND",N76="NA"),"",IF(N76="數值",M76,TRIM(MID(M76,LEN(N76)+1,99))))</f>
        <v/>
      </c>
      <c r="P76" s="92">
        <f>IF(O76="","",IFERROR(IF(OR(OR(ISNUMBER(SEARCH("%",O76)),ISNUMBER(SEARCH(" ",O76)),ISNUMBER(SEARCH(",",O76))),OR(SUBSTITUTE(SUBSTITUTE(SUBSTITUTE(SUBSTITUTE(SUBSTITUTE(SUBSTITUTE(SUBSTITUTE(SUBSTITUTE(SUBSTITUTE(SUBSTITUTE(SUBSTITUTE(SUBSTITUTE(SUBSTITUTE(SUBSTITUTE(SUBSTITUTE(SUBSTITUTE(SUBSTITUTE(SUBSTITUTE("x"&amp;O76,"0",""),"1",""),"2",""),"3",""),"4",""),"5",""),"6",""),"7",""),"8",""),"9",""),".",""),"E",""),"+",""),"-",""),"&lt;",""),"&gt;",""),"=","")," ","")&lt;&gt;"x",ISNUMBER(SEARCH("-",SUBSTITUTE(SUBSTITUTE("x"&amp;MID(O76,2,99),"E-","E"),"E+","E"))),ISNUMBER(SEARCH("+",SUBSTITUTE(SUBSTITUTE("x"&amp;MID(O76,2,99),"E-","E"),"E+","E"))))),"",IF(ISNUMBER(AH76),AH76,NA())),""))</f>
        <v/>
      </c>
      <c r="Q76" s="92">
        <f>IF(AND(ISNUMBER(L76),ISNUMBER(P76)),L76*P76,"")</f>
        <v/>
      </c>
      <c r="R76" s="92">
        <f>IF(OR(COUNTA($A76:$D76)=0,U76=0),"",IF(INDEX(DB_05[管制設定值],U76)="","",INDEX(DB_05[管制設定值],U76)))</f>
        <v/>
      </c>
      <c r="S76" s="92">
        <f>IF(OR(COUNTA($A76:$D76)=0,U76=0),"",IF(INDEX(DB_05[監測設定值],U76)="","",INDEX(DB_05[監測設定值],U76)))</f>
        <v/>
      </c>
      <c r="T76" s="92">
        <f>IF(COUNTA($A76:$D76)=0,"",IF(COUNTIFS(DB_04[測項鍵],V76)=1,MATCH(V76,DB_04[測項鍵],0),0))</f>
        <v/>
      </c>
      <c r="U76" s="92">
        <f>IF(COUNTA($A76:$D76)=0,"",IF(COUNTIFS(DB_05[標準鍵],W76)=1,MATCH(W76,DB_05[標準鍵],0),0))</f>
        <v/>
      </c>
      <c r="V76" s="92">
        <f>IF(OR(J76="",A76=""),"",J76&amp;"|"&amp;A76)</f>
        <v/>
      </c>
      <c r="W76" s="92">
        <f>IF(OR('07_QAQC'!$C$3="",V76=""),"",'07_QAQC'!$C$3&amp;"|"&amp;V76)</f>
        <v/>
      </c>
      <c r="X76" s="92">
        <f>IF(OR(H76="",A76=""),"",LEN(H76)&amp;":"&amp;H76&amp;LEN(A76)&amp;":"&amp;A76)</f>
        <v/>
      </c>
      <c r="Y76" s="93">
        <f>IF(COUNTA($A76:$D76)=0,"",IF(I76=0,"樣品未建或重複",IF(INDEX(Samples[樣品檢查],I76)="","OK",INDEX(Samples[樣品檢查],I76))))</f>
        <v/>
      </c>
      <c r="Z76" s="93">
        <f>IF(COUNTA($A76:$D76)=0,"",IF(B76="","缺原始值",IF(OR(B76="-",B76="--"),"無資料",IF(N76="NA","不適用",IF(N76="ND","OK",IF(NOT(ISNUMBER(P76)),"格式待核",IF(AND(N76&lt;&gt;"數值",P76&lt;0),"界限不得為負","OK")))))))</f>
        <v/>
      </c>
      <c r="AA76" s="93">
        <f>IF(COUNTA(A76:D76)=0,"",IF(OR(A76="",H76=""),"缺識別欄位",IF(IF(LEN("="&amp;SUBSTITUTE(SUBSTITUTE(SUBSTITUTE(X76,"~","~~"),"*","~*"),"?","~?"))&lt;=255,COUNTIF(Results[結果識別鍵],"="&amp;SUBSTITUTE(SUBSTITUTE(SUBSTITUTE(X76,"~","~~"),"*","~*"),"?","~?")),COUNTIFS(Results[關聯鍵],"="&amp;SUBSTITUTE(SUBSTITUTE(SUBSTITUTE(H76,"~","~~"),"*","~*"),"?","~?"),Results[分析項目],"="&amp;SUBSTITUTE(SUBSTITUTE(SUBSTITUTE(A76,"~","~~"),"*","~*"),"?","~?")))&gt;1,"同關聯鍵測項重複","OK")))</f>
        <v/>
      </c>
      <c r="AB76" s="93">
        <f>IF(COUNTA($A76:$D76)=0,"",IF(OR(C76="",K76=""),"缺單位",IF(NOT(ISNUMBER(L76)),"單位不相容",IF(L76=1,"OK","已換算"))))</f>
        <v/>
      </c>
      <c r="AC76" s="93">
        <f>IF(COUNTA($A76:$D76)=0,"",IF('07_QAQC'!$C$3="","未選比較版本",IF(U76=0,IF(COUNTIFS(DB_05[標準鍵],W76)&gt;1,"標準鍵重複","未訂此介質／測項門檻"),IF(INDEX(DB_05[版本檢查],U76)&lt;&gt;"OK","標準主檔待核",IF(INDEX(DB_05[標準單位],U76)&lt;&gt;K76,"標準單位不符",IF(INDEX(DB_05[核對狀態],U76)="停用","停用",IF(F76="","缺採樣日期",IF(OR(AND(INDEX(DB_05[生效日],U76)&lt;&gt;"",F76&lt;INDEX(DB_05[生效日],U76)),AND(INDEX(DB_05[失效日],U76)&lt;&gt;"",F76&gt;INDEX(DB_05[失效日],U76))),"日期不適用",INDEX(DB_05[核對狀態],U76)))))))))</f>
        <v/>
      </c>
      <c r="AD76" s="93">
        <f>IF(COUNTA($A76:$D76)=0,"",IF(AC76="未訂此介質／測項門檻",AC76,IF(AC76&lt;&gt;"已核對","標準待核",IF(R76="","未訂管制值",IF(NOT(ISNUMBER(L76)),"單位待核",IF(N76="ND","無法判定（ND無界限）",IF(N76="NA","不適用",IF(Z76&lt;&gt;"OK",Z76,IF(N76="數值",IF(Q76&gt;=R76,"達管制值","未達管制值"),IF(OR(N76="&lt;",N76="&lt;="),IF(OR(Q76&lt;R76,AND(N76="&lt;",Q76=R76)),"未達管制值","無法判定"),IF(OR(N76="&gt;",N76="&gt;="),IF(Q76&gt;=R76,"達管制值","無法判定"),"格式待核")))))))))))</f>
        <v/>
      </c>
      <c r="AE76" s="93">
        <f>IF(COUNTA($A76:$D76)=0,"",IF(AC76="未訂此介質／測項門檻",AC76,IF(AC76&lt;&gt;"已核對","標準待核",IF(S76="","未訂監測值",IF(NOT(ISNUMBER(L76)),"單位待核",IF(N76="ND","無法判定（ND無界限）",IF(N76="NA","不適用",IF(Z76&lt;&gt;"OK",Z76,IF(N76="數值",IF(Q76&gt;=S76,"達監測值","未達監測值"),IF(OR(N76="&lt;",N76="&lt;="),IF(OR(Q76&lt;S76,AND(N76="&lt;",Q76=S76)),"未達監測值","無法判定"),IF(OR(N76="&gt;",N76="&gt;="),IF(Q76&gt;=S76,"達監測值","無法判定"),"格式待核")))))))))))</f>
        <v/>
      </c>
      <c r="AF76" s="93">
        <f>IF(COUNTA($A76:$D76)=0,"",IF(OR(E76="",A76="",B76="",C76=""),"缺必要欄位",IF(Y76&lt;&gt;"OK","樣品資料待補",IF(T76=0,"測項未建或重複",IF(INDEX(DB_04[啟用],T76)&lt;&gt;"是","測項停用",IF(AND(Z76&lt;&gt;"OK",Z76&lt;&gt;"不適用"),Z76,IF(AND(AB76&lt;&gt;"OK",AB76&lt;&gt;"已換算"),"單位待核",IF(AA76&lt;&gt;"OK",AA76,"OK"))))))))</f>
        <v/>
      </c>
      <c r="AG76" s="93">
        <f>IF(COUNTA($A76:$D76)=0,"",IF(N76="ND","ND取0",IF(OR(N76="&lt;",N76="&lt;="),"界限除以2",IF(N76="NA","不適用",IF(OR(N76="&gt;",N76="&gt;="),"保留界限數值","保留原數值")))))</f>
        <v/>
      </c>
      <c r="AH76" s="92">
        <f>IF(O76="","",IFERROR(_xlfn.NUMBERVALUE(O76,".",","),""))</f>
        <v/>
      </c>
      <c r="AI76" s="92">
        <f>IF(H76="","",IFERROR(MATCH(H76,Samples[樣品編號],0),0))</f>
        <v/>
      </c>
    </row>
    <row r="77">
      <c r="A77" s="27" t="inlineStr">
        <is>
          <t>EC</t>
        </is>
      </c>
      <c r="B77" s="28" t="inlineStr">
        <is>
          <t>0.47</t>
        </is>
      </c>
      <c r="C77" s="27" t="inlineStr">
        <is>
          <t>mS/cm</t>
        </is>
      </c>
      <c r="D77" s="39" t="inlineStr">
        <is>
          <t>合成資料，非實測；method=field; temperature=25; temperature_compensated=25C; reference_temperature=25</t>
        </is>
      </c>
      <c r="E77" s="29">
        <f>IF(OR(I77="",I77=0),"",IF(INDEX(Samples[監測點],I77)="","",INDEX(Samples[監測點],I77)))</f>
        <v/>
      </c>
      <c r="F77" s="90">
        <f>IF(OR(I77="",I77=0),"",IF(INDEX(Samples[採樣日期],I77)="","",INDEX(Samples[採樣日期],I77)))</f>
        <v/>
      </c>
      <c r="G77" s="91">
        <f>IF(OR(M77="",M77="NA",M77="N/A"),"",IF(OR(M77="ND",M77="N.D."),0,IFERROR(IF(OR(OR(ISNUMBER(SEARCH("%",O77)),ISNUMBER(SEARCH(" ",O77)),ISNUMBER(SEARCH(",",O77))),OR(SUBSTITUTE(SUBSTITUTE(SUBSTITUTE(SUBSTITUTE(SUBSTITUTE(SUBSTITUTE(SUBSTITUTE(SUBSTITUTE(SUBSTITUTE(SUBSTITUTE(SUBSTITUTE(SUBSTITUTE(SUBSTITUTE(SUBSTITUTE(SUBSTITUTE(SUBSTITUTE(SUBSTITUTE(SUBSTITUTE("x"&amp;M77,"0",""),"1",""),"2",""),"3",""),"4",""),"5",""),"6",""),"7",""),"8",""),"9",""),".",""),"E",""),"+",""),"-",""),"&lt;",""),"&gt;",""),"=","")," ","")&lt;&gt;"x",ISNUMBER(SEARCH("-",SUBSTITUTE(SUBSTITUTE("x"&amp;MID(M77,2,99),"E-","E"),"E+","E"))),ISNUMBER(SEARCH("+",SUBSTITUTE(SUBSTITUTE("x"&amp;MID(M77,2,99),"E-","E"),"E+","E"))))),"",IF(AND(OR(LEFT(M77,1)="&lt;",LEFT(M77,1)="&gt;"),IF(O77="",0,IF(ISNUMBER(AH77),AH77,NA()))&lt;0),"",IF(O77="",0,IF(ISNUMBER(AH77),AH77,NA()))/IF(LEFT(M77,1)="&lt;",2,1))),"")))</f>
        <v/>
      </c>
      <c r="H77" s="57" t="inlineStr">
        <is>
          <t>BH02-W_20260415_01</t>
        </is>
      </c>
      <c r="I77" s="92">
        <f>IF(OR(H77="",AI77=0),0,IF(INDEX(Samples[樣品重複筆數],AI77)=1,AI77,0))</f>
        <v/>
      </c>
      <c r="J77" s="92">
        <f>IF(OR(COUNTA($A77:$D77)=0,I77=0),"",IF(INDEX(Samples[介質],I77)="","",INDEX(Samples[介質],I77)))</f>
        <v/>
      </c>
      <c r="K77" s="92">
        <f>IF(OR(COUNTA($A77:$D77)=0,T77=0),"",IF(INDEX(DB_04[標準單位],T77)="","",INDEX(DB_04[標準單位],T77)))</f>
        <v/>
      </c>
      <c r="L77" s="92">
        <f>IF(COUNTA($A77:$D77)=0,"",IF(OR(C77="",K77=""),"",IF(C77=K77,1,IF(COUNTIFS(DB_06[換算鍵],C77&amp;"|"&amp;K77,DB_06[換算檢查],"OK")=1,INDEX(DB_06[乘數],MATCH(C77&amp;"|"&amp;K77,DB_06[換算鍵],0)),""))))</f>
        <v/>
      </c>
      <c r="M77" s="92">
        <f>UPPER(SUBSTITUTE(SUBSTITUTE(SUBSTITUTE(SUBSTITUTE(TRIM(B77&amp;""),"＜","&lt;"),"＞","&gt;"),"≤","&lt;="),"≥","&gt;="))</f>
        <v/>
      </c>
      <c r="N77" s="92">
        <f>IF(M77="","",IF(OR(M77="ND",M77="N.D."),"ND",IF(OR(M77="NA",M77="N/A",M77="N.A."),"NA",IF(OR(LEFT(M77,2)="&lt;=",LEFT(M77,2)="&gt;="),LEFT(M77,2),IF(OR(LEFT(M77,1)="&lt;",LEFT(M77,1)="&gt;"),LEFT(M77,1),"數值")))))</f>
        <v/>
      </c>
      <c r="O77" s="92">
        <f>IF(OR(N77="",N77="ND",N77="NA"),"",IF(N77="數值",M77,TRIM(MID(M77,LEN(N77)+1,99))))</f>
        <v/>
      </c>
      <c r="P77" s="92">
        <f>IF(O77="","",IFERROR(IF(OR(OR(ISNUMBER(SEARCH("%",O77)),ISNUMBER(SEARCH(" ",O77)),ISNUMBER(SEARCH(",",O77))),OR(SUBSTITUTE(SUBSTITUTE(SUBSTITUTE(SUBSTITUTE(SUBSTITUTE(SUBSTITUTE(SUBSTITUTE(SUBSTITUTE(SUBSTITUTE(SUBSTITUTE(SUBSTITUTE(SUBSTITUTE(SUBSTITUTE(SUBSTITUTE(SUBSTITUTE(SUBSTITUTE(SUBSTITUTE(SUBSTITUTE("x"&amp;O77,"0",""),"1",""),"2",""),"3",""),"4",""),"5",""),"6",""),"7",""),"8",""),"9",""),".",""),"E",""),"+",""),"-",""),"&lt;",""),"&gt;",""),"=","")," ","")&lt;&gt;"x",ISNUMBER(SEARCH("-",SUBSTITUTE(SUBSTITUTE("x"&amp;MID(O77,2,99),"E-","E"),"E+","E"))),ISNUMBER(SEARCH("+",SUBSTITUTE(SUBSTITUTE("x"&amp;MID(O77,2,99),"E-","E"),"E+","E"))))),"",IF(ISNUMBER(AH77),AH77,NA())),""))</f>
        <v/>
      </c>
      <c r="Q77" s="92">
        <f>IF(AND(ISNUMBER(L77),ISNUMBER(P77)),L77*P77,"")</f>
        <v/>
      </c>
      <c r="R77" s="92">
        <f>IF(OR(COUNTA($A77:$D77)=0,U77=0),"",IF(INDEX(DB_05[管制設定值],U77)="","",INDEX(DB_05[管制設定值],U77)))</f>
        <v/>
      </c>
      <c r="S77" s="92">
        <f>IF(OR(COUNTA($A77:$D77)=0,U77=0),"",IF(INDEX(DB_05[監測設定值],U77)="","",INDEX(DB_05[監測設定值],U77)))</f>
        <v/>
      </c>
      <c r="T77" s="92">
        <f>IF(COUNTA($A77:$D77)=0,"",IF(COUNTIFS(DB_04[測項鍵],V77)=1,MATCH(V77,DB_04[測項鍵],0),0))</f>
        <v/>
      </c>
      <c r="U77" s="92">
        <f>IF(COUNTA($A77:$D77)=0,"",IF(COUNTIFS(DB_05[標準鍵],W77)=1,MATCH(W77,DB_05[標準鍵],0),0))</f>
        <v/>
      </c>
      <c r="V77" s="92">
        <f>IF(OR(J77="",A77=""),"",J77&amp;"|"&amp;A77)</f>
        <v/>
      </c>
      <c r="W77" s="92">
        <f>IF(OR('07_QAQC'!$C$3="",V77=""),"",'07_QAQC'!$C$3&amp;"|"&amp;V77)</f>
        <v/>
      </c>
      <c r="X77" s="92">
        <f>IF(OR(H77="",A77=""),"",LEN(H77)&amp;":"&amp;H77&amp;LEN(A77)&amp;":"&amp;A77)</f>
        <v/>
      </c>
      <c r="Y77" s="93">
        <f>IF(COUNTA($A77:$D77)=0,"",IF(I77=0,"樣品未建或重複",IF(INDEX(Samples[樣品檢查],I77)="","OK",INDEX(Samples[樣品檢查],I77))))</f>
        <v/>
      </c>
      <c r="Z77" s="93">
        <f>IF(COUNTA($A77:$D77)=0,"",IF(B77="","缺原始值",IF(OR(B77="-",B77="--"),"無資料",IF(N77="NA","不適用",IF(N77="ND","OK",IF(NOT(ISNUMBER(P77)),"格式待核",IF(AND(N77&lt;&gt;"數值",P77&lt;0),"界限不得為負","OK")))))))</f>
        <v/>
      </c>
      <c r="AA77" s="93">
        <f>IF(COUNTA(A77:D77)=0,"",IF(OR(A77="",H77=""),"缺識別欄位",IF(IF(LEN("="&amp;SUBSTITUTE(SUBSTITUTE(SUBSTITUTE(X77,"~","~~"),"*","~*"),"?","~?"))&lt;=255,COUNTIF(Results[結果識別鍵],"="&amp;SUBSTITUTE(SUBSTITUTE(SUBSTITUTE(X77,"~","~~"),"*","~*"),"?","~?")),COUNTIFS(Results[關聯鍵],"="&amp;SUBSTITUTE(SUBSTITUTE(SUBSTITUTE(H77,"~","~~"),"*","~*"),"?","~?"),Results[分析項目],"="&amp;SUBSTITUTE(SUBSTITUTE(SUBSTITUTE(A77,"~","~~"),"*","~*"),"?","~?")))&gt;1,"同關聯鍵測項重複","OK")))</f>
        <v/>
      </c>
      <c r="AB77" s="93">
        <f>IF(COUNTA($A77:$D77)=0,"",IF(OR(C77="",K77=""),"缺單位",IF(NOT(ISNUMBER(L77)),"單位不相容",IF(L77=1,"OK","已換算"))))</f>
        <v/>
      </c>
      <c r="AC77" s="93">
        <f>IF(COUNTA($A77:$D77)=0,"",IF('07_QAQC'!$C$3="","未選比較版本",IF(U77=0,IF(COUNTIFS(DB_05[標準鍵],W77)&gt;1,"標準鍵重複","未訂此介質／測項門檻"),IF(INDEX(DB_05[版本檢查],U77)&lt;&gt;"OK","標準主檔待核",IF(INDEX(DB_05[標準單位],U77)&lt;&gt;K77,"標準單位不符",IF(INDEX(DB_05[核對狀態],U77)="停用","停用",IF(F77="","缺採樣日期",IF(OR(AND(INDEX(DB_05[生效日],U77)&lt;&gt;"",F77&lt;INDEX(DB_05[生效日],U77)),AND(INDEX(DB_05[失效日],U77)&lt;&gt;"",F77&gt;INDEX(DB_05[失效日],U77))),"日期不適用",INDEX(DB_05[核對狀態],U77)))))))))</f>
        <v/>
      </c>
      <c r="AD77" s="93">
        <f>IF(COUNTA($A77:$D77)=0,"",IF(AC77="未訂此介質／測項門檻",AC77,IF(AC77&lt;&gt;"已核對","標準待核",IF(R77="","未訂管制值",IF(NOT(ISNUMBER(L77)),"單位待核",IF(N77="ND","無法判定（ND無界限）",IF(N77="NA","不適用",IF(Z77&lt;&gt;"OK",Z77,IF(N77="數值",IF(Q77&gt;=R77,"達管制值","未達管制值"),IF(OR(N77="&lt;",N77="&lt;="),IF(OR(Q77&lt;R77,AND(N77="&lt;",Q77=R77)),"未達管制值","無法判定"),IF(OR(N77="&gt;",N77="&gt;="),IF(Q77&gt;=R77,"達管制值","無法判定"),"格式待核")))))))))))</f>
        <v/>
      </c>
      <c r="AE77" s="93">
        <f>IF(COUNTA($A77:$D77)=0,"",IF(AC77="未訂此介質／測項門檻",AC77,IF(AC77&lt;&gt;"已核對","標準待核",IF(S77="","未訂監測值",IF(NOT(ISNUMBER(L77)),"單位待核",IF(N77="ND","無法判定（ND無界限）",IF(N77="NA","不適用",IF(Z77&lt;&gt;"OK",Z77,IF(N77="數值",IF(Q77&gt;=S77,"達監測值","未達監測值"),IF(OR(N77="&lt;",N77="&lt;="),IF(OR(Q77&lt;S77,AND(N77="&lt;",Q77=S77)),"未達監測值","無法判定"),IF(OR(N77="&gt;",N77="&gt;="),IF(Q77&gt;=S77,"達監測值","無法判定"),"格式待核")))))))))))</f>
        <v/>
      </c>
      <c r="AF77" s="93">
        <f>IF(COUNTA($A77:$D77)=0,"",IF(OR(E77="",A77="",B77="",C77=""),"缺必要欄位",IF(Y77&lt;&gt;"OK","樣品資料待補",IF(T77=0,"測項未建或重複",IF(INDEX(DB_04[啟用],T77)&lt;&gt;"是","測項停用",IF(AND(Z77&lt;&gt;"OK",Z77&lt;&gt;"不適用"),Z77,IF(AND(AB77&lt;&gt;"OK",AB77&lt;&gt;"已換算"),"單位待核",IF(AA77&lt;&gt;"OK",AA77,"OK"))))))))</f>
        <v/>
      </c>
      <c r="AG77" s="93">
        <f>IF(COUNTA($A77:$D77)=0,"",IF(N77="ND","ND取0",IF(OR(N77="&lt;",N77="&lt;="),"界限除以2",IF(N77="NA","不適用",IF(OR(N77="&gt;",N77="&gt;="),"保留界限數值","保留原數值")))))</f>
        <v/>
      </c>
      <c r="AH77" s="92">
        <f>IF(O77="","",IFERROR(_xlfn.NUMBERVALUE(O77,".",","),""))</f>
        <v/>
      </c>
      <c r="AI77" s="92">
        <f>IF(H77="","",IFERROR(MATCH(H77,Samples[樣品編號],0),0))</f>
        <v/>
      </c>
    </row>
    <row r="78">
      <c r="A78" s="27" t="inlineStr">
        <is>
          <t>DO</t>
        </is>
      </c>
      <c r="B78" s="28" t="inlineStr">
        <is>
          <t>6.4</t>
        </is>
      </c>
      <c r="C78" s="27" t="inlineStr">
        <is>
          <t>mg/L</t>
        </is>
      </c>
      <c r="D78" s="39" t="inlineStr">
        <is>
          <t>合成資料，非實測；method=field</t>
        </is>
      </c>
      <c r="E78" s="29">
        <f>IF(OR(I78="",I78=0),"",IF(INDEX(Samples[監測點],I78)="","",INDEX(Samples[監測點],I78)))</f>
        <v/>
      </c>
      <c r="F78" s="90">
        <f>IF(OR(I78="",I78=0),"",IF(INDEX(Samples[採樣日期],I78)="","",INDEX(Samples[採樣日期],I78)))</f>
        <v/>
      </c>
      <c r="G78" s="91">
        <f>IF(OR(M78="",M78="NA",M78="N/A"),"",IF(OR(M78="ND",M78="N.D."),0,IFERROR(IF(OR(OR(ISNUMBER(SEARCH("%",O78)),ISNUMBER(SEARCH(" ",O78)),ISNUMBER(SEARCH(",",O78))),OR(SUBSTITUTE(SUBSTITUTE(SUBSTITUTE(SUBSTITUTE(SUBSTITUTE(SUBSTITUTE(SUBSTITUTE(SUBSTITUTE(SUBSTITUTE(SUBSTITUTE(SUBSTITUTE(SUBSTITUTE(SUBSTITUTE(SUBSTITUTE(SUBSTITUTE(SUBSTITUTE(SUBSTITUTE(SUBSTITUTE("x"&amp;M78,"0",""),"1",""),"2",""),"3",""),"4",""),"5",""),"6",""),"7",""),"8",""),"9",""),".",""),"E",""),"+",""),"-",""),"&lt;",""),"&gt;",""),"=","")," ","")&lt;&gt;"x",ISNUMBER(SEARCH("-",SUBSTITUTE(SUBSTITUTE("x"&amp;MID(M78,2,99),"E-","E"),"E+","E"))),ISNUMBER(SEARCH("+",SUBSTITUTE(SUBSTITUTE("x"&amp;MID(M78,2,99),"E-","E"),"E+","E"))))),"",IF(AND(OR(LEFT(M78,1)="&lt;",LEFT(M78,1)="&gt;"),IF(O78="",0,IF(ISNUMBER(AH78),AH78,NA()))&lt;0),"",IF(O78="",0,IF(ISNUMBER(AH78),AH78,NA()))/IF(LEFT(M78,1)="&lt;",2,1))),"")))</f>
        <v/>
      </c>
      <c r="H78" s="57" t="inlineStr">
        <is>
          <t>BH02-W_20260415_01</t>
        </is>
      </c>
      <c r="I78" s="92">
        <f>IF(OR(H78="",AI78=0),0,IF(INDEX(Samples[樣品重複筆數],AI78)=1,AI78,0))</f>
        <v/>
      </c>
      <c r="J78" s="92">
        <f>IF(OR(COUNTA($A78:$D78)=0,I78=0),"",IF(INDEX(Samples[介質],I78)="","",INDEX(Samples[介質],I78)))</f>
        <v/>
      </c>
      <c r="K78" s="92">
        <f>IF(OR(COUNTA($A78:$D78)=0,T78=0),"",IF(INDEX(DB_04[標準單位],T78)="","",INDEX(DB_04[標準單位],T78)))</f>
        <v/>
      </c>
      <c r="L78" s="92">
        <f>IF(COUNTA($A78:$D78)=0,"",IF(OR(C78="",K78=""),"",IF(C78=K78,1,IF(COUNTIFS(DB_06[換算鍵],C78&amp;"|"&amp;K78,DB_06[換算檢查],"OK")=1,INDEX(DB_06[乘數],MATCH(C78&amp;"|"&amp;K78,DB_06[換算鍵],0)),""))))</f>
        <v/>
      </c>
      <c r="M78" s="92">
        <f>UPPER(SUBSTITUTE(SUBSTITUTE(SUBSTITUTE(SUBSTITUTE(TRIM(B78&amp;""),"＜","&lt;"),"＞","&gt;"),"≤","&lt;="),"≥","&gt;="))</f>
        <v/>
      </c>
      <c r="N78" s="92">
        <f>IF(M78="","",IF(OR(M78="ND",M78="N.D."),"ND",IF(OR(M78="NA",M78="N/A",M78="N.A."),"NA",IF(OR(LEFT(M78,2)="&lt;=",LEFT(M78,2)="&gt;="),LEFT(M78,2),IF(OR(LEFT(M78,1)="&lt;",LEFT(M78,1)="&gt;"),LEFT(M78,1),"數值")))))</f>
        <v/>
      </c>
      <c r="O78" s="92">
        <f>IF(OR(N78="",N78="ND",N78="NA"),"",IF(N78="數值",M78,TRIM(MID(M78,LEN(N78)+1,99))))</f>
        <v/>
      </c>
      <c r="P78" s="92">
        <f>IF(O78="","",IFERROR(IF(OR(OR(ISNUMBER(SEARCH("%",O78)),ISNUMBER(SEARCH(" ",O78)),ISNUMBER(SEARCH(",",O78))),OR(SUBSTITUTE(SUBSTITUTE(SUBSTITUTE(SUBSTITUTE(SUBSTITUTE(SUBSTITUTE(SUBSTITUTE(SUBSTITUTE(SUBSTITUTE(SUBSTITUTE(SUBSTITUTE(SUBSTITUTE(SUBSTITUTE(SUBSTITUTE(SUBSTITUTE(SUBSTITUTE(SUBSTITUTE(SUBSTITUTE("x"&amp;O78,"0",""),"1",""),"2",""),"3",""),"4",""),"5",""),"6",""),"7",""),"8",""),"9",""),".",""),"E",""),"+",""),"-",""),"&lt;",""),"&gt;",""),"=","")," ","")&lt;&gt;"x",ISNUMBER(SEARCH("-",SUBSTITUTE(SUBSTITUTE("x"&amp;MID(O78,2,99),"E-","E"),"E+","E"))),ISNUMBER(SEARCH("+",SUBSTITUTE(SUBSTITUTE("x"&amp;MID(O78,2,99),"E-","E"),"E+","E"))))),"",IF(ISNUMBER(AH78),AH78,NA())),""))</f>
        <v/>
      </c>
      <c r="Q78" s="92">
        <f>IF(AND(ISNUMBER(L78),ISNUMBER(P78)),L78*P78,"")</f>
        <v/>
      </c>
      <c r="R78" s="92">
        <f>IF(OR(COUNTA($A78:$D78)=0,U78=0),"",IF(INDEX(DB_05[管制設定值],U78)="","",INDEX(DB_05[管制設定值],U78)))</f>
        <v/>
      </c>
      <c r="S78" s="92">
        <f>IF(OR(COUNTA($A78:$D78)=0,U78=0),"",IF(INDEX(DB_05[監測設定值],U78)="","",INDEX(DB_05[監測設定值],U78)))</f>
        <v/>
      </c>
      <c r="T78" s="92">
        <f>IF(COUNTA($A78:$D78)=0,"",IF(COUNTIFS(DB_04[測項鍵],V78)=1,MATCH(V78,DB_04[測項鍵],0),0))</f>
        <v/>
      </c>
      <c r="U78" s="92">
        <f>IF(COUNTA($A78:$D78)=0,"",IF(COUNTIFS(DB_05[標準鍵],W78)=1,MATCH(W78,DB_05[標準鍵],0),0))</f>
        <v/>
      </c>
      <c r="V78" s="92">
        <f>IF(OR(J78="",A78=""),"",J78&amp;"|"&amp;A78)</f>
        <v/>
      </c>
      <c r="W78" s="92">
        <f>IF(OR('07_QAQC'!$C$3="",V78=""),"",'07_QAQC'!$C$3&amp;"|"&amp;V78)</f>
        <v/>
      </c>
      <c r="X78" s="92">
        <f>IF(OR(H78="",A78=""),"",LEN(H78)&amp;":"&amp;H78&amp;LEN(A78)&amp;":"&amp;A78)</f>
        <v/>
      </c>
      <c r="Y78" s="93">
        <f>IF(COUNTA($A78:$D78)=0,"",IF(I78=0,"樣品未建或重複",IF(INDEX(Samples[樣品檢查],I78)="","OK",INDEX(Samples[樣品檢查],I78))))</f>
        <v/>
      </c>
      <c r="Z78" s="93">
        <f>IF(COUNTA($A78:$D78)=0,"",IF(B78="","缺原始值",IF(OR(B78="-",B78="--"),"無資料",IF(N78="NA","不適用",IF(N78="ND","OK",IF(NOT(ISNUMBER(P78)),"格式待核",IF(AND(N78&lt;&gt;"數值",P78&lt;0),"界限不得為負","OK")))))))</f>
        <v/>
      </c>
      <c r="AA78" s="93">
        <f>IF(COUNTA(A78:D78)=0,"",IF(OR(A78="",H78=""),"缺識別欄位",IF(IF(LEN("="&amp;SUBSTITUTE(SUBSTITUTE(SUBSTITUTE(X78,"~","~~"),"*","~*"),"?","~?"))&lt;=255,COUNTIF(Results[結果識別鍵],"="&amp;SUBSTITUTE(SUBSTITUTE(SUBSTITUTE(X78,"~","~~"),"*","~*"),"?","~?")),COUNTIFS(Results[關聯鍵],"="&amp;SUBSTITUTE(SUBSTITUTE(SUBSTITUTE(H78,"~","~~"),"*","~*"),"?","~?"),Results[分析項目],"="&amp;SUBSTITUTE(SUBSTITUTE(SUBSTITUTE(A78,"~","~~"),"*","~*"),"?","~?")))&gt;1,"同關聯鍵測項重複","OK")))</f>
        <v/>
      </c>
      <c r="AB78" s="93">
        <f>IF(COUNTA($A78:$D78)=0,"",IF(OR(C78="",K78=""),"缺單位",IF(NOT(ISNUMBER(L78)),"單位不相容",IF(L78=1,"OK","已換算"))))</f>
        <v/>
      </c>
      <c r="AC78" s="93">
        <f>IF(COUNTA($A78:$D78)=0,"",IF('07_QAQC'!$C$3="","未選比較版本",IF(U78=0,IF(COUNTIFS(DB_05[標準鍵],W78)&gt;1,"標準鍵重複","未訂此介質／測項門檻"),IF(INDEX(DB_05[版本檢查],U78)&lt;&gt;"OK","標準主檔待核",IF(INDEX(DB_05[標準單位],U78)&lt;&gt;K78,"標準單位不符",IF(INDEX(DB_05[核對狀態],U78)="停用","停用",IF(F78="","缺採樣日期",IF(OR(AND(INDEX(DB_05[生效日],U78)&lt;&gt;"",F78&lt;INDEX(DB_05[生效日],U78)),AND(INDEX(DB_05[失效日],U78)&lt;&gt;"",F78&gt;INDEX(DB_05[失效日],U78))),"日期不適用",INDEX(DB_05[核對狀態],U78)))))))))</f>
        <v/>
      </c>
      <c r="AD78" s="93">
        <f>IF(COUNTA($A78:$D78)=0,"",IF(AC78="未訂此介質／測項門檻",AC78,IF(AC78&lt;&gt;"已核對","標準待核",IF(R78="","未訂管制值",IF(NOT(ISNUMBER(L78)),"單位待核",IF(N78="ND","無法判定（ND無界限）",IF(N78="NA","不適用",IF(Z78&lt;&gt;"OK",Z78,IF(N78="數值",IF(Q78&gt;=R78,"達管制值","未達管制值"),IF(OR(N78="&lt;",N78="&lt;="),IF(OR(Q78&lt;R78,AND(N78="&lt;",Q78=R78)),"未達管制值","無法判定"),IF(OR(N78="&gt;",N78="&gt;="),IF(Q78&gt;=R78,"達管制值","無法判定"),"格式待核")))))))))))</f>
        <v/>
      </c>
      <c r="AE78" s="93">
        <f>IF(COUNTA($A78:$D78)=0,"",IF(AC78="未訂此介質／測項門檻",AC78,IF(AC78&lt;&gt;"已核對","標準待核",IF(S78="","未訂監測值",IF(NOT(ISNUMBER(L78)),"單位待核",IF(N78="ND","無法判定（ND無界限）",IF(N78="NA","不適用",IF(Z78&lt;&gt;"OK",Z78,IF(N78="數值",IF(Q78&gt;=S78,"達監測值","未達監測值"),IF(OR(N78="&lt;",N78="&lt;="),IF(OR(Q78&lt;S78,AND(N78="&lt;",Q78=S78)),"未達監測值","無法判定"),IF(OR(N78="&gt;",N78="&gt;="),IF(Q78&gt;=S78,"達監測值","無法判定"),"格式待核")))))))))))</f>
        <v/>
      </c>
      <c r="AF78" s="93">
        <f>IF(COUNTA($A78:$D78)=0,"",IF(OR(E78="",A78="",B78="",C78=""),"缺必要欄位",IF(Y78&lt;&gt;"OK","樣品資料待補",IF(T78=0,"測項未建或重複",IF(INDEX(DB_04[啟用],T78)&lt;&gt;"是","測項停用",IF(AND(Z78&lt;&gt;"OK",Z78&lt;&gt;"不適用"),Z78,IF(AND(AB78&lt;&gt;"OK",AB78&lt;&gt;"已換算"),"單位待核",IF(AA78&lt;&gt;"OK",AA78,"OK"))))))))</f>
        <v/>
      </c>
      <c r="AG78" s="93">
        <f>IF(COUNTA($A78:$D78)=0,"",IF(N78="ND","ND取0",IF(OR(N78="&lt;",N78="&lt;="),"界限除以2",IF(N78="NA","不適用",IF(OR(N78="&gt;",N78="&gt;="),"保留界限數值","保留原數值")))))</f>
        <v/>
      </c>
      <c r="AH78" s="92">
        <f>IF(O78="","",IFERROR(_xlfn.NUMBERVALUE(O78,".",","),""))</f>
        <v/>
      </c>
      <c r="AI78" s="92">
        <f>IF(H78="","",IFERROR(MATCH(H78,Samples[樣品編號],0),0))</f>
        <v/>
      </c>
    </row>
    <row r="79">
      <c r="A79" s="27" t="inlineStr">
        <is>
          <t>溶氧飽和度</t>
        </is>
      </c>
      <c r="B79" s="28" t="inlineStr">
        <is>
          <t>76</t>
        </is>
      </c>
      <c r="C79" s="27" t="inlineStr">
        <is>
          <t>%</t>
        </is>
      </c>
      <c r="D79" s="39" t="inlineStr">
        <is>
          <t>合成資料，非實測；method=field</t>
        </is>
      </c>
      <c r="E79" s="29">
        <f>IF(OR(I79="",I79=0),"",IF(INDEX(Samples[監測點],I79)="","",INDEX(Samples[監測點],I79)))</f>
        <v/>
      </c>
      <c r="F79" s="90">
        <f>IF(OR(I79="",I79=0),"",IF(INDEX(Samples[採樣日期],I79)="","",INDEX(Samples[採樣日期],I79)))</f>
        <v/>
      </c>
      <c r="G79" s="91">
        <f>IF(OR(M79="",M79="NA",M79="N/A"),"",IF(OR(M79="ND",M79="N.D."),0,IFERROR(IF(OR(OR(ISNUMBER(SEARCH("%",O79)),ISNUMBER(SEARCH(" ",O79)),ISNUMBER(SEARCH(",",O79))),OR(SUBSTITUTE(SUBSTITUTE(SUBSTITUTE(SUBSTITUTE(SUBSTITUTE(SUBSTITUTE(SUBSTITUTE(SUBSTITUTE(SUBSTITUTE(SUBSTITUTE(SUBSTITUTE(SUBSTITUTE(SUBSTITUTE(SUBSTITUTE(SUBSTITUTE(SUBSTITUTE(SUBSTITUTE(SUBSTITUTE("x"&amp;M79,"0",""),"1",""),"2",""),"3",""),"4",""),"5",""),"6",""),"7",""),"8",""),"9",""),".",""),"E",""),"+",""),"-",""),"&lt;",""),"&gt;",""),"=","")," ","")&lt;&gt;"x",ISNUMBER(SEARCH("-",SUBSTITUTE(SUBSTITUTE("x"&amp;MID(M79,2,99),"E-","E"),"E+","E"))),ISNUMBER(SEARCH("+",SUBSTITUTE(SUBSTITUTE("x"&amp;MID(M79,2,99),"E-","E"),"E+","E"))))),"",IF(AND(OR(LEFT(M79,1)="&lt;",LEFT(M79,1)="&gt;"),IF(O79="",0,IF(ISNUMBER(AH79),AH79,NA()))&lt;0),"",IF(O79="",0,IF(ISNUMBER(AH79),AH79,NA()))/IF(LEFT(M79,1)="&lt;",2,1))),"")))</f>
        <v/>
      </c>
      <c r="H79" s="57" t="inlineStr">
        <is>
          <t>BH02-W_20260415_01</t>
        </is>
      </c>
      <c r="I79" s="92">
        <f>IF(OR(H79="",AI79=0),0,IF(INDEX(Samples[樣品重複筆數],AI79)=1,AI79,0))</f>
        <v/>
      </c>
      <c r="J79" s="92">
        <f>IF(OR(COUNTA($A79:$D79)=0,I79=0),"",IF(INDEX(Samples[介質],I79)="","",INDEX(Samples[介質],I79)))</f>
        <v/>
      </c>
      <c r="K79" s="92">
        <f>IF(OR(COUNTA($A79:$D79)=0,T79=0),"",IF(INDEX(DB_04[標準單位],T79)="","",INDEX(DB_04[標準單位],T79)))</f>
        <v/>
      </c>
      <c r="L79" s="92">
        <f>IF(COUNTA($A79:$D79)=0,"",IF(OR(C79="",K79=""),"",IF(C79=K79,1,IF(COUNTIFS(DB_06[換算鍵],C79&amp;"|"&amp;K79,DB_06[換算檢查],"OK")=1,INDEX(DB_06[乘數],MATCH(C79&amp;"|"&amp;K79,DB_06[換算鍵],0)),""))))</f>
        <v/>
      </c>
      <c r="M79" s="92">
        <f>UPPER(SUBSTITUTE(SUBSTITUTE(SUBSTITUTE(SUBSTITUTE(TRIM(B79&amp;""),"＜","&lt;"),"＞","&gt;"),"≤","&lt;="),"≥","&gt;="))</f>
        <v/>
      </c>
      <c r="N79" s="92">
        <f>IF(M79="","",IF(OR(M79="ND",M79="N.D."),"ND",IF(OR(M79="NA",M79="N/A",M79="N.A."),"NA",IF(OR(LEFT(M79,2)="&lt;=",LEFT(M79,2)="&gt;="),LEFT(M79,2),IF(OR(LEFT(M79,1)="&lt;",LEFT(M79,1)="&gt;"),LEFT(M79,1),"數值")))))</f>
        <v/>
      </c>
      <c r="O79" s="92">
        <f>IF(OR(N79="",N79="ND",N79="NA"),"",IF(N79="數值",M79,TRIM(MID(M79,LEN(N79)+1,99))))</f>
        <v/>
      </c>
      <c r="P79" s="92">
        <f>IF(O79="","",IFERROR(IF(OR(OR(ISNUMBER(SEARCH("%",O79)),ISNUMBER(SEARCH(" ",O79)),ISNUMBER(SEARCH(",",O79))),OR(SUBSTITUTE(SUBSTITUTE(SUBSTITUTE(SUBSTITUTE(SUBSTITUTE(SUBSTITUTE(SUBSTITUTE(SUBSTITUTE(SUBSTITUTE(SUBSTITUTE(SUBSTITUTE(SUBSTITUTE(SUBSTITUTE(SUBSTITUTE(SUBSTITUTE(SUBSTITUTE(SUBSTITUTE(SUBSTITUTE("x"&amp;O79,"0",""),"1",""),"2",""),"3",""),"4",""),"5",""),"6",""),"7",""),"8",""),"9",""),".",""),"E",""),"+",""),"-",""),"&lt;",""),"&gt;",""),"=","")," ","")&lt;&gt;"x",ISNUMBER(SEARCH("-",SUBSTITUTE(SUBSTITUTE("x"&amp;MID(O79,2,99),"E-","E"),"E+","E"))),ISNUMBER(SEARCH("+",SUBSTITUTE(SUBSTITUTE("x"&amp;MID(O79,2,99),"E-","E"),"E+","E"))))),"",IF(ISNUMBER(AH79),AH79,NA())),""))</f>
        <v/>
      </c>
      <c r="Q79" s="92">
        <f>IF(AND(ISNUMBER(L79),ISNUMBER(P79)),L79*P79,"")</f>
        <v/>
      </c>
      <c r="R79" s="92">
        <f>IF(OR(COUNTA($A79:$D79)=0,U79=0),"",IF(INDEX(DB_05[管制設定值],U79)="","",INDEX(DB_05[管制設定值],U79)))</f>
        <v/>
      </c>
      <c r="S79" s="92">
        <f>IF(OR(COUNTA($A79:$D79)=0,U79=0),"",IF(INDEX(DB_05[監測設定值],U79)="","",INDEX(DB_05[監測設定值],U79)))</f>
        <v/>
      </c>
      <c r="T79" s="92">
        <f>IF(COUNTA($A79:$D79)=0,"",IF(COUNTIFS(DB_04[測項鍵],V79)=1,MATCH(V79,DB_04[測項鍵],0),0))</f>
        <v/>
      </c>
      <c r="U79" s="92">
        <f>IF(COUNTA($A79:$D79)=0,"",IF(COUNTIFS(DB_05[標準鍵],W79)=1,MATCH(W79,DB_05[標準鍵],0),0))</f>
        <v/>
      </c>
      <c r="V79" s="92">
        <f>IF(OR(J79="",A79=""),"",J79&amp;"|"&amp;A79)</f>
        <v/>
      </c>
      <c r="W79" s="92">
        <f>IF(OR('07_QAQC'!$C$3="",V79=""),"",'07_QAQC'!$C$3&amp;"|"&amp;V79)</f>
        <v/>
      </c>
      <c r="X79" s="92">
        <f>IF(OR(H79="",A79=""),"",LEN(H79)&amp;":"&amp;H79&amp;LEN(A79)&amp;":"&amp;A79)</f>
        <v/>
      </c>
      <c r="Y79" s="93">
        <f>IF(COUNTA($A79:$D79)=0,"",IF(I79=0,"樣品未建或重複",IF(INDEX(Samples[樣品檢查],I79)="","OK",INDEX(Samples[樣品檢查],I79))))</f>
        <v/>
      </c>
      <c r="Z79" s="93">
        <f>IF(COUNTA($A79:$D79)=0,"",IF(B79="","缺原始值",IF(OR(B79="-",B79="--"),"無資料",IF(N79="NA","不適用",IF(N79="ND","OK",IF(NOT(ISNUMBER(P79)),"格式待核",IF(AND(N79&lt;&gt;"數值",P79&lt;0),"界限不得為負","OK")))))))</f>
        <v/>
      </c>
      <c r="AA79" s="93">
        <f>IF(COUNTA(A79:D79)=0,"",IF(OR(A79="",H79=""),"缺識別欄位",IF(IF(LEN("="&amp;SUBSTITUTE(SUBSTITUTE(SUBSTITUTE(X79,"~","~~"),"*","~*"),"?","~?"))&lt;=255,COUNTIF(Results[結果識別鍵],"="&amp;SUBSTITUTE(SUBSTITUTE(SUBSTITUTE(X79,"~","~~"),"*","~*"),"?","~?")),COUNTIFS(Results[關聯鍵],"="&amp;SUBSTITUTE(SUBSTITUTE(SUBSTITUTE(H79,"~","~~"),"*","~*"),"?","~?"),Results[分析項目],"="&amp;SUBSTITUTE(SUBSTITUTE(SUBSTITUTE(A79,"~","~~"),"*","~*"),"?","~?")))&gt;1,"同關聯鍵測項重複","OK")))</f>
        <v/>
      </c>
      <c r="AB79" s="93">
        <f>IF(COUNTA($A79:$D79)=0,"",IF(OR(C79="",K79=""),"缺單位",IF(NOT(ISNUMBER(L79)),"單位不相容",IF(L79=1,"OK","已換算"))))</f>
        <v/>
      </c>
      <c r="AC79" s="93">
        <f>IF(COUNTA($A79:$D79)=0,"",IF('07_QAQC'!$C$3="","未選比較版本",IF(U79=0,IF(COUNTIFS(DB_05[標準鍵],W79)&gt;1,"標準鍵重複","未訂此介質／測項門檻"),IF(INDEX(DB_05[版本檢查],U79)&lt;&gt;"OK","標準主檔待核",IF(INDEX(DB_05[標準單位],U79)&lt;&gt;K79,"標準單位不符",IF(INDEX(DB_05[核對狀態],U79)="停用","停用",IF(F79="","缺採樣日期",IF(OR(AND(INDEX(DB_05[生效日],U79)&lt;&gt;"",F79&lt;INDEX(DB_05[生效日],U79)),AND(INDEX(DB_05[失效日],U79)&lt;&gt;"",F79&gt;INDEX(DB_05[失效日],U79))),"日期不適用",INDEX(DB_05[核對狀態],U79)))))))))</f>
        <v/>
      </c>
      <c r="AD79" s="93">
        <f>IF(COUNTA($A79:$D79)=0,"",IF(AC79="未訂此介質／測項門檻",AC79,IF(AC79&lt;&gt;"已核對","標準待核",IF(R79="","未訂管制值",IF(NOT(ISNUMBER(L79)),"單位待核",IF(N79="ND","無法判定（ND無界限）",IF(N79="NA","不適用",IF(Z79&lt;&gt;"OK",Z79,IF(N79="數值",IF(Q79&gt;=R79,"達管制值","未達管制值"),IF(OR(N79="&lt;",N79="&lt;="),IF(OR(Q79&lt;R79,AND(N79="&lt;",Q79=R79)),"未達管制值","無法判定"),IF(OR(N79="&gt;",N79="&gt;="),IF(Q79&gt;=R79,"達管制值","無法判定"),"格式待核")))))))))))</f>
        <v/>
      </c>
      <c r="AE79" s="93">
        <f>IF(COUNTA($A79:$D79)=0,"",IF(AC79="未訂此介質／測項門檻",AC79,IF(AC79&lt;&gt;"已核對","標準待核",IF(S79="","未訂監測值",IF(NOT(ISNUMBER(L79)),"單位待核",IF(N79="ND","無法判定（ND無界限）",IF(N79="NA","不適用",IF(Z79&lt;&gt;"OK",Z79,IF(N79="數值",IF(Q79&gt;=S79,"達監測值","未達監測值"),IF(OR(N79="&lt;",N79="&lt;="),IF(OR(Q79&lt;S79,AND(N79="&lt;",Q79=S79)),"未達監測值","無法判定"),IF(OR(N79="&gt;",N79="&gt;="),IF(Q79&gt;=S79,"達監測值","無法判定"),"格式待核")))))))))))</f>
        <v/>
      </c>
      <c r="AF79" s="93">
        <f>IF(COUNTA($A79:$D79)=0,"",IF(OR(E79="",A79="",B79="",C79=""),"缺必要欄位",IF(Y79&lt;&gt;"OK","樣品資料待補",IF(T79=0,"測項未建或重複",IF(INDEX(DB_04[啟用],T79)&lt;&gt;"是","測項停用",IF(AND(Z79&lt;&gt;"OK",Z79&lt;&gt;"不適用"),Z79,IF(AND(AB79&lt;&gt;"OK",AB79&lt;&gt;"已換算"),"單位待核",IF(AA79&lt;&gt;"OK",AA79,"OK"))))))))</f>
        <v/>
      </c>
      <c r="AG79" s="93">
        <f>IF(COUNTA($A79:$D79)=0,"",IF(N79="ND","ND取0",IF(OR(N79="&lt;",N79="&lt;="),"界限除以2",IF(N79="NA","不適用",IF(OR(N79="&gt;",N79="&gt;="),"保留界限數值","保留原數值")))))</f>
        <v/>
      </c>
      <c r="AH79" s="92">
        <f>IF(O79="","",IFERROR(_xlfn.NUMBERVALUE(O79,".",","),""))</f>
        <v/>
      </c>
      <c r="AI79" s="92">
        <f>IF(H79="","",IFERROR(MATCH(H79,Samples[樣品編號],0),0))</f>
        <v/>
      </c>
    </row>
    <row r="80">
      <c r="A80" s="27" t="inlineStr">
        <is>
          <t>ORP</t>
        </is>
      </c>
      <c r="B80" s="28" t="inlineStr">
        <is>
          <t>45</t>
        </is>
      </c>
      <c r="C80" s="27" t="inlineStr">
        <is>
          <t>mV</t>
        </is>
      </c>
      <c r="D80" s="39" t="inlineStr">
        <is>
          <t>合成資料，非實測；method=field; reference_electrode=Ag/AgCl; calibration=verified</t>
        </is>
      </c>
      <c r="E80" s="29">
        <f>IF(OR(I80="",I80=0),"",IF(INDEX(Samples[監測點],I80)="","",INDEX(Samples[監測點],I80)))</f>
        <v/>
      </c>
      <c r="F80" s="90">
        <f>IF(OR(I80="",I80=0),"",IF(INDEX(Samples[採樣日期],I80)="","",INDEX(Samples[採樣日期],I80)))</f>
        <v/>
      </c>
      <c r="G80" s="91">
        <f>IF(OR(M80="",M80="NA",M80="N/A"),"",IF(OR(M80="ND",M80="N.D."),0,IFERROR(IF(OR(OR(ISNUMBER(SEARCH("%",O80)),ISNUMBER(SEARCH(" ",O80)),ISNUMBER(SEARCH(",",O80))),OR(SUBSTITUTE(SUBSTITUTE(SUBSTITUTE(SUBSTITUTE(SUBSTITUTE(SUBSTITUTE(SUBSTITUTE(SUBSTITUTE(SUBSTITUTE(SUBSTITUTE(SUBSTITUTE(SUBSTITUTE(SUBSTITUTE(SUBSTITUTE(SUBSTITUTE(SUBSTITUTE(SUBSTITUTE(SUBSTITUTE("x"&amp;M80,"0",""),"1",""),"2",""),"3",""),"4",""),"5",""),"6",""),"7",""),"8",""),"9",""),".",""),"E",""),"+",""),"-",""),"&lt;",""),"&gt;",""),"=","")," ","")&lt;&gt;"x",ISNUMBER(SEARCH("-",SUBSTITUTE(SUBSTITUTE("x"&amp;MID(M80,2,99),"E-","E"),"E+","E"))),ISNUMBER(SEARCH("+",SUBSTITUTE(SUBSTITUTE("x"&amp;MID(M80,2,99),"E-","E"),"E+","E"))))),"",IF(AND(OR(LEFT(M80,1)="&lt;",LEFT(M80,1)="&gt;"),IF(O80="",0,IF(ISNUMBER(AH80),AH80,NA()))&lt;0),"",IF(O80="",0,IF(ISNUMBER(AH80),AH80,NA()))/IF(LEFT(M80,1)="&lt;",2,1))),"")))</f>
        <v/>
      </c>
      <c r="H80" s="57" t="inlineStr">
        <is>
          <t>BH02-W_20260415_01</t>
        </is>
      </c>
      <c r="I80" s="92">
        <f>IF(OR(H80="",AI80=0),0,IF(INDEX(Samples[樣品重複筆數],AI80)=1,AI80,0))</f>
        <v/>
      </c>
      <c r="J80" s="92">
        <f>IF(OR(COUNTA($A80:$D80)=0,I80=0),"",IF(INDEX(Samples[介質],I80)="","",INDEX(Samples[介質],I80)))</f>
        <v/>
      </c>
      <c r="K80" s="92">
        <f>IF(OR(COUNTA($A80:$D80)=0,T80=0),"",IF(INDEX(DB_04[標準單位],T80)="","",INDEX(DB_04[標準單位],T80)))</f>
        <v/>
      </c>
      <c r="L80" s="92">
        <f>IF(COUNTA($A80:$D80)=0,"",IF(OR(C80="",K80=""),"",IF(C80=K80,1,IF(COUNTIFS(DB_06[換算鍵],C80&amp;"|"&amp;K80,DB_06[換算檢查],"OK")=1,INDEX(DB_06[乘數],MATCH(C80&amp;"|"&amp;K80,DB_06[換算鍵],0)),""))))</f>
        <v/>
      </c>
      <c r="M80" s="92">
        <f>UPPER(SUBSTITUTE(SUBSTITUTE(SUBSTITUTE(SUBSTITUTE(TRIM(B80&amp;""),"＜","&lt;"),"＞","&gt;"),"≤","&lt;="),"≥","&gt;="))</f>
        <v/>
      </c>
      <c r="N80" s="92">
        <f>IF(M80="","",IF(OR(M80="ND",M80="N.D."),"ND",IF(OR(M80="NA",M80="N/A",M80="N.A."),"NA",IF(OR(LEFT(M80,2)="&lt;=",LEFT(M80,2)="&gt;="),LEFT(M80,2),IF(OR(LEFT(M80,1)="&lt;",LEFT(M80,1)="&gt;"),LEFT(M80,1),"數值")))))</f>
        <v/>
      </c>
      <c r="O80" s="92">
        <f>IF(OR(N80="",N80="ND",N80="NA"),"",IF(N80="數值",M80,TRIM(MID(M80,LEN(N80)+1,99))))</f>
        <v/>
      </c>
      <c r="P80" s="92">
        <f>IF(O80="","",IFERROR(IF(OR(OR(ISNUMBER(SEARCH("%",O80)),ISNUMBER(SEARCH(" ",O80)),ISNUMBER(SEARCH(",",O80))),OR(SUBSTITUTE(SUBSTITUTE(SUBSTITUTE(SUBSTITUTE(SUBSTITUTE(SUBSTITUTE(SUBSTITUTE(SUBSTITUTE(SUBSTITUTE(SUBSTITUTE(SUBSTITUTE(SUBSTITUTE(SUBSTITUTE(SUBSTITUTE(SUBSTITUTE(SUBSTITUTE(SUBSTITUTE(SUBSTITUTE("x"&amp;O80,"0",""),"1",""),"2",""),"3",""),"4",""),"5",""),"6",""),"7",""),"8",""),"9",""),".",""),"E",""),"+",""),"-",""),"&lt;",""),"&gt;",""),"=","")," ","")&lt;&gt;"x",ISNUMBER(SEARCH("-",SUBSTITUTE(SUBSTITUTE("x"&amp;MID(O80,2,99),"E-","E"),"E+","E"))),ISNUMBER(SEARCH("+",SUBSTITUTE(SUBSTITUTE("x"&amp;MID(O80,2,99),"E-","E"),"E+","E"))))),"",IF(ISNUMBER(AH80),AH80,NA())),""))</f>
        <v/>
      </c>
      <c r="Q80" s="92">
        <f>IF(AND(ISNUMBER(L80),ISNUMBER(P80)),L80*P80,"")</f>
        <v/>
      </c>
      <c r="R80" s="92">
        <f>IF(OR(COUNTA($A80:$D80)=0,U80=0),"",IF(INDEX(DB_05[管制設定值],U80)="","",INDEX(DB_05[管制設定值],U80)))</f>
        <v/>
      </c>
      <c r="S80" s="92">
        <f>IF(OR(COUNTA($A80:$D80)=0,U80=0),"",IF(INDEX(DB_05[監測設定值],U80)="","",INDEX(DB_05[監測設定值],U80)))</f>
        <v/>
      </c>
      <c r="T80" s="92">
        <f>IF(COUNTA($A80:$D80)=0,"",IF(COUNTIFS(DB_04[測項鍵],V80)=1,MATCH(V80,DB_04[測項鍵],0),0))</f>
        <v/>
      </c>
      <c r="U80" s="92">
        <f>IF(COUNTA($A80:$D80)=0,"",IF(COUNTIFS(DB_05[標準鍵],W80)=1,MATCH(W80,DB_05[標準鍵],0),0))</f>
        <v/>
      </c>
      <c r="V80" s="92">
        <f>IF(OR(J80="",A80=""),"",J80&amp;"|"&amp;A80)</f>
        <v/>
      </c>
      <c r="W80" s="92">
        <f>IF(OR('07_QAQC'!$C$3="",V80=""),"",'07_QAQC'!$C$3&amp;"|"&amp;V80)</f>
        <v/>
      </c>
      <c r="X80" s="92">
        <f>IF(OR(H80="",A80=""),"",LEN(H80)&amp;":"&amp;H80&amp;LEN(A80)&amp;":"&amp;A80)</f>
        <v/>
      </c>
      <c r="Y80" s="93">
        <f>IF(COUNTA($A80:$D80)=0,"",IF(I80=0,"樣品未建或重複",IF(INDEX(Samples[樣品檢查],I80)="","OK",INDEX(Samples[樣品檢查],I80))))</f>
        <v/>
      </c>
      <c r="Z80" s="93">
        <f>IF(COUNTA($A80:$D80)=0,"",IF(B80="","缺原始值",IF(OR(B80="-",B80="--"),"無資料",IF(N80="NA","不適用",IF(N80="ND","OK",IF(NOT(ISNUMBER(P80)),"格式待核",IF(AND(N80&lt;&gt;"數值",P80&lt;0),"界限不得為負","OK")))))))</f>
        <v/>
      </c>
      <c r="AA80" s="93">
        <f>IF(COUNTA(A80:D80)=0,"",IF(OR(A80="",H80=""),"缺識別欄位",IF(IF(LEN("="&amp;SUBSTITUTE(SUBSTITUTE(SUBSTITUTE(X80,"~","~~"),"*","~*"),"?","~?"))&lt;=255,COUNTIF(Results[結果識別鍵],"="&amp;SUBSTITUTE(SUBSTITUTE(SUBSTITUTE(X80,"~","~~"),"*","~*"),"?","~?")),COUNTIFS(Results[關聯鍵],"="&amp;SUBSTITUTE(SUBSTITUTE(SUBSTITUTE(H80,"~","~~"),"*","~*"),"?","~?"),Results[分析項目],"="&amp;SUBSTITUTE(SUBSTITUTE(SUBSTITUTE(A80,"~","~~"),"*","~*"),"?","~?")))&gt;1,"同關聯鍵測項重複","OK")))</f>
        <v/>
      </c>
      <c r="AB80" s="93">
        <f>IF(COUNTA($A80:$D80)=0,"",IF(OR(C80="",K80=""),"缺單位",IF(NOT(ISNUMBER(L80)),"單位不相容",IF(L80=1,"OK","已換算"))))</f>
        <v/>
      </c>
      <c r="AC80" s="93">
        <f>IF(COUNTA($A80:$D80)=0,"",IF('07_QAQC'!$C$3="","未選比較版本",IF(U80=0,IF(COUNTIFS(DB_05[標準鍵],W80)&gt;1,"標準鍵重複","未訂此介質／測項門檻"),IF(INDEX(DB_05[版本檢查],U80)&lt;&gt;"OK","標準主檔待核",IF(INDEX(DB_05[標準單位],U80)&lt;&gt;K80,"標準單位不符",IF(INDEX(DB_05[核對狀態],U80)="停用","停用",IF(F80="","缺採樣日期",IF(OR(AND(INDEX(DB_05[生效日],U80)&lt;&gt;"",F80&lt;INDEX(DB_05[生效日],U80)),AND(INDEX(DB_05[失效日],U80)&lt;&gt;"",F80&gt;INDEX(DB_05[失效日],U80))),"日期不適用",INDEX(DB_05[核對狀態],U80)))))))))</f>
        <v/>
      </c>
      <c r="AD80" s="93">
        <f>IF(COUNTA($A80:$D80)=0,"",IF(AC80="未訂此介質／測項門檻",AC80,IF(AC80&lt;&gt;"已核對","標準待核",IF(R80="","未訂管制值",IF(NOT(ISNUMBER(L80)),"單位待核",IF(N80="ND","無法判定（ND無界限）",IF(N80="NA","不適用",IF(Z80&lt;&gt;"OK",Z80,IF(N80="數值",IF(Q80&gt;=R80,"達管制值","未達管制值"),IF(OR(N80="&lt;",N80="&lt;="),IF(OR(Q80&lt;R80,AND(N80="&lt;",Q80=R80)),"未達管制值","無法判定"),IF(OR(N80="&gt;",N80="&gt;="),IF(Q80&gt;=R80,"達管制值","無法判定"),"格式待核")))))))))))</f>
        <v/>
      </c>
      <c r="AE80" s="93">
        <f>IF(COUNTA($A80:$D80)=0,"",IF(AC80="未訂此介質／測項門檻",AC80,IF(AC80&lt;&gt;"已核對","標準待核",IF(S80="","未訂監測值",IF(NOT(ISNUMBER(L80)),"單位待核",IF(N80="ND","無法判定（ND無界限）",IF(N80="NA","不適用",IF(Z80&lt;&gt;"OK",Z80,IF(N80="數值",IF(Q80&gt;=S80,"達監測值","未達監測值"),IF(OR(N80="&lt;",N80="&lt;="),IF(OR(Q80&lt;S80,AND(N80="&lt;",Q80=S80)),"未達監測值","無法判定"),IF(OR(N80="&gt;",N80="&gt;="),IF(Q80&gt;=S80,"達監測值","無法判定"),"格式待核")))))))))))</f>
        <v/>
      </c>
      <c r="AF80" s="93">
        <f>IF(COUNTA($A80:$D80)=0,"",IF(OR(E80="",A80="",B80="",C80=""),"缺必要欄位",IF(Y80&lt;&gt;"OK","樣品資料待補",IF(T80=0,"測項未建或重複",IF(INDEX(DB_04[啟用],T80)&lt;&gt;"是","測項停用",IF(AND(Z80&lt;&gt;"OK",Z80&lt;&gt;"不適用"),Z80,IF(AND(AB80&lt;&gt;"OK",AB80&lt;&gt;"已換算"),"單位待核",IF(AA80&lt;&gt;"OK",AA80,"OK"))))))))</f>
        <v/>
      </c>
      <c r="AG80" s="93">
        <f>IF(COUNTA($A80:$D80)=0,"",IF(N80="ND","ND取0",IF(OR(N80="&lt;",N80="&lt;="),"界限除以2",IF(N80="NA","不適用",IF(OR(N80="&gt;",N80="&gt;="),"保留界限數值","保留原數值")))))</f>
        <v/>
      </c>
      <c r="AH80" s="92">
        <f>IF(O80="","",IFERROR(_xlfn.NUMBERVALUE(O80,".",","),""))</f>
        <v/>
      </c>
      <c r="AI80" s="92">
        <f>IF(H80="","",IFERROR(MATCH(H80,Samples[樣品編號],0),0))</f>
        <v/>
      </c>
    </row>
    <row r="81">
      <c r="A81" s="27" t="inlineStr">
        <is>
          <t>總有機碳</t>
        </is>
      </c>
      <c r="B81" s="28" t="inlineStr">
        <is>
          <t>2.5</t>
        </is>
      </c>
      <c r="C81" s="27" t="inlineStr">
        <is>
          <t>mg/L</t>
        </is>
      </c>
      <c r="D81" s="39" t="inlineStr">
        <is>
          <t>合成資料，非實測；method=lab</t>
        </is>
      </c>
      <c r="E81" s="29">
        <f>IF(OR(I81="",I81=0),"",IF(INDEX(Samples[監測點],I81)="","",INDEX(Samples[監測點],I81)))</f>
        <v/>
      </c>
      <c r="F81" s="90">
        <f>IF(OR(I81="",I81=0),"",IF(INDEX(Samples[採樣日期],I81)="","",INDEX(Samples[採樣日期],I81)))</f>
        <v/>
      </c>
      <c r="G81" s="91">
        <f>IF(OR(M81="",M81="NA",M81="N/A"),"",IF(OR(M81="ND",M81="N.D."),0,IFERROR(IF(OR(OR(ISNUMBER(SEARCH("%",O81)),ISNUMBER(SEARCH(" ",O81)),ISNUMBER(SEARCH(",",O81))),OR(SUBSTITUTE(SUBSTITUTE(SUBSTITUTE(SUBSTITUTE(SUBSTITUTE(SUBSTITUTE(SUBSTITUTE(SUBSTITUTE(SUBSTITUTE(SUBSTITUTE(SUBSTITUTE(SUBSTITUTE(SUBSTITUTE(SUBSTITUTE(SUBSTITUTE(SUBSTITUTE(SUBSTITUTE(SUBSTITUTE("x"&amp;M81,"0",""),"1",""),"2",""),"3",""),"4",""),"5",""),"6",""),"7",""),"8",""),"9",""),".",""),"E",""),"+",""),"-",""),"&lt;",""),"&gt;",""),"=","")," ","")&lt;&gt;"x",ISNUMBER(SEARCH("-",SUBSTITUTE(SUBSTITUTE("x"&amp;MID(M81,2,99),"E-","E"),"E+","E"))),ISNUMBER(SEARCH("+",SUBSTITUTE(SUBSTITUTE("x"&amp;MID(M81,2,99),"E-","E"),"E+","E"))))),"",IF(AND(OR(LEFT(M81,1)="&lt;",LEFT(M81,1)="&gt;"),IF(O81="",0,IF(ISNUMBER(AH81),AH81,NA()))&lt;0),"",IF(O81="",0,IF(ISNUMBER(AH81),AH81,NA()))/IF(LEFT(M81,1)="&lt;",2,1))),"")))</f>
        <v/>
      </c>
      <c r="H81" s="57" t="inlineStr">
        <is>
          <t>BH02-W_20260415_01</t>
        </is>
      </c>
      <c r="I81" s="92">
        <f>IF(OR(H81="",AI81=0),0,IF(INDEX(Samples[樣品重複筆數],AI81)=1,AI81,0))</f>
        <v/>
      </c>
      <c r="J81" s="92">
        <f>IF(OR(COUNTA($A81:$D81)=0,I81=0),"",IF(INDEX(Samples[介質],I81)="","",INDEX(Samples[介質],I81)))</f>
        <v/>
      </c>
      <c r="K81" s="92">
        <f>IF(OR(COUNTA($A81:$D81)=0,T81=0),"",IF(INDEX(DB_04[標準單位],T81)="","",INDEX(DB_04[標準單位],T81)))</f>
        <v/>
      </c>
      <c r="L81" s="92">
        <f>IF(COUNTA($A81:$D81)=0,"",IF(OR(C81="",K81=""),"",IF(C81=K81,1,IF(COUNTIFS(DB_06[換算鍵],C81&amp;"|"&amp;K81,DB_06[換算檢查],"OK")=1,INDEX(DB_06[乘數],MATCH(C81&amp;"|"&amp;K81,DB_06[換算鍵],0)),""))))</f>
        <v/>
      </c>
      <c r="M81" s="92">
        <f>UPPER(SUBSTITUTE(SUBSTITUTE(SUBSTITUTE(SUBSTITUTE(TRIM(B81&amp;""),"＜","&lt;"),"＞","&gt;"),"≤","&lt;="),"≥","&gt;="))</f>
        <v/>
      </c>
      <c r="N81" s="92">
        <f>IF(M81="","",IF(OR(M81="ND",M81="N.D."),"ND",IF(OR(M81="NA",M81="N/A",M81="N.A."),"NA",IF(OR(LEFT(M81,2)="&lt;=",LEFT(M81,2)="&gt;="),LEFT(M81,2),IF(OR(LEFT(M81,1)="&lt;",LEFT(M81,1)="&gt;"),LEFT(M81,1),"數值")))))</f>
        <v/>
      </c>
      <c r="O81" s="92">
        <f>IF(OR(N81="",N81="ND",N81="NA"),"",IF(N81="數值",M81,TRIM(MID(M81,LEN(N81)+1,99))))</f>
        <v/>
      </c>
      <c r="P81" s="92">
        <f>IF(O81="","",IFERROR(IF(OR(OR(ISNUMBER(SEARCH("%",O81)),ISNUMBER(SEARCH(" ",O81)),ISNUMBER(SEARCH(",",O81))),OR(SUBSTITUTE(SUBSTITUTE(SUBSTITUTE(SUBSTITUTE(SUBSTITUTE(SUBSTITUTE(SUBSTITUTE(SUBSTITUTE(SUBSTITUTE(SUBSTITUTE(SUBSTITUTE(SUBSTITUTE(SUBSTITUTE(SUBSTITUTE(SUBSTITUTE(SUBSTITUTE(SUBSTITUTE(SUBSTITUTE("x"&amp;O81,"0",""),"1",""),"2",""),"3",""),"4",""),"5",""),"6",""),"7",""),"8",""),"9",""),".",""),"E",""),"+",""),"-",""),"&lt;",""),"&gt;",""),"=","")," ","")&lt;&gt;"x",ISNUMBER(SEARCH("-",SUBSTITUTE(SUBSTITUTE("x"&amp;MID(O81,2,99),"E-","E"),"E+","E"))),ISNUMBER(SEARCH("+",SUBSTITUTE(SUBSTITUTE("x"&amp;MID(O81,2,99),"E-","E"),"E+","E"))))),"",IF(ISNUMBER(AH81),AH81,NA())),""))</f>
        <v/>
      </c>
      <c r="Q81" s="92">
        <f>IF(AND(ISNUMBER(L81),ISNUMBER(P81)),L81*P81,"")</f>
        <v/>
      </c>
      <c r="R81" s="92">
        <f>IF(OR(COUNTA($A81:$D81)=0,U81=0),"",IF(INDEX(DB_05[管制設定值],U81)="","",INDEX(DB_05[管制設定值],U81)))</f>
        <v/>
      </c>
      <c r="S81" s="92">
        <f>IF(OR(COUNTA($A81:$D81)=0,U81=0),"",IF(INDEX(DB_05[監測設定值],U81)="","",INDEX(DB_05[監測設定值],U81)))</f>
        <v/>
      </c>
      <c r="T81" s="92">
        <f>IF(COUNTA($A81:$D81)=0,"",IF(COUNTIFS(DB_04[測項鍵],V81)=1,MATCH(V81,DB_04[測項鍵],0),0))</f>
        <v/>
      </c>
      <c r="U81" s="92">
        <f>IF(COUNTA($A81:$D81)=0,"",IF(COUNTIFS(DB_05[標準鍵],W81)=1,MATCH(W81,DB_05[標準鍵],0),0))</f>
        <v/>
      </c>
      <c r="V81" s="92">
        <f>IF(OR(J81="",A81=""),"",J81&amp;"|"&amp;A81)</f>
        <v/>
      </c>
      <c r="W81" s="92">
        <f>IF(OR('07_QAQC'!$C$3="",V81=""),"",'07_QAQC'!$C$3&amp;"|"&amp;V81)</f>
        <v/>
      </c>
      <c r="X81" s="92">
        <f>IF(OR(H81="",A81=""),"",LEN(H81)&amp;":"&amp;H81&amp;LEN(A81)&amp;":"&amp;A81)</f>
        <v/>
      </c>
      <c r="Y81" s="93">
        <f>IF(COUNTA($A81:$D81)=0,"",IF(I81=0,"樣品未建或重複",IF(INDEX(Samples[樣品檢查],I81)="","OK",INDEX(Samples[樣品檢查],I81))))</f>
        <v/>
      </c>
      <c r="Z81" s="93">
        <f>IF(COUNTA($A81:$D81)=0,"",IF(B81="","缺原始值",IF(OR(B81="-",B81="--"),"無資料",IF(N81="NA","不適用",IF(N81="ND","OK",IF(NOT(ISNUMBER(P81)),"格式待核",IF(AND(N81&lt;&gt;"數值",P81&lt;0),"界限不得為負","OK")))))))</f>
        <v/>
      </c>
      <c r="AA81" s="93">
        <f>IF(COUNTA(A81:D81)=0,"",IF(OR(A81="",H81=""),"缺識別欄位",IF(IF(LEN("="&amp;SUBSTITUTE(SUBSTITUTE(SUBSTITUTE(X81,"~","~~"),"*","~*"),"?","~?"))&lt;=255,COUNTIF(Results[結果識別鍵],"="&amp;SUBSTITUTE(SUBSTITUTE(SUBSTITUTE(X81,"~","~~"),"*","~*"),"?","~?")),COUNTIFS(Results[關聯鍵],"="&amp;SUBSTITUTE(SUBSTITUTE(SUBSTITUTE(H81,"~","~~"),"*","~*"),"?","~?"),Results[分析項目],"="&amp;SUBSTITUTE(SUBSTITUTE(SUBSTITUTE(A81,"~","~~"),"*","~*"),"?","~?")))&gt;1,"同關聯鍵測項重複","OK")))</f>
        <v/>
      </c>
      <c r="AB81" s="93">
        <f>IF(COUNTA($A81:$D81)=0,"",IF(OR(C81="",K81=""),"缺單位",IF(NOT(ISNUMBER(L81)),"單位不相容",IF(L81=1,"OK","已換算"))))</f>
        <v/>
      </c>
      <c r="AC81" s="93">
        <f>IF(COUNTA($A81:$D81)=0,"",IF('07_QAQC'!$C$3="","未選比較版本",IF(U81=0,IF(COUNTIFS(DB_05[標準鍵],W81)&gt;1,"標準鍵重複","未訂此介質／測項門檻"),IF(INDEX(DB_05[版本檢查],U81)&lt;&gt;"OK","標準主檔待核",IF(INDEX(DB_05[標準單位],U81)&lt;&gt;K81,"標準單位不符",IF(INDEX(DB_05[核對狀態],U81)="停用","停用",IF(F81="","缺採樣日期",IF(OR(AND(INDEX(DB_05[生效日],U81)&lt;&gt;"",F81&lt;INDEX(DB_05[生效日],U81)),AND(INDEX(DB_05[失效日],U81)&lt;&gt;"",F81&gt;INDEX(DB_05[失效日],U81))),"日期不適用",INDEX(DB_05[核對狀態],U81)))))))))</f>
        <v/>
      </c>
      <c r="AD81" s="93">
        <f>IF(COUNTA($A81:$D81)=0,"",IF(AC81="未訂此介質／測項門檻",AC81,IF(AC81&lt;&gt;"已核對","標準待核",IF(R81="","未訂管制值",IF(NOT(ISNUMBER(L81)),"單位待核",IF(N81="ND","無法判定（ND無界限）",IF(N81="NA","不適用",IF(Z81&lt;&gt;"OK",Z81,IF(N81="數值",IF(Q81&gt;=R81,"達管制值","未達管制值"),IF(OR(N81="&lt;",N81="&lt;="),IF(OR(Q81&lt;R81,AND(N81="&lt;",Q81=R81)),"未達管制值","無法判定"),IF(OR(N81="&gt;",N81="&gt;="),IF(Q81&gt;=R81,"達管制值","無法判定"),"格式待核")))))))))))</f>
        <v/>
      </c>
      <c r="AE81" s="93">
        <f>IF(COUNTA($A81:$D81)=0,"",IF(AC81="未訂此介質／測項門檻",AC81,IF(AC81&lt;&gt;"已核對","標準待核",IF(S81="","未訂監測值",IF(NOT(ISNUMBER(L81)),"單位待核",IF(N81="ND","無法判定（ND無界限）",IF(N81="NA","不適用",IF(Z81&lt;&gt;"OK",Z81,IF(N81="數值",IF(Q81&gt;=S81,"達監測值","未達監測值"),IF(OR(N81="&lt;",N81="&lt;="),IF(OR(Q81&lt;S81,AND(N81="&lt;",Q81=S81)),"未達監測值","無法判定"),IF(OR(N81="&gt;",N81="&gt;="),IF(Q81&gt;=S81,"達監測值","無法判定"),"格式待核")))))))))))</f>
        <v/>
      </c>
      <c r="AF81" s="93">
        <f>IF(COUNTA($A81:$D81)=0,"",IF(OR(E81="",A81="",B81="",C81=""),"缺必要欄位",IF(Y81&lt;&gt;"OK","樣品資料待補",IF(T81=0,"測項未建或重複",IF(INDEX(DB_04[啟用],T81)&lt;&gt;"是","測項停用",IF(AND(Z81&lt;&gt;"OK",Z81&lt;&gt;"不適用"),Z81,IF(AND(AB81&lt;&gt;"OK",AB81&lt;&gt;"已換算"),"單位待核",IF(AA81&lt;&gt;"OK",AA81,"OK"))))))))</f>
        <v/>
      </c>
      <c r="AG81" s="93">
        <f>IF(COUNTA($A81:$D81)=0,"",IF(N81="ND","ND取0",IF(OR(N81="&lt;",N81="&lt;="),"界限除以2",IF(N81="NA","不適用",IF(OR(N81="&gt;",N81="&gt;="),"保留界限數值","保留原數值")))))</f>
        <v/>
      </c>
      <c r="AH81" s="92">
        <f>IF(O81="","",IFERROR(_xlfn.NUMBERVALUE(O81,".",","),""))</f>
        <v/>
      </c>
      <c r="AI81" s="92">
        <f>IF(H81="","",IFERROR(MATCH(H81,Samples[樣品編號],0),0))</f>
        <v/>
      </c>
    </row>
    <row r="82">
      <c r="A82" s="27" t="inlineStr">
        <is>
          <t>鋅</t>
        </is>
      </c>
      <c r="B82" s="28" t="inlineStr">
        <is>
          <t>120</t>
        </is>
      </c>
      <c r="C82" s="27" t="inlineStr">
        <is>
          <t>mg/kg</t>
        </is>
      </c>
      <c r="D82" s="39" t="inlineStr">
        <is>
          <t>合成資料，非實測；method=XRF; basis=dry</t>
        </is>
      </c>
      <c r="E82" s="29">
        <f>IF(OR(I82="",I82=0),"",IF(INDEX(Samples[監測點],I82)="","",INDEX(Samples[監測點],I82)))</f>
        <v/>
      </c>
      <c r="F82" s="90">
        <f>IF(OR(I82="",I82=0),"",IF(INDEX(Samples[採樣日期],I82)="","",INDEX(Samples[採樣日期],I82)))</f>
        <v/>
      </c>
      <c r="G82" s="91">
        <f>IF(OR(M82="",M82="NA",M82="N/A"),"",IF(OR(M82="ND",M82="N.D."),0,IFERROR(IF(OR(OR(ISNUMBER(SEARCH("%",O82)),ISNUMBER(SEARCH(" ",O82)),ISNUMBER(SEARCH(",",O82))),OR(SUBSTITUTE(SUBSTITUTE(SUBSTITUTE(SUBSTITUTE(SUBSTITUTE(SUBSTITUTE(SUBSTITUTE(SUBSTITUTE(SUBSTITUTE(SUBSTITUTE(SUBSTITUTE(SUBSTITUTE(SUBSTITUTE(SUBSTITUTE(SUBSTITUTE(SUBSTITUTE(SUBSTITUTE(SUBSTITUTE("x"&amp;M82,"0",""),"1",""),"2",""),"3",""),"4",""),"5",""),"6",""),"7",""),"8",""),"9",""),".",""),"E",""),"+",""),"-",""),"&lt;",""),"&gt;",""),"=","")," ","")&lt;&gt;"x",ISNUMBER(SEARCH("-",SUBSTITUTE(SUBSTITUTE("x"&amp;MID(M82,2,99),"E-","E"),"E+","E"))),ISNUMBER(SEARCH("+",SUBSTITUTE(SUBSTITUTE("x"&amp;MID(M82,2,99),"E-","E"),"E+","E"))))),"",IF(AND(OR(LEFT(M82,1)="&lt;",LEFT(M82,1)="&gt;"),IF(O82="",0,IF(ISNUMBER(AH82),AH82,NA()))&lt;0),"",IF(O82="",0,IF(ISNUMBER(AH82),AH82,NA()))/IF(LEFT(M82,1)="&lt;",2,1))),"")))</f>
        <v/>
      </c>
      <c r="H82" s="57" t="inlineStr">
        <is>
          <t>BH02-S_20260415_02</t>
        </is>
      </c>
      <c r="I82" s="92">
        <f>IF(OR(H82="",AI82=0),0,IF(INDEX(Samples[樣品重複筆數],AI82)=1,AI82,0))</f>
        <v/>
      </c>
      <c r="J82" s="92">
        <f>IF(OR(COUNTA($A82:$D82)=0,I82=0),"",IF(INDEX(Samples[介質],I82)="","",INDEX(Samples[介質],I82)))</f>
        <v/>
      </c>
      <c r="K82" s="92">
        <f>IF(OR(COUNTA($A82:$D82)=0,T82=0),"",IF(INDEX(DB_04[標準單位],T82)="","",INDEX(DB_04[標準單位],T82)))</f>
        <v/>
      </c>
      <c r="L82" s="92">
        <f>IF(COUNTA($A82:$D82)=0,"",IF(OR(C82="",K82=""),"",IF(C82=K82,1,IF(COUNTIFS(DB_06[換算鍵],C82&amp;"|"&amp;K82,DB_06[換算檢查],"OK")=1,INDEX(DB_06[乘數],MATCH(C82&amp;"|"&amp;K82,DB_06[換算鍵],0)),""))))</f>
        <v/>
      </c>
      <c r="M82" s="92">
        <f>UPPER(SUBSTITUTE(SUBSTITUTE(SUBSTITUTE(SUBSTITUTE(TRIM(B82&amp;""),"＜","&lt;"),"＞","&gt;"),"≤","&lt;="),"≥","&gt;="))</f>
        <v/>
      </c>
      <c r="N82" s="92">
        <f>IF(M82="","",IF(OR(M82="ND",M82="N.D."),"ND",IF(OR(M82="NA",M82="N/A",M82="N.A."),"NA",IF(OR(LEFT(M82,2)="&lt;=",LEFT(M82,2)="&gt;="),LEFT(M82,2),IF(OR(LEFT(M82,1)="&lt;",LEFT(M82,1)="&gt;"),LEFT(M82,1),"數值")))))</f>
        <v/>
      </c>
      <c r="O82" s="92">
        <f>IF(OR(N82="",N82="ND",N82="NA"),"",IF(N82="數值",M82,TRIM(MID(M82,LEN(N82)+1,99))))</f>
        <v/>
      </c>
      <c r="P82" s="92">
        <f>IF(O82="","",IFERROR(IF(OR(OR(ISNUMBER(SEARCH("%",O82)),ISNUMBER(SEARCH(" ",O82)),ISNUMBER(SEARCH(",",O82))),OR(SUBSTITUTE(SUBSTITUTE(SUBSTITUTE(SUBSTITUTE(SUBSTITUTE(SUBSTITUTE(SUBSTITUTE(SUBSTITUTE(SUBSTITUTE(SUBSTITUTE(SUBSTITUTE(SUBSTITUTE(SUBSTITUTE(SUBSTITUTE(SUBSTITUTE(SUBSTITUTE(SUBSTITUTE(SUBSTITUTE("x"&amp;O82,"0",""),"1",""),"2",""),"3",""),"4",""),"5",""),"6",""),"7",""),"8",""),"9",""),".",""),"E",""),"+",""),"-",""),"&lt;",""),"&gt;",""),"=","")," ","")&lt;&gt;"x",ISNUMBER(SEARCH("-",SUBSTITUTE(SUBSTITUTE("x"&amp;MID(O82,2,99),"E-","E"),"E+","E"))),ISNUMBER(SEARCH("+",SUBSTITUTE(SUBSTITUTE("x"&amp;MID(O82,2,99),"E-","E"),"E+","E"))))),"",IF(ISNUMBER(AH82),AH82,NA())),""))</f>
        <v/>
      </c>
      <c r="Q82" s="92">
        <f>IF(AND(ISNUMBER(L82),ISNUMBER(P82)),L82*P82,"")</f>
        <v/>
      </c>
      <c r="R82" s="92">
        <f>IF(OR(COUNTA($A82:$D82)=0,U82=0),"",IF(INDEX(DB_05[管制設定值],U82)="","",INDEX(DB_05[管制設定值],U82)))</f>
        <v/>
      </c>
      <c r="S82" s="92">
        <f>IF(OR(COUNTA($A82:$D82)=0,U82=0),"",IF(INDEX(DB_05[監測設定值],U82)="","",INDEX(DB_05[監測設定值],U82)))</f>
        <v/>
      </c>
      <c r="T82" s="92">
        <f>IF(COUNTA($A82:$D82)=0,"",IF(COUNTIFS(DB_04[測項鍵],V82)=1,MATCH(V82,DB_04[測項鍵],0),0))</f>
        <v/>
      </c>
      <c r="U82" s="92">
        <f>IF(COUNTA($A82:$D82)=0,"",IF(COUNTIFS(DB_05[標準鍵],W82)=1,MATCH(W82,DB_05[標準鍵],0),0))</f>
        <v/>
      </c>
      <c r="V82" s="92">
        <f>IF(OR(J82="",A82=""),"",J82&amp;"|"&amp;A82)</f>
        <v/>
      </c>
      <c r="W82" s="92">
        <f>IF(OR('07_QAQC'!$C$3="",V82=""),"",'07_QAQC'!$C$3&amp;"|"&amp;V82)</f>
        <v/>
      </c>
      <c r="X82" s="92">
        <f>IF(OR(H82="",A82=""),"",LEN(H82)&amp;":"&amp;H82&amp;LEN(A82)&amp;":"&amp;A82)</f>
        <v/>
      </c>
      <c r="Y82" s="93">
        <f>IF(COUNTA($A82:$D82)=0,"",IF(I82=0,"樣品未建或重複",IF(INDEX(Samples[樣品檢查],I82)="","OK",INDEX(Samples[樣品檢查],I82))))</f>
        <v/>
      </c>
      <c r="Z82" s="93">
        <f>IF(COUNTA($A82:$D82)=0,"",IF(B82="","缺原始值",IF(OR(B82="-",B82="--"),"無資料",IF(N82="NA","不適用",IF(N82="ND","OK",IF(NOT(ISNUMBER(P82)),"格式待核",IF(AND(N82&lt;&gt;"數值",P82&lt;0),"界限不得為負","OK")))))))</f>
        <v/>
      </c>
      <c r="AA82" s="93">
        <f>IF(COUNTA(A82:D82)=0,"",IF(OR(A82="",H82=""),"缺識別欄位",IF(IF(LEN("="&amp;SUBSTITUTE(SUBSTITUTE(SUBSTITUTE(X82,"~","~~"),"*","~*"),"?","~?"))&lt;=255,COUNTIF(Results[結果識別鍵],"="&amp;SUBSTITUTE(SUBSTITUTE(SUBSTITUTE(X82,"~","~~"),"*","~*"),"?","~?")),COUNTIFS(Results[關聯鍵],"="&amp;SUBSTITUTE(SUBSTITUTE(SUBSTITUTE(H82,"~","~~"),"*","~*"),"?","~?"),Results[分析項目],"="&amp;SUBSTITUTE(SUBSTITUTE(SUBSTITUTE(A82,"~","~~"),"*","~*"),"?","~?")))&gt;1,"同關聯鍵測項重複","OK")))</f>
        <v/>
      </c>
      <c r="AB82" s="93">
        <f>IF(COUNTA($A82:$D82)=0,"",IF(OR(C82="",K82=""),"缺單位",IF(NOT(ISNUMBER(L82)),"單位不相容",IF(L82=1,"OK","已換算"))))</f>
        <v/>
      </c>
      <c r="AC82" s="93">
        <f>IF(COUNTA($A82:$D82)=0,"",IF('07_QAQC'!$C$3="","未選比較版本",IF(U82=0,IF(COUNTIFS(DB_05[標準鍵],W82)&gt;1,"標準鍵重複","未訂此介質／測項門檻"),IF(INDEX(DB_05[版本檢查],U82)&lt;&gt;"OK","標準主檔待核",IF(INDEX(DB_05[標準單位],U82)&lt;&gt;K82,"標準單位不符",IF(INDEX(DB_05[核對狀態],U82)="停用","停用",IF(F82="","缺採樣日期",IF(OR(AND(INDEX(DB_05[生效日],U82)&lt;&gt;"",F82&lt;INDEX(DB_05[生效日],U82)),AND(INDEX(DB_05[失效日],U82)&lt;&gt;"",F82&gt;INDEX(DB_05[失效日],U82))),"日期不適用",INDEX(DB_05[核對狀態],U82)))))))))</f>
        <v/>
      </c>
      <c r="AD82" s="93">
        <f>IF(COUNTA($A82:$D82)=0,"",IF(AC82="未訂此介質／測項門檻",AC82,IF(AC82&lt;&gt;"已核對","標準待核",IF(R82="","未訂管制值",IF(NOT(ISNUMBER(L82)),"單位待核",IF(N82="ND","無法判定（ND無界限）",IF(N82="NA","不適用",IF(Z82&lt;&gt;"OK",Z82,IF(N82="數值",IF(Q82&gt;=R82,"達管制值","未達管制值"),IF(OR(N82="&lt;",N82="&lt;="),IF(OR(Q82&lt;R82,AND(N82="&lt;",Q82=R82)),"未達管制值","無法判定"),IF(OR(N82="&gt;",N82="&gt;="),IF(Q82&gt;=R82,"達管制值","無法判定"),"格式待核")))))))))))</f>
        <v/>
      </c>
      <c r="AE82" s="93">
        <f>IF(COUNTA($A82:$D82)=0,"",IF(AC82="未訂此介質／測項門檻",AC82,IF(AC82&lt;&gt;"已核對","標準待核",IF(S82="","未訂監測值",IF(NOT(ISNUMBER(L82)),"單位待核",IF(N82="ND","無法判定（ND無界限）",IF(N82="NA","不適用",IF(Z82&lt;&gt;"OK",Z82,IF(N82="數值",IF(Q82&gt;=S82,"達監測值","未達監測值"),IF(OR(N82="&lt;",N82="&lt;="),IF(OR(Q82&lt;S82,AND(N82="&lt;",Q82=S82)),"未達監測值","無法判定"),IF(OR(N82="&gt;",N82="&gt;="),IF(Q82&gt;=S82,"達監測值","無法判定"),"格式待核")))))))))))</f>
        <v/>
      </c>
      <c r="AF82" s="93">
        <f>IF(COUNTA($A82:$D82)=0,"",IF(OR(E82="",A82="",B82="",C82=""),"缺必要欄位",IF(Y82&lt;&gt;"OK","樣品資料待補",IF(T82=0,"測項未建或重複",IF(INDEX(DB_04[啟用],T82)&lt;&gt;"是","測項停用",IF(AND(Z82&lt;&gt;"OK",Z82&lt;&gt;"不適用"),Z82,IF(AND(AB82&lt;&gt;"OK",AB82&lt;&gt;"已換算"),"單位待核",IF(AA82&lt;&gt;"OK",AA82,"OK"))))))))</f>
        <v/>
      </c>
      <c r="AG82" s="93">
        <f>IF(COUNTA($A82:$D82)=0,"",IF(N82="ND","ND取0",IF(OR(N82="&lt;",N82="&lt;="),"界限除以2",IF(N82="NA","不適用",IF(OR(N82="&gt;",N82="&gt;="),"保留界限數值","保留原數值")))))</f>
        <v/>
      </c>
      <c r="AH82" s="92">
        <f>IF(O82="","",IFERROR(_xlfn.NUMBERVALUE(O82,".",","),""))</f>
        <v/>
      </c>
      <c r="AI82" s="92">
        <f>IF(H82="","",IFERROR(MATCH(H82,Samples[樣品編號],0),0))</f>
        <v/>
      </c>
    </row>
    <row r="83">
      <c r="A83" s="27" t="inlineStr">
        <is>
          <t>總有機碳</t>
        </is>
      </c>
      <c r="B83" s="28" t="inlineStr">
        <is>
          <t>0.35</t>
        </is>
      </c>
      <c r="C83" s="27" t="inlineStr">
        <is>
          <t>%</t>
        </is>
      </c>
      <c r="D83" s="39" t="inlineStr">
        <is>
          <t>合成資料，非實測；method=lab; basis=dry</t>
        </is>
      </c>
      <c r="E83" s="29">
        <f>IF(OR(I83="",I83=0),"",IF(INDEX(Samples[監測點],I83)="","",INDEX(Samples[監測點],I83)))</f>
        <v/>
      </c>
      <c r="F83" s="90">
        <f>IF(OR(I83="",I83=0),"",IF(INDEX(Samples[採樣日期],I83)="","",INDEX(Samples[採樣日期],I83)))</f>
        <v/>
      </c>
      <c r="G83" s="91">
        <f>IF(OR(M83="",M83="NA",M83="N/A"),"",IF(OR(M83="ND",M83="N.D."),0,IFERROR(IF(OR(OR(ISNUMBER(SEARCH("%",O83)),ISNUMBER(SEARCH(" ",O83)),ISNUMBER(SEARCH(",",O83))),OR(SUBSTITUTE(SUBSTITUTE(SUBSTITUTE(SUBSTITUTE(SUBSTITUTE(SUBSTITUTE(SUBSTITUTE(SUBSTITUTE(SUBSTITUTE(SUBSTITUTE(SUBSTITUTE(SUBSTITUTE(SUBSTITUTE(SUBSTITUTE(SUBSTITUTE(SUBSTITUTE(SUBSTITUTE(SUBSTITUTE("x"&amp;M83,"0",""),"1",""),"2",""),"3",""),"4",""),"5",""),"6",""),"7",""),"8",""),"9",""),".",""),"E",""),"+",""),"-",""),"&lt;",""),"&gt;",""),"=","")," ","")&lt;&gt;"x",ISNUMBER(SEARCH("-",SUBSTITUTE(SUBSTITUTE("x"&amp;MID(M83,2,99),"E-","E"),"E+","E"))),ISNUMBER(SEARCH("+",SUBSTITUTE(SUBSTITUTE("x"&amp;MID(M83,2,99),"E-","E"),"E+","E"))))),"",IF(AND(OR(LEFT(M83,1)="&lt;",LEFT(M83,1)="&gt;"),IF(O83="",0,IF(ISNUMBER(AH83),AH83,NA()))&lt;0),"",IF(O83="",0,IF(ISNUMBER(AH83),AH83,NA()))/IF(LEFT(M83,1)="&lt;",2,1))),"")))</f>
        <v/>
      </c>
      <c r="H83" s="57" t="inlineStr">
        <is>
          <t>BH02-S_20260415_02</t>
        </is>
      </c>
      <c r="I83" s="92">
        <f>IF(OR(H83="",AI83=0),0,IF(INDEX(Samples[樣品重複筆數],AI83)=1,AI83,0))</f>
        <v/>
      </c>
      <c r="J83" s="92">
        <f>IF(OR(COUNTA($A83:$D83)=0,I83=0),"",IF(INDEX(Samples[介質],I83)="","",INDEX(Samples[介質],I83)))</f>
        <v/>
      </c>
      <c r="K83" s="92">
        <f>IF(OR(COUNTA($A83:$D83)=0,T83=0),"",IF(INDEX(DB_04[標準單位],T83)="","",INDEX(DB_04[標準單位],T83)))</f>
        <v/>
      </c>
      <c r="L83" s="92">
        <f>IF(COUNTA($A83:$D83)=0,"",IF(OR(C83="",K83=""),"",IF(C83=K83,1,IF(COUNTIFS(DB_06[換算鍵],C83&amp;"|"&amp;K83,DB_06[換算檢查],"OK")=1,INDEX(DB_06[乘數],MATCH(C83&amp;"|"&amp;K83,DB_06[換算鍵],0)),""))))</f>
        <v/>
      </c>
      <c r="M83" s="92">
        <f>UPPER(SUBSTITUTE(SUBSTITUTE(SUBSTITUTE(SUBSTITUTE(TRIM(B83&amp;""),"＜","&lt;"),"＞","&gt;"),"≤","&lt;="),"≥","&gt;="))</f>
        <v/>
      </c>
      <c r="N83" s="92">
        <f>IF(M83="","",IF(OR(M83="ND",M83="N.D."),"ND",IF(OR(M83="NA",M83="N/A",M83="N.A."),"NA",IF(OR(LEFT(M83,2)="&lt;=",LEFT(M83,2)="&gt;="),LEFT(M83,2),IF(OR(LEFT(M83,1)="&lt;",LEFT(M83,1)="&gt;"),LEFT(M83,1),"數值")))))</f>
        <v/>
      </c>
      <c r="O83" s="92">
        <f>IF(OR(N83="",N83="ND",N83="NA"),"",IF(N83="數值",M83,TRIM(MID(M83,LEN(N83)+1,99))))</f>
        <v/>
      </c>
      <c r="P83" s="92">
        <f>IF(O83="","",IFERROR(IF(OR(OR(ISNUMBER(SEARCH("%",O83)),ISNUMBER(SEARCH(" ",O83)),ISNUMBER(SEARCH(",",O83))),OR(SUBSTITUTE(SUBSTITUTE(SUBSTITUTE(SUBSTITUTE(SUBSTITUTE(SUBSTITUTE(SUBSTITUTE(SUBSTITUTE(SUBSTITUTE(SUBSTITUTE(SUBSTITUTE(SUBSTITUTE(SUBSTITUTE(SUBSTITUTE(SUBSTITUTE(SUBSTITUTE(SUBSTITUTE(SUBSTITUTE("x"&amp;O83,"0",""),"1",""),"2",""),"3",""),"4",""),"5",""),"6",""),"7",""),"8",""),"9",""),".",""),"E",""),"+",""),"-",""),"&lt;",""),"&gt;",""),"=","")," ","")&lt;&gt;"x",ISNUMBER(SEARCH("-",SUBSTITUTE(SUBSTITUTE("x"&amp;MID(O83,2,99),"E-","E"),"E+","E"))),ISNUMBER(SEARCH("+",SUBSTITUTE(SUBSTITUTE("x"&amp;MID(O83,2,99),"E-","E"),"E+","E"))))),"",IF(ISNUMBER(AH83),AH83,NA())),""))</f>
        <v/>
      </c>
      <c r="Q83" s="92">
        <f>IF(AND(ISNUMBER(L83),ISNUMBER(P83)),L83*P83,"")</f>
        <v/>
      </c>
      <c r="R83" s="92">
        <f>IF(OR(COUNTA($A83:$D83)=0,U83=0),"",IF(INDEX(DB_05[管制設定值],U83)="","",INDEX(DB_05[管制設定值],U83)))</f>
        <v/>
      </c>
      <c r="S83" s="92">
        <f>IF(OR(COUNTA($A83:$D83)=0,U83=0),"",IF(INDEX(DB_05[監測設定值],U83)="","",INDEX(DB_05[監測設定值],U83)))</f>
        <v/>
      </c>
      <c r="T83" s="92">
        <f>IF(COUNTA($A83:$D83)=0,"",IF(COUNTIFS(DB_04[測項鍵],V83)=1,MATCH(V83,DB_04[測項鍵],0),0))</f>
        <v/>
      </c>
      <c r="U83" s="92">
        <f>IF(COUNTA($A83:$D83)=0,"",IF(COUNTIFS(DB_05[標準鍵],W83)=1,MATCH(W83,DB_05[標準鍵],0),0))</f>
        <v/>
      </c>
      <c r="V83" s="92">
        <f>IF(OR(J83="",A83=""),"",J83&amp;"|"&amp;A83)</f>
        <v/>
      </c>
      <c r="W83" s="92">
        <f>IF(OR('07_QAQC'!$C$3="",V83=""),"",'07_QAQC'!$C$3&amp;"|"&amp;V83)</f>
        <v/>
      </c>
      <c r="X83" s="92">
        <f>IF(OR(H83="",A83=""),"",LEN(H83)&amp;":"&amp;H83&amp;LEN(A83)&amp;":"&amp;A83)</f>
        <v/>
      </c>
      <c r="Y83" s="93">
        <f>IF(COUNTA($A83:$D83)=0,"",IF(I83=0,"樣品未建或重複",IF(INDEX(Samples[樣品檢查],I83)="","OK",INDEX(Samples[樣品檢查],I83))))</f>
        <v/>
      </c>
      <c r="Z83" s="93">
        <f>IF(COUNTA($A83:$D83)=0,"",IF(B83="","缺原始值",IF(OR(B83="-",B83="--"),"無資料",IF(N83="NA","不適用",IF(N83="ND","OK",IF(NOT(ISNUMBER(P83)),"格式待核",IF(AND(N83&lt;&gt;"數值",P83&lt;0),"界限不得為負","OK")))))))</f>
        <v/>
      </c>
      <c r="AA83" s="93">
        <f>IF(COUNTA(A83:D83)=0,"",IF(OR(A83="",H83=""),"缺識別欄位",IF(IF(LEN("="&amp;SUBSTITUTE(SUBSTITUTE(SUBSTITUTE(X83,"~","~~"),"*","~*"),"?","~?"))&lt;=255,COUNTIF(Results[結果識別鍵],"="&amp;SUBSTITUTE(SUBSTITUTE(SUBSTITUTE(X83,"~","~~"),"*","~*"),"?","~?")),COUNTIFS(Results[關聯鍵],"="&amp;SUBSTITUTE(SUBSTITUTE(SUBSTITUTE(H83,"~","~~"),"*","~*"),"?","~?"),Results[分析項目],"="&amp;SUBSTITUTE(SUBSTITUTE(SUBSTITUTE(A83,"~","~~"),"*","~*"),"?","~?")))&gt;1,"同關聯鍵測項重複","OK")))</f>
        <v/>
      </c>
      <c r="AB83" s="93">
        <f>IF(COUNTA($A83:$D83)=0,"",IF(OR(C83="",K83=""),"缺單位",IF(NOT(ISNUMBER(L83)),"單位不相容",IF(L83=1,"OK","已換算"))))</f>
        <v/>
      </c>
      <c r="AC83" s="93">
        <f>IF(COUNTA($A83:$D83)=0,"",IF('07_QAQC'!$C$3="","未選比較版本",IF(U83=0,IF(COUNTIFS(DB_05[標準鍵],W83)&gt;1,"標準鍵重複","未訂此介質／測項門檻"),IF(INDEX(DB_05[版本檢查],U83)&lt;&gt;"OK","標準主檔待核",IF(INDEX(DB_05[標準單位],U83)&lt;&gt;K83,"標準單位不符",IF(INDEX(DB_05[核對狀態],U83)="停用","停用",IF(F83="","缺採樣日期",IF(OR(AND(INDEX(DB_05[生效日],U83)&lt;&gt;"",F83&lt;INDEX(DB_05[生效日],U83)),AND(INDEX(DB_05[失效日],U83)&lt;&gt;"",F83&gt;INDEX(DB_05[失效日],U83))),"日期不適用",INDEX(DB_05[核對狀態],U83)))))))))</f>
        <v/>
      </c>
      <c r="AD83" s="93">
        <f>IF(COUNTA($A83:$D83)=0,"",IF(AC83="未訂此介質／測項門檻",AC83,IF(AC83&lt;&gt;"已核對","標準待核",IF(R83="","未訂管制值",IF(NOT(ISNUMBER(L83)),"單位待核",IF(N83="ND","無法判定（ND無界限）",IF(N83="NA","不適用",IF(Z83&lt;&gt;"OK",Z83,IF(N83="數值",IF(Q83&gt;=R83,"達管制值","未達管制值"),IF(OR(N83="&lt;",N83="&lt;="),IF(OR(Q83&lt;R83,AND(N83="&lt;",Q83=R83)),"未達管制值","無法判定"),IF(OR(N83="&gt;",N83="&gt;="),IF(Q83&gt;=R83,"達管制值","無法判定"),"格式待核")))))))))))</f>
        <v/>
      </c>
      <c r="AE83" s="93">
        <f>IF(COUNTA($A83:$D83)=0,"",IF(AC83="未訂此介質／測項門檻",AC83,IF(AC83&lt;&gt;"已核對","標準待核",IF(S83="","未訂監測值",IF(NOT(ISNUMBER(L83)),"單位待核",IF(N83="ND","無法判定（ND無界限）",IF(N83="NA","不適用",IF(Z83&lt;&gt;"OK",Z83,IF(N83="數值",IF(Q83&gt;=S83,"達監測值","未達監測值"),IF(OR(N83="&lt;",N83="&lt;="),IF(OR(Q83&lt;S83,AND(N83="&lt;",Q83=S83)),"未達監測值","無法判定"),IF(OR(N83="&gt;",N83="&gt;="),IF(Q83&gt;=S83,"達監測值","無法判定"),"格式待核")))))))))))</f>
        <v/>
      </c>
      <c r="AF83" s="93">
        <f>IF(COUNTA($A83:$D83)=0,"",IF(OR(E83="",A83="",B83="",C83=""),"缺必要欄位",IF(Y83&lt;&gt;"OK","樣品資料待補",IF(T83=0,"測項未建或重複",IF(INDEX(DB_04[啟用],T83)&lt;&gt;"是","測項停用",IF(AND(Z83&lt;&gt;"OK",Z83&lt;&gt;"不適用"),Z83,IF(AND(AB83&lt;&gt;"OK",AB83&lt;&gt;"已換算"),"單位待核",IF(AA83&lt;&gt;"OK",AA83,"OK"))))))))</f>
        <v/>
      </c>
      <c r="AG83" s="93">
        <f>IF(COUNTA($A83:$D83)=0,"",IF(N83="ND","ND取0",IF(OR(N83="&lt;",N83="&lt;="),"界限除以2",IF(N83="NA","不適用",IF(OR(N83="&gt;",N83="&gt;="),"保留界限數值","保留原數值")))))</f>
        <v/>
      </c>
      <c r="AH83" s="92">
        <f>IF(O83="","",IFERROR(_xlfn.NUMBERVALUE(O83,".",","),""))</f>
        <v/>
      </c>
      <c r="AI83" s="92">
        <f>IF(H83="","",IFERROR(MATCH(H83,Samples[樣品編號],0),0))</f>
        <v/>
      </c>
    </row>
    <row r="84">
      <c r="A84" s="27" t="inlineStr">
        <is>
          <t>pH</t>
        </is>
      </c>
      <c r="B84" s="28" t="inlineStr">
        <is>
          <t>6.64</t>
        </is>
      </c>
      <c r="C84" s="27" t="inlineStr">
        <is>
          <t>無因次</t>
        </is>
      </c>
      <c r="D84" s="39" t="inlineStr">
        <is>
          <t>合成資料，非實測；method=field</t>
        </is>
      </c>
      <c r="E84" s="29">
        <f>IF(OR(I84="",I84=0),"",IF(INDEX(Samples[監測點],I84)="","",INDEX(Samples[監測點],I84)))</f>
        <v/>
      </c>
      <c r="F84" s="90">
        <f>IF(OR(I84="",I84=0),"",IF(INDEX(Samples[採樣日期],I84)="","",INDEX(Samples[採樣日期],I84)))</f>
        <v/>
      </c>
      <c r="G84" s="91">
        <f>IF(OR(M84="",M84="NA",M84="N/A"),"",IF(OR(M84="ND",M84="N.D."),0,IFERROR(IF(OR(OR(ISNUMBER(SEARCH("%",O84)),ISNUMBER(SEARCH(" ",O84)),ISNUMBER(SEARCH(",",O84))),OR(SUBSTITUTE(SUBSTITUTE(SUBSTITUTE(SUBSTITUTE(SUBSTITUTE(SUBSTITUTE(SUBSTITUTE(SUBSTITUTE(SUBSTITUTE(SUBSTITUTE(SUBSTITUTE(SUBSTITUTE(SUBSTITUTE(SUBSTITUTE(SUBSTITUTE(SUBSTITUTE(SUBSTITUTE(SUBSTITUTE("x"&amp;M84,"0",""),"1",""),"2",""),"3",""),"4",""),"5",""),"6",""),"7",""),"8",""),"9",""),".",""),"E",""),"+",""),"-",""),"&lt;",""),"&gt;",""),"=","")," ","")&lt;&gt;"x",ISNUMBER(SEARCH("-",SUBSTITUTE(SUBSTITUTE("x"&amp;MID(M84,2,99),"E-","E"),"E+","E"))),ISNUMBER(SEARCH("+",SUBSTITUTE(SUBSTITUTE("x"&amp;MID(M84,2,99),"E-","E"),"E+","E"))))),"",IF(AND(OR(LEFT(M84,1)="&lt;",LEFT(M84,1)="&gt;"),IF(O84="",0,IF(ISNUMBER(AH84),AH84,NA()))&lt;0),"",IF(O84="",0,IF(ISNUMBER(AH84),AH84,NA()))/IF(LEFT(M84,1)="&lt;",2,1))),"")))</f>
        <v/>
      </c>
      <c r="H84" s="57" t="inlineStr">
        <is>
          <t>BH02-W_20260415_02</t>
        </is>
      </c>
      <c r="I84" s="92">
        <f>IF(OR(H84="",AI84=0),0,IF(INDEX(Samples[樣品重複筆數],AI84)=1,AI84,0))</f>
        <v/>
      </c>
      <c r="J84" s="92">
        <f>IF(OR(COUNTA($A84:$D84)=0,I84=0),"",IF(INDEX(Samples[介質],I84)="","",INDEX(Samples[介質],I84)))</f>
        <v/>
      </c>
      <c r="K84" s="92">
        <f>IF(OR(COUNTA($A84:$D84)=0,T84=0),"",IF(INDEX(DB_04[標準單位],T84)="","",INDEX(DB_04[標準單位],T84)))</f>
        <v/>
      </c>
      <c r="L84" s="92">
        <f>IF(COUNTA($A84:$D84)=0,"",IF(OR(C84="",K84=""),"",IF(C84=K84,1,IF(COUNTIFS(DB_06[換算鍵],C84&amp;"|"&amp;K84,DB_06[換算檢查],"OK")=1,INDEX(DB_06[乘數],MATCH(C84&amp;"|"&amp;K84,DB_06[換算鍵],0)),""))))</f>
        <v/>
      </c>
      <c r="M84" s="92">
        <f>UPPER(SUBSTITUTE(SUBSTITUTE(SUBSTITUTE(SUBSTITUTE(TRIM(B84&amp;""),"＜","&lt;"),"＞","&gt;"),"≤","&lt;="),"≥","&gt;="))</f>
        <v/>
      </c>
      <c r="N84" s="92">
        <f>IF(M84="","",IF(OR(M84="ND",M84="N.D."),"ND",IF(OR(M84="NA",M84="N/A",M84="N.A."),"NA",IF(OR(LEFT(M84,2)="&lt;=",LEFT(M84,2)="&gt;="),LEFT(M84,2),IF(OR(LEFT(M84,1)="&lt;",LEFT(M84,1)="&gt;"),LEFT(M84,1),"數值")))))</f>
        <v/>
      </c>
      <c r="O84" s="92">
        <f>IF(OR(N84="",N84="ND",N84="NA"),"",IF(N84="數值",M84,TRIM(MID(M84,LEN(N84)+1,99))))</f>
        <v/>
      </c>
      <c r="P84" s="92">
        <f>IF(O84="","",IFERROR(IF(OR(OR(ISNUMBER(SEARCH("%",O84)),ISNUMBER(SEARCH(" ",O84)),ISNUMBER(SEARCH(",",O84))),OR(SUBSTITUTE(SUBSTITUTE(SUBSTITUTE(SUBSTITUTE(SUBSTITUTE(SUBSTITUTE(SUBSTITUTE(SUBSTITUTE(SUBSTITUTE(SUBSTITUTE(SUBSTITUTE(SUBSTITUTE(SUBSTITUTE(SUBSTITUTE(SUBSTITUTE(SUBSTITUTE(SUBSTITUTE(SUBSTITUTE("x"&amp;O84,"0",""),"1",""),"2",""),"3",""),"4",""),"5",""),"6",""),"7",""),"8",""),"9",""),".",""),"E",""),"+",""),"-",""),"&lt;",""),"&gt;",""),"=","")," ","")&lt;&gt;"x",ISNUMBER(SEARCH("-",SUBSTITUTE(SUBSTITUTE("x"&amp;MID(O84,2,99),"E-","E"),"E+","E"))),ISNUMBER(SEARCH("+",SUBSTITUTE(SUBSTITUTE("x"&amp;MID(O84,2,99),"E-","E"),"E+","E"))))),"",IF(ISNUMBER(AH84),AH84,NA())),""))</f>
        <v/>
      </c>
      <c r="Q84" s="92">
        <f>IF(AND(ISNUMBER(L84),ISNUMBER(P84)),L84*P84,"")</f>
        <v/>
      </c>
      <c r="R84" s="92">
        <f>IF(OR(COUNTA($A84:$D84)=0,U84=0),"",IF(INDEX(DB_05[管制設定值],U84)="","",INDEX(DB_05[管制設定值],U84)))</f>
        <v/>
      </c>
      <c r="S84" s="92">
        <f>IF(OR(COUNTA($A84:$D84)=0,U84=0),"",IF(INDEX(DB_05[監測設定值],U84)="","",INDEX(DB_05[監測設定值],U84)))</f>
        <v/>
      </c>
      <c r="T84" s="92">
        <f>IF(COUNTA($A84:$D84)=0,"",IF(COUNTIFS(DB_04[測項鍵],V84)=1,MATCH(V84,DB_04[測項鍵],0),0))</f>
        <v/>
      </c>
      <c r="U84" s="92">
        <f>IF(COUNTA($A84:$D84)=0,"",IF(COUNTIFS(DB_05[標準鍵],W84)=1,MATCH(W84,DB_05[標準鍵],0),0))</f>
        <v/>
      </c>
      <c r="V84" s="92">
        <f>IF(OR(J84="",A84=""),"",J84&amp;"|"&amp;A84)</f>
        <v/>
      </c>
      <c r="W84" s="92">
        <f>IF(OR('07_QAQC'!$C$3="",V84=""),"",'07_QAQC'!$C$3&amp;"|"&amp;V84)</f>
        <v/>
      </c>
      <c r="X84" s="92">
        <f>IF(OR(H84="",A84=""),"",LEN(H84)&amp;":"&amp;H84&amp;LEN(A84)&amp;":"&amp;A84)</f>
        <v/>
      </c>
      <c r="Y84" s="93">
        <f>IF(COUNTA($A84:$D84)=0,"",IF(I84=0,"樣品未建或重複",IF(INDEX(Samples[樣品檢查],I84)="","OK",INDEX(Samples[樣品檢查],I84))))</f>
        <v/>
      </c>
      <c r="Z84" s="93">
        <f>IF(COUNTA($A84:$D84)=0,"",IF(B84="","缺原始值",IF(OR(B84="-",B84="--"),"無資料",IF(N84="NA","不適用",IF(N84="ND","OK",IF(NOT(ISNUMBER(P84)),"格式待核",IF(AND(N84&lt;&gt;"數值",P84&lt;0),"界限不得為負","OK")))))))</f>
        <v/>
      </c>
      <c r="AA84" s="93">
        <f>IF(COUNTA(A84:D84)=0,"",IF(OR(A84="",H84=""),"缺識別欄位",IF(IF(LEN("="&amp;SUBSTITUTE(SUBSTITUTE(SUBSTITUTE(X84,"~","~~"),"*","~*"),"?","~?"))&lt;=255,COUNTIF(Results[結果識別鍵],"="&amp;SUBSTITUTE(SUBSTITUTE(SUBSTITUTE(X84,"~","~~"),"*","~*"),"?","~?")),COUNTIFS(Results[關聯鍵],"="&amp;SUBSTITUTE(SUBSTITUTE(SUBSTITUTE(H84,"~","~~"),"*","~*"),"?","~?"),Results[分析項目],"="&amp;SUBSTITUTE(SUBSTITUTE(SUBSTITUTE(A84,"~","~~"),"*","~*"),"?","~?")))&gt;1,"同關聯鍵測項重複","OK")))</f>
        <v/>
      </c>
      <c r="AB84" s="93">
        <f>IF(COUNTA($A84:$D84)=0,"",IF(OR(C84="",K84=""),"缺單位",IF(NOT(ISNUMBER(L84)),"單位不相容",IF(L84=1,"OK","已換算"))))</f>
        <v/>
      </c>
      <c r="AC84" s="93">
        <f>IF(COUNTA($A84:$D84)=0,"",IF('07_QAQC'!$C$3="","未選比較版本",IF(U84=0,IF(COUNTIFS(DB_05[標準鍵],W84)&gt;1,"標準鍵重複","未訂此介質／測項門檻"),IF(INDEX(DB_05[版本檢查],U84)&lt;&gt;"OK","標準主檔待核",IF(INDEX(DB_05[標準單位],U84)&lt;&gt;K84,"標準單位不符",IF(INDEX(DB_05[核對狀態],U84)="停用","停用",IF(F84="","缺採樣日期",IF(OR(AND(INDEX(DB_05[生效日],U84)&lt;&gt;"",F84&lt;INDEX(DB_05[生效日],U84)),AND(INDEX(DB_05[失效日],U84)&lt;&gt;"",F84&gt;INDEX(DB_05[失效日],U84))),"日期不適用",INDEX(DB_05[核對狀態],U84)))))))))</f>
        <v/>
      </c>
      <c r="AD84" s="93">
        <f>IF(COUNTA($A84:$D84)=0,"",IF(AC84="未訂此介質／測項門檻",AC84,IF(AC84&lt;&gt;"已核對","標準待核",IF(R84="","未訂管制值",IF(NOT(ISNUMBER(L84)),"單位待核",IF(N84="ND","無法判定（ND無界限）",IF(N84="NA","不適用",IF(Z84&lt;&gt;"OK",Z84,IF(N84="數值",IF(Q84&gt;=R84,"達管制值","未達管制值"),IF(OR(N84="&lt;",N84="&lt;="),IF(OR(Q84&lt;R84,AND(N84="&lt;",Q84=R84)),"未達管制值","無法判定"),IF(OR(N84="&gt;",N84="&gt;="),IF(Q84&gt;=R84,"達管制值","無法判定"),"格式待核")))))))))))</f>
        <v/>
      </c>
      <c r="AE84" s="93">
        <f>IF(COUNTA($A84:$D84)=0,"",IF(AC84="未訂此介質／測項門檻",AC84,IF(AC84&lt;&gt;"已核對","標準待核",IF(S84="","未訂監測值",IF(NOT(ISNUMBER(L84)),"單位待核",IF(N84="ND","無法判定（ND無界限）",IF(N84="NA","不適用",IF(Z84&lt;&gt;"OK",Z84,IF(N84="數值",IF(Q84&gt;=S84,"達監測值","未達監測值"),IF(OR(N84="&lt;",N84="&lt;="),IF(OR(Q84&lt;S84,AND(N84="&lt;",Q84=S84)),"未達監測值","無法判定"),IF(OR(N84="&gt;",N84="&gt;="),IF(Q84&gt;=S84,"達監測值","無法判定"),"格式待核")))))))))))</f>
        <v/>
      </c>
      <c r="AF84" s="93">
        <f>IF(COUNTA($A84:$D84)=0,"",IF(OR(E84="",A84="",B84="",C84=""),"缺必要欄位",IF(Y84&lt;&gt;"OK","樣品資料待補",IF(T84=0,"測項未建或重複",IF(INDEX(DB_04[啟用],T84)&lt;&gt;"是","測項停用",IF(AND(Z84&lt;&gt;"OK",Z84&lt;&gt;"不適用"),Z84,IF(AND(AB84&lt;&gt;"OK",AB84&lt;&gt;"已換算"),"單位待核",IF(AA84&lt;&gt;"OK",AA84,"OK"))))))))</f>
        <v/>
      </c>
      <c r="AG84" s="93">
        <f>IF(COUNTA($A84:$D84)=0,"",IF(N84="ND","ND取0",IF(OR(N84="&lt;",N84="&lt;="),"界限除以2",IF(N84="NA","不適用",IF(OR(N84="&gt;",N84="&gt;="),"保留界限數值","保留原數值")))))</f>
        <v/>
      </c>
      <c r="AH84" s="92">
        <f>IF(O84="","",IFERROR(_xlfn.NUMBERVALUE(O84,".",","),""))</f>
        <v/>
      </c>
      <c r="AI84" s="92">
        <f>IF(H84="","",IFERROR(MATCH(H84,Samples[樣品編號],0),0))</f>
        <v/>
      </c>
    </row>
    <row r="85">
      <c r="A85" s="27" t="inlineStr">
        <is>
          <t>EC</t>
        </is>
      </c>
      <c r="B85" s="28" t="inlineStr">
        <is>
          <t>0.57</t>
        </is>
      </c>
      <c r="C85" s="27" t="inlineStr">
        <is>
          <t>mS/cm</t>
        </is>
      </c>
      <c r="D85" s="39" t="inlineStr">
        <is>
          <t>合成資料，非實測；method=field; temperature=25; temperature_compensated=25C; reference_temperature=25</t>
        </is>
      </c>
      <c r="E85" s="29">
        <f>IF(OR(I85="",I85=0),"",IF(INDEX(Samples[監測點],I85)="","",INDEX(Samples[監測點],I85)))</f>
        <v/>
      </c>
      <c r="F85" s="90">
        <f>IF(OR(I85="",I85=0),"",IF(INDEX(Samples[採樣日期],I85)="","",INDEX(Samples[採樣日期],I85)))</f>
        <v/>
      </c>
      <c r="G85" s="91">
        <f>IF(OR(M85="",M85="NA",M85="N/A"),"",IF(OR(M85="ND",M85="N.D."),0,IFERROR(IF(OR(OR(ISNUMBER(SEARCH("%",O85)),ISNUMBER(SEARCH(" ",O85)),ISNUMBER(SEARCH(",",O85))),OR(SUBSTITUTE(SUBSTITUTE(SUBSTITUTE(SUBSTITUTE(SUBSTITUTE(SUBSTITUTE(SUBSTITUTE(SUBSTITUTE(SUBSTITUTE(SUBSTITUTE(SUBSTITUTE(SUBSTITUTE(SUBSTITUTE(SUBSTITUTE(SUBSTITUTE(SUBSTITUTE(SUBSTITUTE(SUBSTITUTE("x"&amp;M85,"0",""),"1",""),"2",""),"3",""),"4",""),"5",""),"6",""),"7",""),"8",""),"9",""),".",""),"E",""),"+",""),"-",""),"&lt;",""),"&gt;",""),"=","")," ","")&lt;&gt;"x",ISNUMBER(SEARCH("-",SUBSTITUTE(SUBSTITUTE("x"&amp;MID(M85,2,99),"E-","E"),"E+","E"))),ISNUMBER(SEARCH("+",SUBSTITUTE(SUBSTITUTE("x"&amp;MID(M85,2,99),"E-","E"),"E+","E"))))),"",IF(AND(OR(LEFT(M85,1)="&lt;",LEFT(M85,1)="&gt;"),IF(O85="",0,IF(ISNUMBER(AH85),AH85,NA()))&lt;0),"",IF(O85="",0,IF(ISNUMBER(AH85),AH85,NA()))/IF(LEFT(M85,1)="&lt;",2,1))),"")))</f>
        <v/>
      </c>
      <c r="H85" s="57" t="inlineStr">
        <is>
          <t>BH02-W_20260415_02</t>
        </is>
      </c>
      <c r="I85" s="92">
        <f>IF(OR(H85="",AI85=0),0,IF(INDEX(Samples[樣品重複筆數],AI85)=1,AI85,0))</f>
        <v/>
      </c>
      <c r="J85" s="92">
        <f>IF(OR(COUNTA($A85:$D85)=0,I85=0),"",IF(INDEX(Samples[介質],I85)="","",INDEX(Samples[介質],I85)))</f>
        <v/>
      </c>
      <c r="K85" s="92">
        <f>IF(OR(COUNTA($A85:$D85)=0,T85=0),"",IF(INDEX(DB_04[標準單位],T85)="","",INDEX(DB_04[標準單位],T85)))</f>
        <v/>
      </c>
      <c r="L85" s="92">
        <f>IF(COUNTA($A85:$D85)=0,"",IF(OR(C85="",K85=""),"",IF(C85=K85,1,IF(COUNTIFS(DB_06[換算鍵],C85&amp;"|"&amp;K85,DB_06[換算檢查],"OK")=1,INDEX(DB_06[乘數],MATCH(C85&amp;"|"&amp;K85,DB_06[換算鍵],0)),""))))</f>
        <v/>
      </c>
      <c r="M85" s="92">
        <f>UPPER(SUBSTITUTE(SUBSTITUTE(SUBSTITUTE(SUBSTITUTE(TRIM(B85&amp;""),"＜","&lt;"),"＞","&gt;"),"≤","&lt;="),"≥","&gt;="))</f>
        <v/>
      </c>
      <c r="N85" s="92">
        <f>IF(M85="","",IF(OR(M85="ND",M85="N.D."),"ND",IF(OR(M85="NA",M85="N/A",M85="N.A."),"NA",IF(OR(LEFT(M85,2)="&lt;=",LEFT(M85,2)="&gt;="),LEFT(M85,2),IF(OR(LEFT(M85,1)="&lt;",LEFT(M85,1)="&gt;"),LEFT(M85,1),"數值")))))</f>
        <v/>
      </c>
      <c r="O85" s="92">
        <f>IF(OR(N85="",N85="ND",N85="NA"),"",IF(N85="數值",M85,TRIM(MID(M85,LEN(N85)+1,99))))</f>
        <v/>
      </c>
      <c r="P85" s="92">
        <f>IF(O85="","",IFERROR(IF(OR(OR(ISNUMBER(SEARCH("%",O85)),ISNUMBER(SEARCH(" ",O85)),ISNUMBER(SEARCH(",",O85))),OR(SUBSTITUTE(SUBSTITUTE(SUBSTITUTE(SUBSTITUTE(SUBSTITUTE(SUBSTITUTE(SUBSTITUTE(SUBSTITUTE(SUBSTITUTE(SUBSTITUTE(SUBSTITUTE(SUBSTITUTE(SUBSTITUTE(SUBSTITUTE(SUBSTITUTE(SUBSTITUTE(SUBSTITUTE(SUBSTITUTE("x"&amp;O85,"0",""),"1",""),"2",""),"3",""),"4",""),"5",""),"6",""),"7",""),"8",""),"9",""),".",""),"E",""),"+",""),"-",""),"&lt;",""),"&gt;",""),"=","")," ","")&lt;&gt;"x",ISNUMBER(SEARCH("-",SUBSTITUTE(SUBSTITUTE("x"&amp;MID(O85,2,99),"E-","E"),"E+","E"))),ISNUMBER(SEARCH("+",SUBSTITUTE(SUBSTITUTE("x"&amp;MID(O85,2,99),"E-","E"),"E+","E"))))),"",IF(ISNUMBER(AH85),AH85,NA())),""))</f>
        <v/>
      </c>
      <c r="Q85" s="92">
        <f>IF(AND(ISNUMBER(L85),ISNUMBER(P85)),L85*P85,"")</f>
        <v/>
      </c>
      <c r="R85" s="92">
        <f>IF(OR(COUNTA($A85:$D85)=0,U85=0),"",IF(INDEX(DB_05[管制設定值],U85)="","",INDEX(DB_05[管制設定值],U85)))</f>
        <v/>
      </c>
      <c r="S85" s="92">
        <f>IF(OR(COUNTA($A85:$D85)=0,U85=0),"",IF(INDEX(DB_05[監測設定值],U85)="","",INDEX(DB_05[監測設定值],U85)))</f>
        <v/>
      </c>
      <c r="T85" s="92">
        <f>IF(COUNTA($A85:$D85)=0,"",IF(COUNTIFS(DB_04[測項鍵],V85)=1,MATCH(V85,DB_04[測項鍵],0),0))</f>
        <v/>
      </c>
      <c r="U85" s="92">
        <f>IF(COUNTA($A85:$D85)=0,"",IF(COUNTIFS(DB_05[標準鍵],W85)=1,MATCH(W85,DB_05[標準鍵],0),0))</f>
        <v/>
      </c>
      <c r="V85" s="92">
        <f>IF(OR(J85="",A85=""),"",J85&amp;"|"&amp;A85)</f>
        <v/>
      </c>
      <c r="W85" s="92">
        <f>IF(OR('07_QAQC'!$C$3="",V85=""),"",'07_QAQC'!$C$3&amp;"|"&amp;V85)</f>
        <v/>
      </c>
      <c r="X85" s="92">
        <f>IF(OR(H85="",A85=""),"",LEN(H85)&amp;":"&amp;H85&amp;LEN(A85)&amp;":"&amp;A85)</f>
        <v/>
      </c>
      <c r="Y85" s="93">
        <f>IF(COUNTA($A85:$D85)=0,"",IF(I85=0,"樣品未建或重複",IF(INDEX(Samples[樣品檢查],I85)="","OK",INDEX(Samples[樣品檢查],I85))))</f>
        <v/>
      </c>
      <c r="Z85" s="93">
        <f>IF(COUNTA($A85:$D85)=0,"",IF(B85="","缺原始值",IF(OR(B85="-",B85="--"),"無資料",IF(N85="NA","不適用",IF(N85="ND","OK",IF(NOT(ISNUMBER(P85)),"格式待核",IF(AND(N85&lt;&gt;"數值",P85&lt;0),"界限不得為負","OK")))))))</f>
        <v/>
      </c>
      <c r="AA85" s="93">
        <f>IF(COUNTA(A85:D85)=0,"",IF(OR(A85="",H85=""),"缺識別欄位",IF(IF(LEN("="&amp;SUBSTITUTE(SUBSTITUTE(SUBSTITUTE(X85,"~","~~"),"*","~*"),"?","~?"))&lt;=255,COUNTIF(Results[結果識別鍵],"="&amp;SUBSTITUTE(SUBSTITUTE(SUBSTITUTE(X85,"~","~~"),"*","~*"),"?","~?")),COUNTIFS(Results[關聯鍵],"="&amp;SUBSTITUTE(SUBSTITUTE(SUBSTITUTE(H85,"~","~~"),"*","~*"),"?","~?"),Results[分析項目],"="&amp;SUBSTITUTE(SUBSTITUTE(SUBSTITUTE(A85,"~","~~"),"*","~*"),"?","~?")))&gt;1,"同關聯鍵測項重複","OK")))</f>
        <v/>
      </c>
      <c r="AB85" s="93">
        <f>IF(COUNTA($A85:$D85)=0,"",IF(OR(C85="",K85=""),"缺單位",IF(NOT(ISNUMBER(L85)),"單位不相容",IF(L85=1,"OK","已換算"))))</f>
        <v/>
      </c>
      <c r="AC85" s="93">
        <f>IF(COUNTA($A85:$D85)=0,"",IF('07_QAQC'!$C$3="","未選比較版本",IF(U85=0,IF(COUNTIFS(DB_05[標準鍵],W85)&gt;1,"標準鍵重複","未訂此介質／測項門檻"),IF(INDEX(DB_05[版本檢查],U85)&lt;&gt;"OK","標準主檔待核",IF(INDEX(DB_05[標準單位],U85)&lt;&gt;K85,"標準單位不符",IF(INDEX(DB_05[核對狀態],U85)="停用","停用",IF(F85="","缺採樣日期",IF(OR(AND(INDEX(DB_05[生效日],U85)&lt;&gt;"",F85&lt;INDEX(DB_05[生效日],U85)),AND(INDEX(DB_05[失效日],U85)&lt;&gt;"",F85&gt;INDEX(DB_05[失效日],U85))),"日期不適用",INDEX(DB_05[核對狀態],U85)))))))))</f>
        <v/>
      </c>
      <c r="AD85" s="93">
        <f>IF(COUNTA($A85:$D85)=0,"",IF(AC85="未訂此介質／測項門檻",AC85,IF(AC85&lt;&gt;"已核對","標準待核",IF(R85="","未訂管制值",IF(NOT(ISNUMBER(L85)),"單位待核",IF(N85="ND","無法判定（ND無界限）",IF(N85="NA","不適用",IF(Z85&lt;&gt;"OK",Z85,IF(N85="數值",IF(Q85&gt;=R85,"達管制值","未達管制值"),IF(OR(N85="&lt;",N85="&lt;="),IF(OR(Q85&lt;R85,AND(N85="&lt;",Q85=R85)),"未達管制值","無法判定"),IF(OR(N85="&gt;",N85="&gt;="),IF(Q85&gt;=R85,"達管制值","無法判定"),"格式待核")))))))))))</f>
        <v/>
      </c>
      <c r="AE85" s="93">
        <f>IF(COUNTA($A85:$D85)=0,"",IF(AC85="未訂此介質／測項門檻",AC85,IF(AC85&lt;&gt;"已核對","標準待核",IF(S85="","未訂監測值",IF(NOT(ISNUMBER(L85)),"單位待核",IF(N85="ND","無法判定（ND無界限）",IF(N85="NA","不適用",IF(Z85&lt;&gt;"OK",Z85,IF(N85="數值",IF(Q85&gt;=S85,"達監測值","未達監測值"),IF(OR(N85="&lt;",N85="&lt;="),IF(OR(Q85&lt;S85,AND(N85="&lt;",Q85=S85)),"未達監測值","無法判定"),IF(OR(N85="&gt;",N85="&gt;="),IF(Q85&gt;=S85,"達監測值","無法判定"),"格式待核")))))))))))</f>
        <v/>
      </c>
      <c r="AF85" s="93">
        <f>IF(COUNTA($A85:$D85)=0,"",IF(OR(E85="",A85="",B85="",C85=""),"缺必要欄位",IF(Y85&lt;&gt;"OK","樣品資料待補",IF(T85=0,"測項未建或重複",IF(INDEX(DB_04[啟用],T85)&lt;&gt;"是","測項停用",IF(AND(Z85&lt;&gt;"OK",Z85&lt;&gt;"不適用"),Z85,IF(AND(AB85&lt;&gt;"OK",AB85&lt;&gt;"已換算"),"單位待核",IF(AA85&lt;&gt;"OK",AA85,"OK"))))))))</f>
        <v/>
      </c>
      <c r="AG85" s="93">
        <f>IF(COUNTA($A85:$D85)=0,"",IF(N85="ND","ND取0",IF(OR(N85="&lt;",N85="&lt;="),"界限除以2",IF(N85="NA","不適用",IF(OR(N85="&gt;",N85="&gt;="),"保留界限數值","保留原數值")))))</f>
        <v/>
      </c>
      <c r="AH85" s="92">
        <f>IF(O85="","",IFERROR(_xlfn.NUMBERVALUE(O85,".",","),""))</f>
        <v/>
      </c>
      <c r="AI85" s="92">
        <f>IF(H85="","",IFERROR(MATCH(H85,Samples[樣品編號],0),0))</f>
        <v/>
      </c>
    </row>
    <row r="86">
      <c r="A86" s="27" t="inlineStr">
        <is>
          <t>DO</t>
        </is>
      </c>
      <c r="B86" s="28" t="inlineStr">
        <is>
          <t>5.6</t>
        </is>
      </c>
      <c r="C86" s="27" t="inlineStr">
        <is>
          <t>mg/L</t>
        </is>
      </c>
      <c r="D86" s="39" t="inlineStr">
        <is>
          <t>合成資料，非實測；method=field</t>
        </is>
      </c>
      <c r="E86" s="29">
        <f>IF(OR(I86="",I86=0),"",IF(INDEX(Samples[監測點],I86)="","",INDEX(Samples[監測點],I86)))</f>
        <v/>
      </c>
      <c r="F86" s="90">
        <f>IF(OR(I86="",I86=0),"",IF(INDEX(Samples[採樣日期],I86)="","",INDEX(Samples[採樣日期],I86)))</f>
        <v/>
      </c>
      <c r="G86" s="91">
        <f>IF(OR(M86="",M86="NA",M86="N/A"),"",IF(OR(M86="ND",M86="N.D."),0,IFERROR(IF(OR(OR(ISNUMBER(SEARCH("%",O86)),ISNUMBER(SEARCH(" ",O86)),ISNUMBER(SEARCH(",",O86))),OR(SUBSTITUTE(SUBSTITUTE(SUBSTITUTE(SUBSTITUTE(SUBSTITUTE(SUBSTITUTE(SUBSTITUTE(SUBSTITUTE(SUBSTITUTE(SUBSTITUTE(SUBSTITUTE(SUBSTITUTE(SUBSTITUTE(SUBSTITUTE(SUBSTITUTE(SUBSTITUTE(SUBSTITUTE(SUBSTITUTE("x"&amp;M86,"0",""),"1",""),"2",""),"3",""),"4",""),"5",""),"6",""),"7",""),"8",""),"9",""),".",""),"E",""),"+",""),"-",""),"&lt;",""),"&gt;",""),"=","")," ","")&lt;&gt;"x",ISNUMBER(SEARCH("-",SUBSTITUTE(SUBSTITUTE("x"&amp;MID(M86,2,99),"E-","E"),"E+","E"))),ISNUMBER(SEARCH("+",SUBSTITUTE(SUBSTITUTE("x"&amp;MID(M86,2,99),"E-","E"),"E+","E"))))),"",IF(AND(OR(LEFT(M86,1)="&lt;",LEFT(M86,1)="&gt;"),IF(O86="",0,IF(ISNUMBER(AH86),AH86,NA()))&lt;0),"",IF(O86="",0,IF(ISNUMBER(AH86),AH86,NA()))/IF(LEFT(M86,1)="&lt;",2,1))),"")))</f>
        <v/>
      </c>
      <c r="H86" s="57" t="inlineStr">
        <is>
          <t>BH02-W_20260415_02</t>
        </is>
      </c>
      <c r="I86" s="92">
        <f>IF(OR(H86="",AI86=0),0,IF(INDEX(Samples[樣品重複筆數],AI86)=1,AI86,0))</f>
        <v/>
      </c>
      <c r="J86" s="92">
        <f>IF(OR(COUNTA($A86:$D86)=0,I86=0),"",IF(INDEX(Samples[介質],I86)="","",INDEX(Samples[介質],I86)))</f>
        <v/>
      </c>
      <c r="K86" s="92">
        <f>IF(OR(COUNTA($A86:$D86)=0,T86=0),"",IF(INDEX(DB_04[標準單位],T86)="","",INDEX(DB_04[標準單位],T86)))</f>
        <v/>
      </c>
      <c r="L86" s="92">
        <f>IF(COUNTA($A86:$D86)=0,"",IF(OR(C86="",K86=""),"",IF(C86=K86,1,IF(COUNTIFS(DB_06[換算鍵],C86&amp;"|"&amp;K86,DB_06[換算檢查],"OK")=1,INDEX(DB_06[乘數],MATCH(C86&amp;"|"&amp;K86,DB_06[換算鍵],0)),""))))</f>
        <v/>
      </c>
      <c r="M86" s="92">
        <f>UPPER(SUBSTITUTE(SUBSTITUTE(SUBSTITUTE(SUBSTITUTE(TRIM(B86&amp;""),"＜","&lt;"),"＞","&gt;"),"≤","&lt;="),"≥","&gt;="))</f>
        <v/>
      </c>
      <c r="N86" s="92">
        <f>IF(M86="","",IF(OR(M86="ND",M86="N.D."),"ND",IF(OR(M86="NA",M86="N/A",M86="N.A."),"NA",IF(OR(LEFT(M86,2)="&lt;=",LEFT(M86,2)="&gt;="),LEFT(M86,2),IF(OR(LEFT(M86,1)="&lt;",LEFT(M86,1)="&gt;"),LEFT(M86,1),"數值")))))</f>
        <v/>
      </c>
      <c r="O86" s="92">
        <f>IF(OR(N86="",N86="ND",N86="NA"),"",IF(N86="數值",M86,TRIM(MID(M86,LEN(N86)+1,99))))</f>
        <v/>
      </c>
      <c r="P86" s="92">
        <f>IF(O86="","",IFERROR(IF(OR(OR(ISNUMBER(SEARCH("%",O86)),ISNUMBER(SEARCH(" ",O86)),ISNUMBER(SEARCH(",",O86))),OR(SUBSTITUTE(SUBSTITUTE(SUBSTITUTE(SUBSTITUTE(SUBSTITUTE(SUBSTITUTE(SUBSTITUTE(SUBSTITUTE(SUBSTITUTE(SUBSTITUTE(SUBSTITUTE(SUBSTITUTE(SUBSTITUTE(SUBSTITUTE(SUBSTITUTE(SUBSTITUTE(SUBSTITUTE(SUBSTITUTE("x"&amp;O86,"0",""),"1",""),"2",""),"3",""),"4",""),"5",""),"6",""),"7",""),"8",""),"9",""),".",""),"E",""),"+",""),"-",""),"&lt;",""),"&gt;",""),"=","")," ","")&lt;&gt;"x",ISNUMBER(SEARCH("-",SUBSTITUTE(SUBSTITUTE("x"&amp;MID(O86,2,99),"E-","E"),"E+","E"))),ISNUMBER(SEARCH("+",SUBSTITUTE(SUBSTITUTE("x"&amp;MID(O86,2,99),"E-","E"),"E+","E"))))),"",IF(ISNUMBER(AH86),AH86,NA())),""))</f>
        <v/>
      </c>
      <c r="Q86" s="92">
        <f>IF(AND(ISNUMBER(L86),ISNUMBER(P86)),L86*P86,"")</f>
        <v/>
      </c>
      <c r="R86" s="92">
        <f>IF(OR(COUNTA($A86:$D86)=0,U86=0),"",IF(INDEX(DB_05[管制設定值],U86)="","",INDEX(DB_05[管制設定值],U86)))</f>
        <v/>
      </c>
      <c r="S86" s="92">
        <f>IF(OR(COUNTA($A86:$D86)=0,U86=0),"",IF(INDEX(DB_05[監測設定值],U86)="","",INDEX(DB_05[監測設定值],U86)))</f>
        <v/>
      </c>
      <c r="T86" s="92">
        <f>IF(COUNTA($A86:$D86)=0,"",IF(COUNTIFS(DB_04[測項鍵],V86)=1,MATCH(V86,DB_04[測項鍵],0),0))</f>
        <v/>
      </c>
      <c r="U86" s="92">
        <f>IF(COUNTA($A86:$D86)=0,"",IF(COUNTIFS(DB_05[標準鍵],W86)=1,MATCH(W86,DB_05[標準鍵],0),0))</f>
        <v/>
      </c>
      <c r="V86" s="92">
        <f>IF(OR(J86="",A86=""),"",J86&amp;"|"&amp;A86)</f>
        <v/>
      </c>
      <c r="W86" s="92">
        <f>IF(OR('07_QAQC'!$C$3="",V86=""),"",'07_QAQC'!$C$3&amp;"|"&amp;V86)</f>
        <v/>
      </c>
      <c r="X86" s="92">
        <f>IF(OR(H86="",A86=""),"",LEN(H86)&amp;":"&amp;H86&amp;LEN(A86)&amp;":"&amp;A86)</f>
        <v/>
      </c>
      <c r="Y86" s="93">
        <f>IF(COUNTA($A86:$D86)=0,"",IF(I86=0,"樣品未建或重複",IF(INDEX(Samples[樣品檢查],I86)="","OK",INDEX(Samples[樣品檢查],I86))))</f>
        <v/>
      </c>
      <c r="Z86" s="93">
        <f>IF(COUNTA($A86:$D86)=0,"",IF(B86="","缺原始值",IF(OR(B86="-",B86="--"),"無資料",IF(N86="NA","不適用",IF(N86="ND","OK",IF(NOT(ISNUMBER(P86)),"格式待核",IF(AND(N86&lt;&gt;"數值",P86&lt;0),"界限不得為負","OK")))))))</f>
        <v/>
      </c>
      <c r="AA86" s="93">
        <f>IF(COUNTA(A86:D86)=0,"",IF(OR(A86="",H86=""),"缺識別欄位",IF(IF(LEN("="&amp;SUBSTITUTE(SUBSTITUTE(SUBSTITUTE(X86,"~","~~"),"*","~*"),"?","~?"))&lt;=255,COUNTIF(Results[結果識別鍵],"="&amp;SUBSTITUTE(SUBSTITUTE(SUBSTITUTE(X86,"~","~~"),"*","~*"),"?","~?")),COUNTIFS(Results[關聯鍵],"="&amp;SUBSTITUTE(SUBSTITUTE(SUBSTITUTE(H86,"~","~~"),"*","~*"),"?","~?"),Results[分析項目],"="&amp;SUBSTITUTE(SUBSTITUTE(SUBSTITUTE(A86,"~","~~"),"*","~*"),"?","~?")))&gt;1,"同關聯鍵測項重複","OK")))</f>
        <v/>
      </c>
      <c r="AB86" s="93">
        <f>IF(COUNTA($A86:$D86)=0,"",IF(OR(C86="",K86=""),"缺單位",IF(NOT(ISNUMBER(L86)),"單位不相容",IF(L86=1,"OK","已換算"))))</f>
        <v/>
      </c>
      <c r="AC86" s="93">
        <f>IF(COUNTA($A86:$D86)=0,"",IF('07_QAQC'!$C$3="","未選比較版本",IF(U86=0,IF(COUNTIFS(DB_05[標準鍵],W86)&gt;1,"標準鍵重複","未訂此介質／測項門檻"),IF(INDEX(DB_05[版本檢查],U86)&lt;&gt;"OK","標準主檔待核",IF(INDEX(DB_05[標準單位],U86)&lt;&gt;K86,"標準單位不符",IF(INDEX(DB_05[核對狀態],U86)="停用","停用",IF(F86="","缺採樣日期",IF(OR(AND(INDEX(DB_05[生效日],U86)&lt;&gt;"",F86&lt;INDEX(DB_05[生效日],U86)),AND(INDEX(DB_05[失效日],U86)&lt;&gt;"",F86&gt;INDEX(DB_05[失效日],U86))),"日期不適用",INDEX(DB_05[核對狀態],U86)))))))))</f>
        <v/>
      </c>
      <c r="AD86" s="93">
        <f>IF(COUNTA($A86:$D86)=0,"",IF(AC86="未訂此介質／測項門檻",AC86,IF(AC86&lt;&gt;"已核對","標準待核",IF(R86="","未訂管制值",IF(NOT(ISNUMBER(L86)),"單位待核",IF(N86="ND","無法判定（ND無界限）",IF(N86="NA","不適用",IF(Z86&lt;&gt;"OK",Z86,IF(N86="數值",IF(Q86&gt;=R86,"達管制值","未達管制值"),IF(OR(N86="&lt;",N86="&lt;="),IF(OR(Q86&lt;R86,AND(N86="&lt;",Q86=R86)),"未達管制值","無法判定"),IF(OR(N86="&gt;",N86="&gt;="),IF(Q86&gt;=R86,"達管制值","無法判定"),"格式待核")))))))))))</f>
        <v/>
      </c>
      <c r="AE86" s="93">
        <f>IF(COUNTA($A86:$D86)=0,"",IF(AC86="未訂此介質／測項門檻",AC86,IF(AC86&lt;&gt;"已核對","標準待核",IF(S86="","未訂監測值",IF(NOT(ISNUMBER(L86)),"單位待核",IF(N86="ND","無法判定（ND無界限）",IF(N86="NA","不適用",IF(Z86&lt;&gt;"OK",Z86,IF(N86="數值",IF(Q86&gt;=S86,"達監測值","未達監測值"),IF(OR(N86="&lt;",N86="&lt;="),IF(OR(Q86&lt;S86,AND(N86="&lt;",Q86=S86)),"未達監測值","無法判定"),IF(OR(N86="&gt;",N86="&gt;="),IF(Q86&gt;=S86,"達監測值","無法判定"),"格式待核")))))))))))</f>
        <v/>
      </c>
      <c r="AF86" s="93">
        <f>IF(COUNTA($A86:$D86)=0,"",IF(OR(E86="",A86="",B86="",C86=""),"缺必要欄位",IF(Y86&lt;&gt;"OK","樣品資料待補",IF(T86=0,"測項未建或重複",IF(INDEX(DB_04[啟用],T86)&lt;&gt;"是","測項停用",IF(AND(Z86&lt;&gt;"OK",Z86&lt;&gt;"不適用"),Z86,IF(AND(AB86&lt;&gt;"OK",AB86&lt;&gt;"已換算"),"單位待核",IF(AA86&lt;&gt;"OK",AA86,"OK"))))))))</f>
        <v/>
      </c>
      <c r="AG86" s="93">
        <f>IF(COUNTA($A86:$D86)=0,"",IF(N86="ND","ND取0",IF(OR(N86="&lt;",N86="&lt;="),"界限除以2",IF(N86="NA","不適用",IF(OR(N86="&gt;",N86="&gt;="),"保留界限數值","保留原數值")))))</f>
        <v/>
      </c>
      <c r="AH86" s="92">
        <f>IF(O86="","",IFERROR(_xlfn.NUMBERVALUE(O86,".",","),""))</f>
        <v/>
      </c>
      <c r="AI86" s="92">
        <f>IF(H86="","",IFERROR(MATCH(H86,Samples[樣品編號],0),0))</f>
        <v/>
      </c>
    </row>
    <row r="87">
      <c r="A87" s="27" t="inlineStr">
        <is>
          <t>溶氧飽和度</t>
        </is>
      </c>
      <c r="B87" s="28" t="inlineStr">
        <is>
          <t>68</t>
        </is>
      </c>
      <c r="C87" s="27" t="inlineStr">
        <is>
          <t>%</t>
        </is>
      </c>
      <c r="D87" s="39" t="inlineStr">
        <is>
          <t>合成資料，非實測；method=field</t>
        </is>
      </c>
      <c r="E87" s="29">
        <f>IF(OR(I87="",I87=0),"",IF(INDEX(Samples[監測點],I87)="","",INDEX(Samples[監測點],I87)))</f>
        <v/>
      </c>
      <c r="F87" s="90">
        <f>IF(OR(I87="",I87=0),"",IF(INDEX(Samples[採樣日期],I87)="","",INDEX(Samples[採樣日期],I87)))</f>
        <v/>
      </c>
      <c r="G87" s="91">
        <f>IF(OR(M87="",M87="NA",M87="N/A"),"",IF(OR(M87="ND",M87="N.D."),0,IFERROR(IF(OR(OR(ISNUMBER(SEARCH("%",O87)),ISNUMBER(SEARCH(" ",O87)),ISNUMBER(SEARCH(",",O87))),OR(SUBSTITUTE(SUBSTITUTE(SUBSTITUTE(SUBSTITUTE(SUBSTITUTE(SUBSTITUTE(SUBSTITUTE(SUBSTITUTE(SUBSTITUTE(SUBSTITUTE(SUBSTITUTE(SUBSTITUTE(SUBSTITUTE(SUBSTITUTE(SUBSTITUTE(SUBSTITUTE(SUBSTITUTE(SUBSTITUTE("x"&amp;M87,"0",""),"1",""),"2",""),"3",""),"4",""),"5",""),"6",""),"7",""),"8",""),"9",""),".",""),"E",""),"+",""),"-",""),"&lt;",""),"&gt;",""),"=","")," ","")&lt;&gt;"x",ISNUMBER(SEARCH("-",SUBSTITUTE(SUBSTITUTE("x"&amp;MID(M87,2,99),"E-","E"),"E+","E"))),ISNUMBER(SEARCH("+",SUBSTITUTE(SUBSTITUTE("x"&amp;MID(M87,2,99),"E-","E"),"E+","E"))))),"",IF(AND(OR(LEFT(M87,1)="&lt;",LEFT(M87,1)="&gt;"),IF(O87="",0,IF(ISNUMBER(AH87),AH87,NA()))&lt;0),"",IF(O87="",0,IF(ISNUMBER(AH87),AH87,NA()))/IF(LEFT(M87,1)="&lt;",2,1))),"")))</f>
        <v/>
      </c>
      <c r="H87" s="57" t="inlineStr">
        <is>
          <t>BH02-W_20260415_02</t>
        </is>
      </c>
      <c r="I87" s="92">
        <f>IF(OR(H87="",AI87=0),0,IF(INDEX(Samples[樣品重複筆數],AI87)=1,AI87,0))</f>
        <v/>
      </c>
      <c r="J87" s="92">
        <f>IF(OR(COUNTA($A87:$D87)=0,I87=0),"",IF(INDEX(Samples[介質],I87)="","",INDEX(Samples[介質],I87)))</f>
        <v/>
      </c>
      <c r="K87" s="92">
        <f>IF(OR(COUNTA($A87:$D87)=0,T87=0),"",IF(INDEX(DB_04[標準單位],T87)="","",INDEX(DB_04[標準單位],T87)))</f>
        <v/>
      </c>
      <c r="L87" s="92">
        <f>IF(COUNTA($A87:$D87)=0,"",IF(OR(C87="",K87=""),"",IF(C87=K87,1,IF(COUNTIFS(DB_06[換算鍵],C87&amp;"|"&amp;K87,DB_06[換算檢查],"OK")=1,INDEX(DB_06[乘數],MATCH(C87&amp;"|"&amp;K87,DB_06[換算鍵],0)),""))))</f>
        <v/>
      </c>
      <c r="M87" s="92">
        <f>UPPER(SUBSTITUTE(SUBSTITUTE(SUBSTITUTE(SUBSTITUTE(TRIM(B87&amp;""),"＜","&lt;"),"＞","&gt;"),"≤","&lt;="),"≥","&gt;="))</f>
        <v/>
      </c>
      <c r="N87" s="92">
        <f>IF(M87="","",IF(OR(M87="ND",M87="N.D."),"ND",IF(OR(M87="NA",M87="N/A",M87="N.A."),"NA",IF(OR(LEFT(M87,2)="&lt;=",LEFT(M87,2)="&gt;="),LEFT(M87,2),IF(OR(LEFT(M87,1)="&lt;",LEFT(M87,1)="&gt;"),LEFT(M87,1),"數值")))))</f>
        <v/>
      </c>
      <c r="O87" s="92">
        <f>IF(OR(N87="",N87="ND",N87="NA"),"",IF(N87="數值",M87,TRIM(MID(M87,LEN(N87)+1,99))))</f>
        <v/>
      </c>
      <c r="P87" s="92">
        <f>IF(O87="","",IFERROR(IF(OR(OR(ISNUMBER(SEARCH("%",O87)),ISNUMBER(SEARCH(" ",O87)),ISNUMBER(SEARCH(",",O87))),OR(SUBSTITUTE(SUBSTITUTE(SUBSTITUTE(SUBSTITUTE(SUBSTITUTE(SUBSTITUTE(SUBSTITUTE(SUBSTITUTE(SUBSTITUTE(SUBSTITUTE(SUBSTITUTE(SUBSTITUTE(SUBSTITUTE(SUBSTITUTE(SUBSTITUTE(SUBSTITUTE(SUBSTITUTE(SUBSTITUTE("x"&amp;O87,"0",""),"1",""),"2",""),"3",""),"4",""),"5",""),"6",""),"7",""),"8",""),"9",""),".",""),"E",""),"+",""),"-",""),"&lt;",""),"&gt;",""),"=","")," ","")&lt;&gt;"x",ISNUMBER(SEARCH("-",SUBSTITUTE(SUBSTITUTE("x"&amp;MID(O87,2,99),"E-","E"),"E+","E"))),ISNUMBER(SEARCH("+",SUBSTITUTE(SUBSTITUTE("x"&amp;MID(O87,2,99),"E-","E"),"E+","E"))))),"",IF(ISNUMBER(AH87),AH87,NA())),""))</f>
        <v/>
      </c>
      <c r="Q87" s="92">
        <f>IF(AND(ISNUMBER(L87),ISNUMBER(P87)),L87*P87,"")</f>
        <v/>
      </c>
      <c r="R87" s="92">
        <f>IF(OR(COUNTA($A87:$D87)=0,U87=0),"",IF(INDEX(DB_05[管制設定值],U87)="","",INDEX(DB_05[管制設定值],U87)))</f>
        <v/>
      </c>
      <c r="S87" s="92">
        <f>IF(OR(COUNTA($A87:$D87)=0,U87=0),"",IF(INDEX(DB_05[監測設定值],U87)="","",INDEX(DB_05[監測設定值],U87)))</f>
        <v/>
      </c>
      <c r="T87" s="92">
        <f>IF(COUNTA($A87:$D87)=0,"",IF(COUNTIFS(DB_04[測項鍵],V87)=1,MATCH(V87,DB_04[測項鍵],0),0))</f>
        <v/>
      </c>
      <c r="U87" s="92">
        <f>IF(COUNTA($A87:$D87)=0,"",IF(COUNTIFS(DB_05[標準鍵],W87)=1,MATCH(W87,DB_05[標準鍵],0),0))</f>
        <v/>
      </c>
      <c r="V87" s="92">
        <f>IF(OR(J87="",A87=""),"",J87&amp;"|"&amp;A87)</f>
        <v/>
      </c>
      <c r="W87" s="92">
        <f>IF(OR('07_QAQC'!$C$3="",V87=""),"",'07_QAQC'!$C$3&amp;"|"&amp;V87)</f>
        <v/>
      </c>
      <c r="X87" s="92">
        <f>IF(OR(H87="",A87=""),"",LEN(H87)&amp;":"&amp;H87&amp;LEN(A87)&amp;":"&amp;A87)</f>
        <v/>
      </c>
      <c r="Y87" s="93">
        <f>IF(COUNTA($A87:$D87)=0,"",IF(I87=0,"樣品未建或重複",IF(INDEX(Samples[樣品檢查],I87)="","OK",INDEX(Samples[樣品檢查],I87))))</f>
        <v/>
      </c>
      <c r="Z87" s="93">
        <f>IF(COUNTA($A87:$D87)=0,"",IF(B87="","缺原始值",IF(OR(B87="-",B87="--"),"無資料",IF(N87="NA","不適用",IF(N87="ND","OK",IF(NOT(ISNUMBER(P87)),"格式待核",IF(AND(N87&lt;&gt;"數值",P87&lt;0),"界限不得為負","OK")))))))</f>
        <v/>
      </c>
      <c r="AA87" s="93">
        <f>IF(COUNTA(A87:D87)=0,"",IF(OR(A87="",H87=""),"缺識別欄位",IF(IF(LEN("="&amp;SUBSTITUTE(SUBSTITUTE(SUBSTITUTE(X87,"~","~~"),"*","~*"),"?","~?"))&lt;=255,COUNTIF(Results[結果識別鍵],"="&amp;SUBSTITUTE(SUBSTITUTE(SUBSTITUTE(X87,"~","~~"),"*","~*"),"?","~?")),COUNTIFS(Results[關聯鍵],"="&amp;SUBSTITUTE(SUBSTITUTE(SUBSTITUTE(H87,"~","~~"),"*","~*"),"?","~?"),Results[分析項目],"="&amp;SUBSTITUTE(SUBSTITUTE(SUBSTITUTE(A87,"~","~~"),"*","~*"),"?","~?")))&gt;1,"同關聯鍵測項重複","OK")))</f>
        <v/>
      </c>
      <c r="AB87" s="93">
        <f>IF(COUNTA($A87:$D87)=0,"",IF(OR(C87="",K87=""),"缺單位",IF(NOT(ISNUMBER(L87)),"單位不相容",IF(L87=1,"OK","已換算"))))</f>
        <v/>
      </c>
      <c r="AC87" s="93">
        <f>IF(COUNTA($A87:$D87)=0,"",IF('07_QAQC'!$C$3="","未選比較版本",IF(U87=0,IF(COUNTIFS(DB_05[標準鍵],W87)&gt;1,"標準鍵重複","未訂此介質／測項門檻"),IF(INDEX(DB_05[版本檢查],U87)&lt;&gt;"OK","標準主檔待核",IF(INDEX(DB_05[標準單位],U87)&lt;&gt;K87,"標準單位不符",IF(INDEX(DB_05[核對狀態],U87)="停用","停用",IF(F87="","缺採樣日期",IF(OR(AND(INDEX(DB_05[生效日],U87)&lt;&gt;"",F87&lt;INDEX(DB_05[生效日],U87)),AND(INDEX(DB_05[失效日],U87)&lt;&gt;"",F87&gt;INDEX(DB_05[失效日],U87))),"日期不適用",INDEX(DB_05[核對狀態],U87)))))))))</f>
        <v/>
      </c>
      <c r="AD87" s="93">
        <f>IF(COUNTA($A87:$D87)=0,"",IF(AC87="未訂此介質／測項門檻",AC87,IF(AC87&lt;&gt;"已核對","標準待核",IF(R87="","未訂管制值",IF(NOT(ISNUMBER(L87)),"單位待核",IF(N87="ND","無法判定（ND無界限）",IF(N87="NA","不適用",IF(Z87&lt;&gt;"OK",Z87,IF(N87="數值",IF(Q87&gt;=R87,"達管制值","未達管制值"),IF(OR(N87="&lt;",N87="&lt;="),IF(OR(Q87&lt;R87,AND(N87="&lt;",Q87=R87)),"未達管制值","無法判定"),IF(OR(N87="&gt;",N87="&gt;="),IF(Q87&gt;=R87,"達管制值","無法判定"),"格式待核")))))))))))</f>
        <v/>
      </c>
      <c r="AE87" s="93">
        <f>IF(COUNTA($A87:$D87)=0,"",IF(AC87="未訂此介質／測項門檻",AC87,IF(AC87&lt;&gt;"已核對","標準待核",IF(S87="","未訂監測值",IF(NOT(ISNUMBER(L87)),"單位待核",IF(N87="ND","無法判定（ND無界限）",IF(N87="NA","不適用",IF(Z87&lt;&gt;"OK",Z87,IF(N87="數值",IF(Q87&gt;=S87,"達監測值","未達監測值"),IF(OR(N87="&lt;",N87="&lt;="),IF(OR(Q87&lt;S87,AND(N87="&lt;",Q87=S87)),"未達監測值","無法判定"),IF(OR(N87="&gt;",N87="&gt;="),IF(Q87&gt;=S87,"達監測值","無法判定"),"格式待核")))))))))))</f>
        <v/>
      </c>
      <c r="AF87" s="93">
        <f>IF(COUNTA($A87:$D87)=0,"",IF(OR(E87="",A87="",B87="",C87=""),"缺必要欄位",IF(Y87&lt;&gt;"OK","樣品資料待補",IF(T87=0,"測項未建或重複",IF(INDEX(DB_04[啟用],T87)&lt;&gt;"是","測項停用",IF(AND(Z87&lt;&gt;"OK",Z87&lt;&gt;"不適用"),Z87,IF(AND(AB87&lt;&gt;"OK",AB87&lt;&gt;"已換算"),"單位待核",IF(AA87&lt;&gt;"OK",AA87,"OK"))))))))</f>
        <v/>
      </c>
      <c r="AG87" s="93">
        <f>IF(COUNTA($A87:$D87)=0,"",IF(N87="ND","ND取0",IF(OR(N87="&lt;",N87="&lt;="),"界限除以2",IF(N87="NA","不適用",IF(OR(N87="&gt;",N87="&gt;="),"保留界限數值","保留原數值")))))</f>
        <v/>
      </c>
      <c r="AH87" s="92">
        <f>IF(O87="","",IFERROR(_xlfn.NUMBERVALUE(O87,".",","),""))</f>
        <v/>
      </c>
      <c r="AI87" s="92">
        <f>IF(H87="","",IFERROR(MATCH(H87,Samples[樣品編號],0),0))</f>
        <v/>
      </c>
    </row>
    <row r="88">
      <c r="A88" s="27" t="inlineStr">
        <is>
          <t>ORP</t>
        </is>
      </c>
      <c r="B88" s="28" t="inlineStr">
        <is>
          <t>10</t>
        </is>
      </c>
      <c r="C88" s="27" t="inlineStr">
        <is>
          <t>mV</t>
        </is>
      </c>
      <c r="D88" s="39" t="inlineStr">
        <is>
          <t>合成資料，非實測；method=field; reference_electrode=Ag/AgCl; calibration=verified</t>
        </is>
      </c>
      <c r="E88" s="29">
        <f>IF(OR(I88="",I88=0),"",IF(INDEX(Samples[監測點],I88)="","",INDEX(Samples[監測點],I88)))</f>
        <v/>
      </c>
      <c r="F88" s="90">
        <f>IF(OR(I88="",I88=0),"",IF(INDEX(Samples[採樣日期],I88)="","",INDEX(Samples[採樣日期],I88)))</f>
        <v/>
      </c>
      <c r="G88" s="91">
        <f>IF(OR(M88="",M88="NA",M88="N/A"),"",IF(OR(M88="ND",M88="N.D."),0,IFERROR(IF(OR(OR(ISNUMBER(SEARCH("%",O88)),ISNUMBER(SEARCH(" ",O88)),ISNUMBER(SEARCH(",",O88))),OR(SUBSTITUTE(SUBSTITUTE(SUBSTITUTE(SUBSTITUTE(SUBSTITUTE(SUBSTITUTE(SUBSTITUTE(SUBSTITUTE(SUBSTITUTE(SUBSTITUTE(SUBSTITUTE(SUBSTITUTE(SUBSTITUTE(SUBSTITUTE(SUBSTITUTE(SUBSTITUTE(SUBSTITUTE(SUBSTITUTE("x"&amp;M88,"0",""),"1",""),"2",""),"3",""),"4",""),"5",""),"6",""),"7",""),"8",""),"9",""),".",""),"E",""),"+",""),"-",""),"&lt;",""),"&gt;",""),"=","")," ","")&lt;&gt;"x",ISNUMBER(SEARCH("-",SUBSTITUTE(SUBSTITUTE("x"&amp;MID(M88,2,99),"E-","E"),"E+","E"))),ISNUMBER(SEARCH("+",SUBSTITUTE(SUBSTITUTE("x"&amp;MID(M88,2,99),"E-","E"),"E+","E"))))),"",IF(AND(OR(LEFT(M88,1)="&lt;",LEFT(M88,1)="&gt;"),IF(O88="",0,IF(ISNUMBER(AH88),AH88,NA()))&lt;0),"",IF(O88="",0,IF(ISNUMBER(AH88),AH88,NA()))/IF(LEFT(M88,1)="&lt;",2,1))),"")))</f>
        <v/>
      </c>
      <c r="H88" s="57" t="inlineStr">
        <is>
          <t>BH02-W_20260415_02</t>
        </is>
      </c>
      <c r="I88" s="92">
        <f>IF(OR(H88="",AI88=0),0,IF(INDEX(Samples[樣品重複筆數],AI88)=1,AI88,0))</f>
        <v/>
      </c>
      <c r="J88" s="92">
        <f>IF(OR(COUNTA($A88:$D88)=0,I88=0),"",IF(INDEX(Samples[介質],I88)="","",INDEX(Samples[介質],I88)))</f>
        <v/>
      </c>
      <c r="K88" s="92">
        <f>IF(OR(COUNTA($A88:$D88)=0,T88=0),"",IF(INDEX(DB_04[標準單位],T88)="","",INDEX(DB_04[標準單位],T88)))</f>
        <v/>
      </c>
      <c r="L88" s="92">
        <f>IF(COUNTA($A88:$D88)=0,"",IF(OR(C88="",K88=""),"",IF(C88=K88,1,IF(COUNTIFS(DB_06[換算鍵],C88&amp;"|"&amp;K88,DB_06[換算檢查],"OK")=1,INDEX(DB_06[乘數],MATCH(C88&amp;"|"&amp;K88,DB_06[換算鍵],0)),""))))</f>
        <v/>
      </c>
      <c r="M88" s="92">
        <f>UPPER(SUBSTITUTE(SUBSTITUTE(SUBSTITUTE(SUBSTITUTE(TRIM(B88&amp;""),"＜","&lt;"),"＞","&gt;"),"≤","&lt;="),"≥","&gt;="))</f>
        <v/>
      </c>
      <c r="N88" s="92">
        <f>IF(M88="","",IF(OR(M88="ND",M88="N.D."),"ND",IF(OR(M88="NA",M88="N/A",M88="N.A."),"NA",IF(OR(LEFT(M88,2)="&lt;=",LEFT(M88,2)="&gt;="),LEFT(M88,2),IF(OR(LEFT(M88,1)="&lt;",LEFT(M88,1)="&gt;"),LEFT(M88,1),"數值")))))</f>
        <v/>
      </c>
      <c r="O88" s="92">
        <f>IF(OR(N88="",N88="ND",N88="NA"),"",IF(N88="數值",M88,TRIM(MID(M88,LEN(N88)+1,99))))</f>
        <v/>
      </c>
      <c r="P88" s="92">
        <f>IF(O88="","",IFERROR(IF(OR(OR(ISNUMBER(SEARCH("%",O88)),ISNUMBER(SEARCH(" ",O88)),ISNUMBER(SEARCH(",",O88))),OR(SUBSTITUTE(SUBSTITUTE(SUBSTITUTE(SUBSTITUTE(SUBSTITUTE(SUBSTITUTE(SUBSTITUTE(SUBSTITUTE(SUBSTITUTE(SUBSTITUTE(SUBSTITUTE(SUBSTITUTE(SUBSTITUTE(SUBSTITUTE(SUBSTITUTE(SUBSTITUTE(SUBSTITUTE(SUBSTITUTE("x"&amp;O88,"0",""),"1",""),"2",""),"3",""),"4",""),"5",""),"6",""),"7",""),"8",""),"9",""),".",""),"E",""),"+",""),"-",""),"&lt;",""),"&gt;",""),"=","")," ","")&lt;&gt;"x",ISNUMBER(SEARCH("-",SUBSTITUTE(SUBSTITUTE("x"&amp;MID(O88,2,99),"E-","E"),"E+","E"))),ISNUMBER(SEARCH("+",SUBSTITUTE(SUBSTITUTE("x"&amp;MID(O88,2,99),"E-","E"),"E+","E"))))),"",IF(ISNUMBER(AH88),AH88,NA())),""))</f>
        <v/>
      </c>
      <c r="Q88" s="92">
        <f>IF(AND(ISNUMBER(L88),ISNUMBER(P88)),L88*P88,"")</f>
        <v/>
      </c>
      <c r="R88" s="92">
        <f>IF(OR(COUNTA($A88:$D88)=0,U88=0),"",IF(INDEX(DB_05[管制設定值],U88)="","",INDEX(DB_05[管制設定值],U88)))</f>
        <v/>
      </c>
      <c r="S88" s="92">
        <f>IF(OR(COUNTA($A88:$D88)=0,U88=0),"",IF(INDEX(DB_05[監測設定值],U88)="","",INDEX(DB_05[監測設定值],U88)))</f>
        <v/>
      </c>
      <c r="T88" s="92">
        <f>IF(COUNTA($A88:$D88)=0,"",IF(COUNTIFS(DB_04[測項鍵],V88)=1,MATCH(V88,DB_04[測項鍵],0),0))</f>
        <v/>
      </c>
      <c r="U88" s="92">
        <f>IF(COUNTA($A88:$D88)=0,"",IF(COUNTIFS(DB_05[標準鍵],W88)=1,MATCH(W88,DB_05[標準鍵],0),0))</f>
        <v/>
      </c>
      <c r="V88" s="92">
        <f>IF(OR(J88="",A88=""),"",J88&amp;"|"&amp;A88)</f>
        <v/>
      </c>
      <c r="W88" s="92">
        <f>IF(OR('07_QAQC'!$C$3="",V88=""),"",'07_QAQC'!$C$3&amp;"|"&amp;V88)</f>
        <v/>
      </c>
      <c r="X88" s="92">
        <f>IF(OR(H88="",A88=""),"",LEN(H88)&amp;":"&amp;H88&amp;LEN(A88)&amp;":"&amp;A88)</f>
        <v/>
      </c>
      <c r="Y88" s="93">
        <f>IF(COUNTA($A88:$D88)=0,"",IF(I88=0,"樣品未建或重複",IF(INDEX(Samples[樣品檢查],I88)="","OK",INDEX(Samples[樣品檢查],I88))))</f>
        <v/>
      </c>
      <c r="Z88" s="93">
        <f>IF(COUNTA($A88:$D88)=0,"",IF(B88="","缺原始值",IF(OR(B88="-",B88="--"),"無資料",IF(N88="NA","不適用",IF(N88="ND","OK",IF(NOT(ISNUMBER(P88)),"格式待核",IF(AND(N88&lt;&gt;"數值",P88&lt;0),"界限不得為負","OK")))))))</f>
        <v/>
      </c>
      <c r="AA88" s="93">
        <f>IF(COUNTA(A88:D88)=0,"",IF(OR(A88="",H88=""),"缺識別欄位",IF(IF(LEN("="&amp;SUBSTITUTE(SUBSTITUTE(SUBSTITUTE(X88,"~","~~"),"*","~*"),"?","~?"))&lt;=255,COUNTIF(Results[結果識別鍵],"="&amp;SUBSTITUTE(SUBSTITUTE(SUBSTITUTE(X88,"~","~~"),"*","~*"),"?","~?")),COUNTIFS(Results[關聯鍵],"="&amp;SUBSTITUTE(SUBSTITUTE(SUBSTITUTE(H88,"~","~~"),"*","~*"),"?","~?"),Results[分析項目],"="&amp;SUBSTITUTE(SUBSTITUTE(SUBSTITUTE(A88,"~","~~"),"*","~*"),"?","~?")))&gt;1,"同關聯鍵測項重複","OK")))</f>
        <v/>
      </c>
      <c r="AB88" s="93">
        <f>IF(COUNTA($A88:$D88)=0,"",IF(OR(C88="",K88=""),"缺單位",IF(NOT(ISNUMBER(L88)),"單位不相容",IF(L88=1,"OK","已換算"))))</f>
        <v/>
      </c>
      <c r="AC88" s="93">
        <f>IF(COUNTA($A88:$D88)=0,"",IF('07_QAQC'!$C$3="","未選比較版本",IF(U88=0,IF(COUNTIFS(DB_05[標準鍵],W88)&gt;1,"標準鍵重複","未訂此介質／測項門檻"),IF(INDEX(DB_05[版本檢查],U88)&lt;&gt;"OK","標準主檔待核",IF(INDEX(DB_05[標準單位],U88)&lt;&gt;K88,"標準單位不符",IF(INDEX(DB_05[核對狀態],U88)="停用","停用",IF(F88="","缺採樣日期",IF(OR(AND(INDEX(DB_05[生效日],U88)&lt;&gt;"",F88&lt;INDEX(DB_05[生效日],U88)),AND(INDEX(DB_05[失效日],U88)&lt;&gt;"",F88&gt;INDEX(DB_05[失效日],U88))),"日期不適用",INDEX(DB_05[核對狀態],U88)))))))))</f>
        <v/>
      </c>
      <c r="AD88" s="93">
        <f>IF(COUNTA($A88:$D88)=0,"",IF(AC88="未訂此介質／測項門檻",AC88,IF(AC88&lt;&gt;"已核對","標準待核",IF(R88="","未訂管制值",IF(NOT(ISNUMBER(L88)),"單位待核",IF(N88="ND","無法判定（ND無界限）",IF(N88="NA","不適用",IF(Z88&lt;&gt;"OK",Z88,IF(N88="數值",IF(Q88&gt;=R88,"達管制值","未達管制值"),IF(OR(N88="&lt;",N88="&lt;="),IF(OR(Q88&lt;R88,AND(N88="&lt;",Q88=R88)),"未達管制值","無法判定"),IF(OR(N88="&gt;",N88="&gt;="),IF(Q88&gt;=R88,"達管制值","無法判定"),"格式待核")))))))))))</f>
        <v/>
      </c>
      <c r="AE88" s="93">
        <f>IF(COUNTA($A88:$D88)=0,"",IF(AC88="未訂此介質／測項門檻",AC88,IF(AC88&lt;&gt;"已核對","標準待核",IF(S88="","未訂監測值",IF(NOT(ISNUMBER(L88)),"單位待核",IF(N88="ND","無法判定（ND無界限）",IF(N88="NA","不適用",IF(Z88&lt;&gt;"OK",Z88,IF(N88="數值",IF(Q88&gt;=S88,"達監測值","未達監測值"),IF(OR(N88="&lt;",N88="&lt;="),IF(OR(Q88&lt;S88,AND(N88="&lt;",Q88=S88)),"未達監測值","無法判定"),IF(OR(N88="&gt;",N88="&gt;="),IF(Q88&gt;=S88,"達監測值","無法判定"),"格式待核")))))))))))</f>
        <v/>
      </c>
      <c r="AF88" s="93">
        <f>IF(COUNTA($A88:$D88)=0,"",IF(OR(E88="",A88="",B88="",C88=""),"缺必要欄位",IF(Y88&lt;&gt;"OK","樣品資料待補",IF(T88=0,"測項未建或重複",IF(INDEX(DB_04[啟用],T88)&lt;&gt;"是","測項停用",IF(AND(Z88&lt;&gt;"OK",Z88&lt;&gt;"不適用"),Z88,IF(AND(AB88&lt;&gt;"OK",AB88&lt;&gt;"已換算"),"單位待核",IF(AA88&lt;&gt;"OK",AA88,"OK"))))))))</f>
        <v/>
      </c>
      <c r="AG88" s="93">
        <f>IF(COUNTA($A88:$D88)=0,"",IF(N88="ND","ND取0",IF(OR(N88="&lt;",N88="&lt;="),"界限除以2",IF(N88="NA","不適用",IF(OR(N88="&gt;",N88="&gt;="),"保留界限數值","保留原數值")))))</f>
        <v/>
      </c>
      <c r="AH88" s="92">
        <f>IF(O88="","",IFERROR(_xlfn.NUMBERVALUE(O88,".",","),""))</f>
        <v/>
      </c>
      <c r="AI88" s="92">
        <f>IF(H88="","",IFERROR(MATCH(H88,Samples[樣品編號],0),0))</f>
        <v/>
      </c>
    </row>
    <row r="89">
      <c r="A89" s="27" t="inlineStr">
        <is>
          <t>總有機碳</t>
        </is>
      </c>
      <c r="B89" s="28" t="inlineStr">
        <is>
          <t>2.8</t>
        </is>
      </c>
      <c r="C89" s="27" t="inlineStr">
        <is>
          <t>mg/L</t>
        </is>
      </c>
      <c r="D89" s="39" t="inlineStr">
        <is>
          <t>合成資料，非實測；method=lab</t>
        </is>
      </c>
      <c r="E89" s="29">
        <f>IF(OR(I89="",I89=0),"",IF(INDEX(Samples[監測點],I89)="","",INDEX(Samples[監測點],I89)))</f>
        <v/>
      </c>
      <c r="F89" s="90">
        <f>IF(OR(I89="",I89=0),"",IF(INDEX(Samples[採樣日期],I89)="","",INDEX(Samples[採樣日期],I89)))</f>
        <v/>
      </c>
      <c r="G89" s="91">
        <f>IF(OR(M89="",M89="NA",M89="N/A"),"",IF(OR(M89="ND",M89="N.D."),0,IFERROR(IF(OR(OR(ISNUMBER(SEARCH("%",O89)),ISNUMBER(SEARCH(" ",O89)),ISNUMBER(SEARCH(",",O89))),OR(SUBSTITUTE(SUBSTITUTE(SUBSTITUTE(SUBSTITUTE(SUBSTITUTE(SUBSTITUTE(SUBSTITUTE(SUBSTITUTE(SUBSTITUTE(SUBSTITUTE(SUBSTITUTE(SUBSTITUTE(SUBSTITUTE(SUBSTITUTE(SUBSTITUTE(SUBSTITUTE(SUBSTITUTE(SUBSTITUTE("x"&amp;M89,"0",""),"1",""),"2",""),"3",""),"4",""),"5",""),"6",""),"7",""),"8",""),"9",""),".",""),"E",""),"+",""),"-",""),"&lt;",""),"&gt;",""),"=","")," ","")&lt;&gt;"x",ISNUMBER(SEARCH("-",SUBSTITUTE(SUBSTITUTE("x"&amp;MID(M89,2,99),"E-","E"),"E+","E"))),ISNUMBER(SEARCH("+",SUBSTITUTE(SUBSTITUTE("x"&amp;MID(M89,2,99),"E-","E"),"E+","E"))))),"",IF(AND(OR(LEFT(M89,1)="&lt;",LEFT(M89,1)="&gt;"),IF(O89="",0,IF(ISNUMBER(AH89),AH89,NA()))&lt;0),"",IF(O89="",0,IF(ISNUMBER(AH89),AH89,NA()))/IF(LEFT(M89,1)="&lt;",2,1))),"")))</f>
        <v/>
      </c>
      <c r="H89" s="57" t="inlineStr">
        <is>
          <t>BH02-W_20260415_02</t>
        </is>
      </c>
      <c r="I89" s="92">
        <f>IF(OR(H89="",AI89=0),0,IF(INDEX(Samples[樣品重複筆數],AI89)=1,AI89,0))</f>
        <v/>
      </c>
      <c r="J89" s="92">
        <f>IF(OR(COUNTA($A89:$D89)=0,I89=0),"",IF(INDEX(Samples[介質],I89)="","",INDEX(Samples[介質],I89)))</f>
        <v/>
      </c>
      <c r="K89" s="92">
        <f>IF(OR(COUNTA($A89:$D89)=0,T89=0),"",IF(INDEX(DB_04[標準單位],T89)="","",INDEX(DB_04[標準單位],T89)))</f>
        <v/>
      </c>
      <c r="L89" s="92">
        <f>IF(COUNTA($A89:$D89)=0,"",IF(OR(C89="",K89=""),"",IF(C89=K89,1,IF(COUNTIFS(DB_06[換算鍵],C89&amp;"|"&amp;K89,DB_06[換算檢查],"OK")=1,INDEX(DB_06[乘數],MATCH(C89&amp;"|"&amp;K89,DB_06[換算鍵],0)),""))))</f>
        <v/>
      </c>
      <c r="M89" s="92">
        <f>UPPER(SUBSTITUTE(SUBSTITUTE(SUBSTITUTE(SUBSTITUTE(TRIM(B89&amp;""),"＜","&lt;"),"＞","&gt;"),"≤","&lt;="),"≥","&gt;="))</f>
        <v/>
      </c>
      <c r="N89" s="92">
        <f>IF(M89="","",IF(OR(M89="ND",M89="N.D."),"ND",IF(OR(M89="NA",M89="N/A",M89="N.A."),"NA",IF(OR(LEFT(M89,2)="&lt;=",LEFT(M89,2)="&gt;="),LEFT(M89,2),IF(OR(LEFT(M89,1)="&lt;",LEFT(M89,1)="&gt;"),LEFT(M89,1),"數值")))))</f>
        <v/>
      </c>
      <c r="O89" s="92">
        <f>IF(OR(N89="",N89="ND",N89="NA"),"",IF(N89="數值",M89,TRIM(MID(M89,LEN(N89)+1,99))))</f>
        <v/>
      </c>
      <c r="P89" s="92">
        <f>IF(O89="","",IFERROR(IF(OR(OR(ISNUMBER(SEARCH("%",O89)),ISNUMBER(SEARCH(" ",O89)),ISNUMBER(SEARCH(",",O89))),OR(SUBSTITUTE(SUBSTITUTE(SUBSTITUTE(SUBSTITUTE(SUBSTITUTE(SUBSTITUTE(SUBSTITUTE(SUBSTITUTE(SUBSTITUTE(SUBSTITUTE(SUBSTITUTE(SUBSTITUTE(SUBSTITUTE(SUBSTITUTE(SUBSTITUTE(SUBSTITUTE(SUBSTITUTE(SUBSTITUTE("x"&amp;O89,"0",""),"1",""),"2",""),"3",""),"4",""),"5",""),"6",""),"7",""),"8",""),"9",""),".",""),"E",""),"+",""),"-",""),"&lt;",""),"&gt;",""),"=","")," ","")&lt;&gt;"x",ISNUMBER(SEARCH("-",SUBSTITUTE(SUBSTITUTE("x"&amp;MID(O89,2,99),"E-","E"),"E+","E"))),ISNUMBER(SEARCH("+",SUBSTITUTE(SUBSTITUTE("x"&amp;MID(O89,2,99),"E-","E"),"E+","E"))))),"",IF(ISNUMBER(AH89),AH89,NA())),""))</f>
        <v/>
      </c>
      <c r="Q89" s="92">
        <f>IF(AND(ISNUMBER(L89),ISNUMBER(P89)),L89*P89,"")</f>
        <v/>
      </c>
      <c r="R89" s="92">
        <f>IF(OR(COUNTA($A89:$D89)=0,U89=0),"",IF(INDEX(DB_05[管制設定值],U89)="","",INDEX(DB_05[管制設定值],U89)))</f>
        <v/>
      </c>
      <c r="S89" s="92">
        <f>IF(OR(COUNTA($A89:$D89)=0,U89=0),"",IF(INDEX(DB_05[監測設定值],U89)="","",INDEX(DB_05[監測設定值],U89)))</f>
        <v/>
      </c>
      <c r="T89" s="92">
        <f>IF(COUNTA($A89:$D89)=0,"",IF(COUNTIFS(DB_04[測項鍵],V89)=1,MATCH(V89,DB_04[測項鍵],0),0))</f>
        <v/>
      </c>
      <c r="U89" s="92">
        <f>IF(COUNTA($A89:$D89)=0,"",IF(COUNTIFS(DB_05[標準鍵],W89)=1,MATCH(W89,DB_05[標準鍵],0),0))</f>
        <v/>
      </c>
      <c r="V89" s="92">
        <f>IF(OR(J89="",A89=""),"",J89&amp;"|"&amp;A89)</f>
        <v/>
      </c>
      <c r="W89" s="92">
        <f>IF(OR('07_QAQC'!$C$3="",V89=""),"",'07_QAQC'!$C$3&amp;"|"&amp;V89)</f>
        <v/>
      </c>
      <c r="X89" s="92">
        <f>IF(OR(H89="",A89=""),"",LEN(H89)&amp;":"&amp;H89&amp;LEN(A89)&amp;":"&amp;A89)</f>
        <v/>
      </c>
      <c r="Y89" s="93">
        <f>IF(COUNTA($A89:$D89)=0,"",IF(I89=0,"樣品未建或重複",IF(INDEX(Samples[樣品檢查],I89)="","OK",INDEX(Samples[樣品檢查],I89))))</f>
        <v/>
      </c>
      <c r="Z89" s="93">
        <f>IF(COUNTA($A89:$D89)=0,"",IF(B89="","缺原始值",IF(OR(B89="-",B89="--"),"無資料",IF(N89="NA","不適用",IF(N89="ND","OK",IF(NOT(ISNUMBER(P89)),"格式待核",IF(AND(N89&lt;&gt;"數值",P89&lt;0),"界限不得為負","OK")))))))</f>
        <v/>
      </c>
      <c r="AA89" s="93">
        <f>IF(COUNTA(A89:D89)=0,"",IF(OR(A89="",H89=""),"缺識別欄位",IF(IF(LEN("="&amp;SUBSTITUTE(SUBSTITUTE(SUBSTITUTE(X89,"~","~~"),"*","~*"),"?","~?"))&lt;=255,COUNTIF(Results[結果識別鍵],"="&amp;SUBSTITUTE(SUBSTITUTE(SUBSTITUTE(X89,"~","~~"),"*","~*"),"?","~?")),COUNTIFS(Results[關聯鍵],"="&amp;SUBSTITUTE(SUBSTITUTE(SUBSTITUTE(H89,"~","~~"),"*","~*"),"?","~?"),Results[分析項目],"="&amp;SUBSTITUTE(SUBSTITUTE(SUBSTITUTE(A89,"~","~~"),"*","~*"),"?","~?")))&gt;1,"同關聯鍵測項重複","OK")))</f>
        <v/>
      </c>
      <c r="AB89" s="93">
        <f>IF(COUNTA($A89:$D89)=0,"",IF(OR(C89="",K89=""),"缺單位",IF(NOT(ISNUMBER(L89)),"單位不相容",IF(L89=1,"OK","已換算"))))</f>
        <v/>
      </c>
      <c r="AC89" s="93">
        <f>IF(COUNTA($A89:$D89)=0,"",IF('07_QAQC'!$C$3="","未選比較版本",IF(U89=0,IF(COUNTIFS(DB_05[標準鍵],W89)&gt;1,"標準鍵重複","未訂此介質／測項門檻"),IF(INDEX(DB_05[版本檢查],U89)&lt;&gt;"OK","標準主檔待核",IF(INDEX(DB_05[標準單位],U89)&lt;&gt;K89,"標準單位不符",IF(INDEX(DB_05[核對狀態],U89)="停用","停用",IF(F89="","缺採樣日期",IF(OR(AND(INDEX(DB_05[生效日],U89)&lt;&gt;"",F89&lt;INDEX(DB_05[生效日],U89)),AND(INDEX(DB_05[失效日],U89)&lt;&gt;"",F89&gt;INDEX(DB_05[失效日],U89))),"日期不適用",INDEX(DB_05[核對狀態],U89)))))))))</f>
        <v/>
      </c>
      <c r="AD89" s="93">
        <f>IF(COUNTA($A89:$D89)=0,"",IF(AC89="未訂此介質／測項門檻",AC89,IF(AC89&lt;&gt;"已核對","標準待核",IF(R89="","未訂管制值",IF(NOT(ISNUMBER(L89)),"單位待核",IF(N89="ND","無法判定（ND無界限）",IF(N89="NA","不適用",IF(Z89&lt;&gt;"OK",Z89,IF(N89="數值",IF(Q89&gt;=R89,"達管制值","未達管制值"),IF(OR(N89="&lt;",N89="&lt;="),IF(OR(Q89&lt;R89,AND(N89="&lt;",Q89=R89)),"未達管制值","無法判定"),IF(OR(N89="&gt;",N89="&gt;="),IF(Q89&gt;=R89,"達管制值","無法判定"),"格式待核")))))))))))</f>
        <v/>
      </c>
      <c r="AE89" s="93">
        <f>IF(COUNTA($A89:$D89)=0,"",IF(AC89="未訂此介質／測項門檻",AC89,IF(AC89&lt;&gt;"已核對","標準待核",IF(S89="","未訂監測值",IF(NOT(ISNUMBER(L89)),"單位待核",IF(N89="ND","無法判定（ND無界限）",IF(N89="NA","不適用",IF(Z89&lt;&gt;"OK",Z89,IF(N89="數值",IF(Q89&gt;=S89,"達監測值","未達監測值"),IF(OR(N89="&lt;",N89="&lt;="),IF(OR(Q89&lt;S89,AND(N89="&lt;",Q89=S89)),"未達監測值","無法判定"),IF(OR(N89="&gt;",N89="&gt;="),IF(Q89&gt;=S89,"達監測值","無法判定"),"格式待核")))))))))))</f>
        <v/>
      </c>
      <c r="AF89" s="93">
        <f>IF(COUNTA($A89:$D89)=0,"",IF(OR(E89="",A89="",B89="",C89=""),"缺必要欄位",IF(Y89&lt;&gt;"OK","樣品資料待補",IF(T89=0,"測項未建或重複",IF(INDEX(DB_04[啟用],T89)&lt;&gt;"是","測項停用",IF(AND(Z89&lt;&gt;"OK",Z89&lt;&gt;"不適用"),Z89,IF(AND(AB89&lt;&gt;"OK",AB89&lt;&gt;"已換算"),"單位待核",IF(AA89&lt;&gt;"OK",AA89,"OK"))))))))</f>
        <v/>
      </c>
      <c r="AG89" s="93">
        <f>IF(COUNTA($A89:$D89)=0,"",IF(N89="ND","ND取0",IF(OR(N89="&lt;",N89="&lt;="),"界限除以2",IF(N89="NA","不適用",IF(OR(N89="&gt;",N89="&gt;="),"保留界限數值","保留原數值")))))</f>
        <v/>
      </c>
      <c r="AH89" s="92">
        <f>IF(O89="","",IFERROR(_xlfn.NUMBERVALUE(O89,".",","),""))</f>
        <v/>
      </c>
      <c r="AI89" s="92">
        <f>IF(H89="","",IFERROR(MATCH(H89,Samples[樣品編號],0),0))</f>
        <v/>
      </c>
    </row>
    <row r="90">
      <c r="A90" s="27" t="inlineStr">
        <is>
          <t>鋅</t>
        </is>
      </c>
      <c r="B90" s="28" t="inlineStr">
        <is>
          <t>142</t>
        </is>
      </c>
      <c r="C90" s="27" t="inlineStr">
        <is>
          <t>mg/kg</t>
        </is>
      </c>
      <c r="D90" s="39" t="inlineStr">
        <is>
          <t>合成資料，非實測；method=XRF; basis=dry</t>
        </is>
      </c>
      <c r="E90" s="29">
        <f>IF(OR(I90="",I90=0),"",IF(INDEX(Samples[監測點],I90)="","",INDEX(Samples[監測點],I90)))</f>
        <v/>
      </c>
      <c r="F90" s="90">
        <f>IF(OR(I90="",I90=0),"",IF(INDEX(Samples[採樣日期],I90)="","",INDEX(Samples[採樣日期],I90)))</f>
        <v/>
      </c>
      <c r="G90" s="91">
        <f>IF(OR(M90="",M90="NA",M90="N/A"),"",IF(OR(M90="ND",M90="N.D."),0,IFERROR(IF(OR(OR(ISNUMBER(SEARCH("%",O90)),ISNUMBER(SEARCH(" ",O90)),ISNUMBER(SEARCH(",",O90))),OR(SUBSTITUTE(SUBSTITUTE(SUBSTITUTE(SUBSTITUTE(SUBSTITUTE(SUBSTITUTE(SUBSTITUTE(SUBSTITUTE(SUBSTITUTE(SUBSTITUTE(SUBSTITUTE(SUBSTITUTE(SUBSTITUTE(SUBSTITUTE(SUBSTITUTE(SUBSTITUTE(SUBSTITUTE(SUBSTITUTE("x"&amp;M90,"0",""),"1",""),"2",""),"3",""),"4",""),"5",""),"6",""),"7",""),"8",""),"9",""),".",""),"E",""),"+",""),"-",""),"&lt;",""),"&gt;",""),"=","")," ","")&lt;&gt;"x",ISNUMBER(SEARCH("-",SUBSTITUTE(SUBSTITUTE("x"&amp;MID(M90,2,99),"E-","E"),"E+","E"))),ISNUMBER(SEARCH("+",SUBSTITUTE(SUBSTITUTE("x"&amp;MID(M90,2,99),"E-","E"),"E+","E"))))),"",IF(AND(OR(LEFT(M90,1)="&lt;",LEFT(M90,1)="&gt;"),IF(O90="",0,IF(ISNUMBER(AH90),AH90,NA()))&lt;0),"",IF(O90="",0,IF(ISNUMBER(AH90),AH90,NA()))/IF(LEFT(M90,1)="&lt;",2,1))),"")))</f>
        <v/>
      </c>
      <c r="H90" s="57" t="inlineStr">
        <is>
          <t>BH02-S_20260415_03</t>
        </is>
      </c>
      <c r="I90" s="92">
        <f>IF(OR(H90="",AI90=0),0,IF(INDEX(Samples[樣品重複筆數],AI90)=1,AI90,0))</f>
        <v/>
      </c>
      <c r="J90" s="92">
        <f>IF(OR(COUNTA($A90:$D90)=0,I90=0),"",IF(INDEX(Samples[介質],I90)="","",INDEX(Samples[介質],I90)))</f>
        <v/>
      </c>
      <c r="K90" s="92">
        <f>IF(OR(COUNTA($A90:$D90)=0,T90=0),"",IF(INDEX(DB_04[標準單位],T90)="","",INDEX(DB_04[標準單位],T90)))</f>
        <v/>
      </c>
      <c r="L90" s="92">
        <f>IF(COUNTA($A90:$D90)=0,"",IF(OR(C90="",K90=""),"",IF(C90=K90,1,IF(COUNTIFS(DB_06[換算鍵],C90&amp;"|"&amp;K90,DB_06[換算檢查],"OK")=1,INDEX(DB_06[乘數],MATCH(C90&amp;"|"&amp;K90,DB_06[換算鍵],0)),""))))</f>
        <v/>
      </c>
      <c r="M90" s="92">
        <f>UPPER(SUBSTITUTE(SUBSTITUTE(SUBSTITUTE(SUBSTITUTE(TRIM(B90&amp;""),"＜","&lt;"),"＞","&gt;"),"≤","&lt;="),"≥","&gt;="))</f>
        <v/>
      </c>
      <c r="N90" s="92">
        <f>IF(M90="","",IF(OR(M90="ND",M90="N.D."),"ND",IF(OR(M90="NA",M90="N/A",M90="N.A."),"NA",IF(OR(LEFT(M90,2)="&lt;=",LEFT(M90,2)="&gt;="),LEFT(M90,2),IF(OR(LEFT(M90,1)="&lt;",LEFT(M90,1)="&gt;"),LEFT(M90,1),"數值")))))</f>
        <v/>
      </c>
      <c r="O90" s="92">
        <f>IF(OR(N90="",N90="ND",N90="NA"),"",IF(N90="數值",M90,TRIM(MID(M90,LEN(N90)+1,99))))</f>
        <v/>
      </c>
      <c r="P90" s="92">
        <f>IF(O90="","",IFERROR(IF(OR(OR(ISNUMBER(SEARCH("%",O90)),ISNUMBER(SEARCH(" ",O90)),ISNUMBER(SEARCH(",",O90))),OR(SUBSTITUTE(SUBSTITUTE(SUBSTITUTE(SUBSTITUTE(SUBSTITUTE(SUBSTITUTE(SUBSTITUTE(SUBSTITUTE(SUBSTITUTE(SUBSTITUTE(SUBSTITUTE(SUBSTITUTE(SUBSTITUTE(SUBSTITUTE(SUBSTITUTE(SUBSTITUTE(SUBSTITUTE(SUBSTITUTE("x"&amp;O90,"0",""),"1",""),"2",""),"3",""),"4",""),"5",""),"6",""),"7",""),"8",""),"9",""),".",""),"E",""),"+",""),"-",""),"&lt;",""),"&gt;",""),"=","")," ","")&lt;&gt;"x",ISNUMBER(SEARCH("-",SUBSTITUTE(SUBSTITUTE("x"&amp;MID(O90,2,99),"E-","E"),"E+","E"))),ISNUMBER(SEARCH("+",SUBSTITUTE(SUBSTITUTE("x"&amp;MID(O90,2,99),"E-","E"),"E+","E"))))),"",IF(ISNUMBER(AH90),AH90,NA())),""))</f>
        <v/>
      </c>
      <c r="Q90" s="92">
        <f>IF(AND(ISNUMBER(L90),ISNUMBER(P90)),L90*P90,"")</f>
        <v/>
      </c>
      <c r="R90" s="92">
        <f>IF(OR(COUNTA($A90:$D90)=0,U90=0),"",IF(INDEX(DB_05[管制設定值],U90)="","",INDEX(DB_05[管制設定值],U90)))</f>
        <v/>
      </c>
      <c r="S90" s="92">
        <f>IF(OR(COUNTA($A90:$D90)=0,U90=0),"",IF(INDEX(DB_05[監測設定值],U90)="","",INDEX(DB_05[監測設定值],U90)))</f>
        <v/>
      </c>
      <c r="T90" s="92">
        <f>IF(COUNTA($A90:$D90)=0,"",IF(COUNTIFS(DB_04[測項鍵],V90)=1,MATCH(V90,DB_04[測項鍵],0),0))</f>
        <v/>
      </c>
      <c r="U90" s="92">
        <f>IF(COUNTA($A90:$D90)=0,"",IF(COUNTIFS(DB_05[標準鍵],W90)=1,MATCH(W90,DB_05[標準鍵],0),0))</f>
        <v/>
      </c>
      <c r="V90" s="92">
        <f>IF(OR(J90="",A90=""),"",J90&amp;"|"&amp;A90)</f>
        <v/>
      </c>
      <c r="W90" s="92">
        <f>IF(OR('07_QAQC'!$C$3="",V90=""),"",'07_QAQC'!$C$3&amp;"|"&amp;V90)</f>
        <v/>
      </c>
      <c r="X90" s="92">
        <f>IF(OR(H90="",A90=""),"",LEN(H90)&amp;":"&amp;H90&amp;LEN(A90)&amp;":"&amp;A90)</f>
        <v/>
      </c>
      <c r="Y90" s="93">
        <f>IF(COUNTA($A90:$D90)=0,"",IF(I90=0,"樣品未建或重複",IF(INDEX(Samples[樣品檢查],I90)="","OK",INDEX(Samples[樣品檢查],I90))))</f>
        <v/>
      </c>
      <c r="Z90" s="93">
        <f>IF(COUNTA($A90:$D90)=0,"",IF(B90="","缺原始值",IF(OR(B90="-",B90="--"),"無資料",IF(N90="NA","不適用",IF(N90="ND","OK",IF(NOT(ISNUMBER(P90)),"格式待核",IF(AND(N90&lt;&gt;"數值",P90&lt;0),"界限不得為負","OK")))))))</f>
        <v/>
      </c>
      <c r="AA90" s="93">
        <f>IF(COUNTA(A90:D90)=0,"",IF(OR(A90="",H90=""),"缺識別欄位",IF(IF(LEN("="&amp;SUBSTITUTE(SUBSTITUTE(SUBSTITUTE(X90,"~","~~"),"*","~*"),"?","~?"))&lt;=255,COUNTIF(Results[結果識別鍵],"="&amp;SUBSTITUTE(SUBSTITUTE(SUBSTITUTE(X90,"~","~~"),"*","~*"),"?","~?")),COUNTIFS(Results[關聯鍵],"="&amp;SUBSTITUTE(SUBSTITUTE(SUBSTITUTE(H90,"~","~~"),"*","~*"),"?","~?"),Results[分析項目],"="&amp;SUBSTITUTE(SUBSTITUTE(SUBSTITUTE(A90,"~","~~"),"*","~*"),"?","~?")))&gt;1,"同關聯鍵測項重複","OK")))</f>
        <v/>
      </c>
      <c r="AB90" s="93">
        <f>IF(COUNTA($A90:$D90)=0,"",IF(OR(C90="",K90=""),"缺單位",IF(NOT(ISNUMBER(L90)),"單位不相容",IF(L90=1,"OK","已換算"))))</f>
        <v/>
      </c>
      <c r="AC90" s="93">
        <f>IF(COUNTA($A90:$D90)=0,"",IF('07_QAQC'!$C$3="","未選比較版本",IF(U90=0,IF(COUNTIFS(DB_05[標準鍵],W90)&gt;1,"標準鍵重複","未訂此介質／測項門檻"),IF(INDEX(DB_05[版本檢查],U90)&lt;&gt;"OK","標準主檔待核",IF(INDEX(DB_05[標準單位],U90)&lt;&gt;K90,"標準單位不符",IF(INDEX(DB_05[核對狀態],U90)="停用","停用",IF(F90="","缺採樣日期",IF(OR(AND(INDEX(DB_05[生效日],U90)&lt;&gt;"",F90&lt;INDEX(DB_05[生效日],U90)),AND(INDEX(DB_05[失效日],U90)&lt;&gt;"",F90&gt;INDEX(DB_05[失效日],U90))),"日期不適用",INDEX(DB_05[核對狀態],U90)))))))))</f>
        <v/>
      </c>
      <c r="AD90" s="93">
        <f>IF(COUNTA($A90:$D90)=0,"",IF(AC90="未訂此介質／測項門檻",AC90,IF(AC90&lt;&gt;"已核對","標準待核",IF(R90="","未訂管制值",IF(NOT(ISNUMBER(L90)),"單位待核",IF(N90="ND","無法判定（ND無界限）",IF(N90="NA","不適用",IF(Z90&lt;&gt;"OK",Z90,IF(N90="數值",IF(Q90&gt;=R90,"達管制值","未達管制值"),IF(OR(N90="&lt;",N90="&lt;="),IF(OR(Q90&lt;R90,AND(N90="&lt;",Q90=R90)),"未達管制值","無法判定"),IF(OR(N90="&gt;",N90="&gt;="),IF(Q90&gt;=R90,"達管制值","無法判定"),"格式待核")))))))))))</f>
        <v/>
      </c>
      <c r="AE90" s="93">
        <f>IF(COUNTA($A90:$D90)=0,"",IF(AC90="未訂此介質／測項門檻",AC90,IF(AC90&lt;&gt;"已核對","標準待核",IF(S90="","未訂監測值",IF(NOT(ISNUMBER(L90)),"單位待核",IF(N90="ND","無法判定（ND無界限）",IF(N90="NA","不適用",IF(Z90&lt;&gt;"OK",Z90,IF(N90="數值",IF(Q90&gt;=S90,"達監測值","未達監測值"),IF(OR(N90="&lt;",N90="&lt;="),IF(OR(Q90&lt;S90,AND(N90="&lt;",Q90=S90)),"未達監測值","無法判定"),IF(OR(N90="&gt;",N90="&gt;="),IF(Q90&gt;=S90,"達監測值","無法判定"),"格式待核")))))))))))</f>
        <v/>
      </c>
      <c r="AF90" s="93">
        <f>IF(COUNTA($A90:$D90)=0,"",IF(OR(E90="",A90="",B90="",C90=""),"缺必要欄位",IF(Y90&lt;&gt;"OK","樣品資料待補",IF(T90=0,"測項未建或重複",IF(INDEX(DB_04[啟用],T90)&lt;&gt;"是","測項停用",IF(AND(Z90&lt;&gt;"OK",Z90&lt;&gt;"不適用"),Z90,IF(AND(AB90&lt;&gt;"OK",AB90&lt;&gt;"已換算"),"單位待核",IF(AA90&lt;&gt;"OK",AA90,"OK"))))))))</f>
        <v/>
      </c>
      <c r="AG90" s="93">
        <f>IF(COUNTA($A90:$D90)=0,"",IF(N90="ND","ND取0",IF(OR(N90="&lt;",N90="&lt;="),"界限除以2",IF(N90="NA","不適用",IF(OR(N90="&gt;",N90="&gt;="),"保留界限數值","保留原數值")))))</f>
        <v/>
      </c>
      <c r="AH90" s="92">
        <f>IF(O90="","",IFERROR(_xlfn.NUMBERVALUE(O90,".",","),""))</f>
        <v/>
      </c>
      <c r="AI90" s="92">
        <f>IF(H90="","",IFERROR(MATCH(H90,Samples[樣品編號],0),0))</f>
        <v/>
      </c>
    </row>
    <row r="91">
      <c r="A91" s="27" t="inlineStr">
        <is>
          <t>總有機碳</t>
        </is>
      </c>
      <c r="B91" s="28" t="inlineStr">
        <is>
          <t>0.38</t>
        </is>
      </c>
      <c r="C91" s="27" t="inlineStr">
        <is>
          <t>%</t>
        </is>
      </c>
      <c r="D91" s="39" t="inlineStr">
        <is>
          <t>合成資料，非實測；method=lab; basis=dry</t>
        </is>
      </c>
      <c r="E91" s="29">
        <f>IF(OR(I91="",I91=0),"",IF(INDEX(Samples[監測點],I91)="","",INDEX(Samples[監測點],I91)))</f>
        <v/>
      </c>
      <c r="F91" s="90">
        <f>IF(OR(I91="",I91=0),"",IF(INDEX(Samples[採樣日期],I91)="","",INDEX(Samples[採樣日期],I91)))</f>
        <v/>
      </c>
      <c r="G91" s="91">
        <f>IF(OR(M91="",M91="NA",M91="N/A"),"",IF(OR(M91="ND",M91="N.D."),0,IFERROR(IF(OR(OR(ISNUMBER(SEARCH("%",O91)),ISNUMBER(SEARCH(" ",O91)),ISNUMBER(SEARCH(",",O91))),OR(SUBSTITUTE(SUBSTITUTE(SUBSTITUTE(SUBSTITUTE(SUBSTITUTE(SUBSTITUTE(SUBSTITUTE(SUBSTITUTE(SUBSTITUTE(SUBSTITUTE(SUBSTITUTE(SUBSTITUTE(SUBSTITUTE(SUBSTITUTE(SUBSTITUTE(SUBSTITUTE(SUBSTITUTE(SUBSTITUTE("x"&amp;M91,"0",""),"1",""),"2",""),"3",""),"4",""),"5",""),"6",""),"7",""),"8",""),"9",""),".",""),"E",""),"+",""),"-",""),"&lt;",""),"&gt;",""),"=","")," ","")&lt;&gt;"x",ISNUMBER(SEARCH("-",SUBSTITUTE(SUBSTITUTE("x"&amp;MID(M91,2,99),"E-","E"),"E+","E"))),ISNUMBER(SEARCH("+",SUBSTITUTE(SUBSTITUTE("x"&amp;MID(M91,2,99),"E-","E"),"E+","E"))))),"",IF(AND(OR(LEFT(M91,1)="&lt;",LEFT(M91,1)="&gt;"),IF(O91="",0,IF(ISNUMBER(AH91),AH91,NA()))&lt;0),"",IF(O91="",0,IF(ISNUMBER(AH91),AH91,NA()))/IF(LEFT(M91,1)="&lt;",2,1))),"")))</f>
        <v/>
      </c>
      <c r="H91" s="57" t="inlineStr">
        <is>
          <t>BH02-S_20260415_03</t>
        </is>
      </c>
      <c r="I91" s="92">
        <f>IF(OR(H91="",AI91=0),0,IF(INDEX(Samples[樣品重複筆數],AI91)=1,AI91,0))</f>
        <v/>
      </c>
      <c r="J91" s="92">
        <f>IF(OR(COUNTA($A91:$D91)=0,I91=0),"",IF(INDEX(Samples[介質],I91)="","",INDEX(Samples[介質],I91)))</f>
        <v/>
      </c>
      <c r="K91" s="92">
        <f>IF(OR(COUNTA($A91:$D91)=0,T91=0),"",IF(INDEX(DB_04[標準單位],T91)="","",INDEX(DB_04[標準單位],T91)))</f>
        <v/>
      </c>
      <c r="L91" s="92">
        <f>IF(COUNTA($A91:$D91)=0,"",IF(OR(C91="",K91=""),"",IF(C91=K91,1,IF(COUNTIFS(DB_06[換算鍵],C91&amp;"|"&amp;K91,DB_06[換算檢查],"OK")=1,INDEX(DB_06[乘數],MATCH(C91&amp;"|"&amp;K91,DB_06[換算鍵],0)),""))))</f>
        <v/>
      </c>
      <c r="M91" s="92">
        <f>UPPER(SUBSTITUTE(SUBSTITUTE(SUBSTITUTE(SUBSTITUTE(TRIM(B91&amp;""),"＜","&lt;"),"＞","&gt;"),"≤","&lt;="),"≥","&gt;="))</f>
        <v/>
      </c>
      <c r="N91" s="92">
        <f>IF(M91="","",IF(OR(M91="ND",M91="N.D."),"ND",IF(OR(M91="NA",M91="N/A",M91="N.A."),"NA",IF(OR(LEFT(M91,2)="&lt;=",LEFT(M91,2)="&gt;="),LEFT(M91,2),IF(OR(LEFT(M91,1)="&lt;",LEFT(M91,1)="&gt;"),LEFT(M91,1),"數值")))))</f>
        <v/>
      </c>
      <c r="O91" s="92">
        <f>IF(OR(N91="",N91="ND",N91="NA"),"",IF(N91="數值",M91,TRIM(MID(M91,LEN(N91)+1,99))))</f>
        <v/>
      </c>
      <c r="P91" s="92">
        <f>IF(O91="","",IFERROR(IF(OR(OR(ISNUMBER(SEARCH("%",O91)),ISNUMBER(SEARCH(" ",O91)),ISNUMBER(SEARCH(",",O91))),OR(SUBSTITUTE(SUBSTITUTE(SUBSTITUTE(SUBSTITUTE(SUBSTITUTE(SUBSTITUTE(SUBSTITUTE(SUBSTITUTE(SUBSTITUTE(SUBSTITUTE(SUBSTITUTE(SUBSTITUTE(SUBSTITUTE(SUBSTITUTE(SUBSTITUTE(SUBSTITUTE(SUBSTITUTE(SUBSTITUTE("x"&amp;O91,"0",""),"1",""),"2",""),"3",""),"4",""),"5",""),"6",""),"7",""),"8",""),"9",""),".",""),"E",""),"+",""),"-",""),"&lt;",""),"&gt;",""),"=","")," ","")&lt;&gt;"x",ISNUMBER(SEARCH("-",SUBSTITUTE(SUBSTITUTE("x"&amp;MID(O91,2,99),"E-","E"),"E+","E"))),ISNUMBER(SEARCH("+",SUBSTITUTE(SUBSTITUTE("x"&amp;MID(O91,2,99),"E-","E"),"E+","E"))))),"",IF(ISNUMBER(AH91),AH91,NA())),""))</f>
        <v/>
      </c>
      <c r="Q91" s="92">
        <f>IF(AND(ISNUMBER(L91),ISNUMBER(P91)),L91*P91,"")</f>
        <v/>
      </c>
      <c r="R91" s="92">
        <f>IF(OR(COUNTA($A91:$D91)=0,U91=0),"",IF(INDEX(DB_05[管制設定值],U91)="","",INDEX(DB_05[管制設定值],U91)))</f>
        <v/>
      </c>
      <c r="S91" s="92">
        <f>IF(OR(COUNTA($A91:$D91)=0,U91=0),"",IF(INDEX(DB_05[監測設定值],U91)="","",INDEX(DB_05[監測設定值],U91)))</f>
        <v/>
      </c>
      <c r="T91" s="92">
        <f>IF(COUNTA($A91:$D91)=0,"",IF(COUNTIFS(DB_04[測項鍵],V91)=1,MATCH(V91,DB_04[測項鍵],0),0))</f>
        <v/>
      </c>
      <c r="U91" s="92">
        <f>IF(COUNTA($A91:$D91)=0,"",IF(COUNTIFS(DB_05[標準鍵],W91)=1,MATCH(W91,DB_05[標準鍵],0),0))</f>
        <v/>
      </c>
      <c r="V91" s="92">
        <f>IF(OR(J91="",A91=""),"",J91&amp;"|"&amp;A91)</f>
        <v/>
      </c>
      <c r="W91" s="92">
        <f>IF(OR('07_QAQC'!$C$3="",V91=""),"",'07_QAQC'!$C$3&amp;"|"&amp;V91)</f>
        <v/>
      </c>
      <c r="X91" s="92">
        <f>IF(OR(H91="",A91=""),"",LEN(H91)&amp;":"&amp;H91&amp;LEN(A91)&amp;":"&amp;A91)</f>
        <v/>
      </c>
      <c r="Y91" s="93">
        <f>IF(COUNTA($A91:$D91)=0,"",IF(I91=0,"樣品未建或重複",IF(INDEX(Samples[樣品檢查],I91)="","OK",INDEX(Samples[樣品檢查],I91))))</f>
        <v/>
      </c>
      <c r="Z91" s="93">
        <f>IF(COUNTA($A91:$D91)=0,"",IF(B91="","缺原始值",IF(OR(B91="-",B91="--"),"無資料",IF(N91="NA","不適用",IF(N91="ND","OK",IF(NOT(ISNUMBER(P91)),"格式待核",IF(AND(N91&lt;&gt;"數值",P91&lt;0),"界限不得為負","OK")))))))</f>
        <v/>
      </c>
      <c r="AA91" s="93">
        <f>IF(COUNTA(A91:D91)=0,"",IF(OR(A91="",H91=""),"缺識別欄位",IF(IF(LEN("="&amp;SUBSTITUTE(SUBSTITUTE(SUBSTITUTE(X91,"~","~~"),"*","~*"),"?","~?"))&lt;=255,COUNTIF(Results[結果識別鍵],"="&amp;SUBSTITUTE(SUBSTITUTE(SUBSTITUTE(X91,"~","~~"),"*","~*"),"?","~?")),COUNTIFS(Results[關聯鍵],"="&amp;SUBSTITUTE(SUBSTITUTE(SUBSTITUTE(H91,"~","~~"),"*","~*"),"?","~?"),Results[分析項目],"="&amp;SUBSTITUTE(SUBSTITUTE(SUBSTITUTE(A91,"~","~~"),"*","~*"),"?","~?")))&gt;1,"同關聯鍵測項重複","OK")))</f>
        <v/>
      </c>
      <c r="AB91" s="93">
        <f>IF(COUNTA($A91:$D91)=0,"",IF(OR(C91="",K91=""),"缺單位",IF(NOT(ISNUMBER(L91)),"單位不相容",IF(L91=1,"OK","已換算"))))</f>
        <v/>
      </c>
      <c r="AC91" s="93">
        <f>IF(COUNTA($A91:$D91)=0,"",IF('07_QAQC'!$C$3="","未選比較版本",IF(U91=0,IF(COUNTIFS(DB_05[標準鍵],W91)&gt;1,"標準鍵重複","未訂此介質／測項門檻"),IF(INDEX(DB_05[版本檢查],U91)&lt;&gt;"OK","標準主檔待核",IF(INDEX(DB_05[標準單位],U91)&lt;&gt;K91,"標準單位不符",IF(INDEX(DB_05[核對狀態],U91)="停用","停用",IF(F91="","缺採樣日期",IF(OR(AND(INDEX(DB_05[生效日],U91)&lt;&gt;"",F91&lt;INDEX(DB_05[生效日],U91)),AND(INDEX(DB_05[失效日],U91)&lt;&gt;"",F91&gt;INDEX(DB_05[失效日],U91))),"日期不適用",INDEX(DB_05[核對狀態],U91)))))))))</f>
        <v/>
      </c>
      <c r="AD91" s="93">
        <f>IF(COUNTA($A91:$D91)=0,"",IF(AC91="未訂此介質／測項門檻",AC91,IF(AC91&lt;&gt;"已核對","標準待核",IF(R91="","未訂管制值",IF(NOT(ISNUMBER(L91)),"單位待核",IF(N91="ND","無法判定（ND無界限）",IF(N91="NA","不適用",IF(Z91&lt;&gt;"OK",Z91,IF(N91="數值",IF(Q91&gt;=R91,"達管制值","未達管制值"),IF(OR(N91="&lt;",N91="&lt;="),IF(OR(Q91&lt;R91,AND(N91="&lt;",Q91=R91)),"未達管制值","無法判定"),IF(OR(N91="&gt;",N91="&gt;="),IF(Q91&gt;=R91,"達管制值","無法判定"),"格式待核")))))))))))</f>
        <v/>
      </c>
      <c r="AE91" s="93">
        <f>IF(COUNTA($A91:$D91)=0,"",IF(AC91="未訂此介質／測項門檻",AC91,IF(AC91&lt;&gt;"已核對","標準待核",IF(S91="","未訂監測值",IF(NOT(ISNUMBER(L91)),"單位待核",IF(N91="ND","無法判定（ND無界限）",IF(N91="NA","不適用",IF(Z91&lt;&gt;"OK",Z91,IF(N91="數值",IF(Q91&gt;=S91,"達監測值","未達監測值"),IF(OR(N91="&lt;",N91="&lt;="),IF(OR(Q91&lt;S91,AND(N91="&lt;",Q91=S91)),"未達監測值","無法判定"),IF(OR(N91="&gt;",N91="&gt;="),IF(Q91&gt;=S91,"達監測值","無法判定"),"格式待核")))))))))))</f>
        <v/>
      </c>
      <c r="AF91" s="93">
        <f>IF(COUNTA($A91:$D91)=0,"",IF(OR(E91="",A91="",B91="",C91=""),"缺必要欄位",IF(Y91&lt;&gt;"OK","樣品資料待補",IF(T91=0,"測項未建或重複",IF(INDEX(DB_04[啟用],T91)&lt;&gt;"是","測項停用",IF(AND(Z91&lt;&gt;"OK",Z91&lt;&gt;"不適用"),Z91,IF(AND(AB91&lt;&gt;"OK",AB91&lt;&gt;"已換算"),"單位待核",IF(AA91&lt;&gt;"OK",AA91,"OK"))))))))</f>
        <v/>
      </c>
      <c r="AG91" s="93">
        <f>IF(COUNTA($A91:$D91)=0,"",IF(N91="ND","ND取0",IF(OR(N91="&lt;",N91="&lt;="),"界限除以2",IF(N91="NA","不適用",IF(OR(N91="&gt;",N91="&gt;="),"保留界限數值","保留原數值")))))</f>
        <v/>
      </c>
      <c r="AH91" s="92">
        <f>IF(O91="","",IFERROR(_xlfn.NUMBERVALUE(O91,".",","),""))</f>
        <v/>
      </c>
      <c r="AI91" s="92">
        <f>IF(H91="","",IFERROR(MATCH(H91,Samples[樣品編號],0),0))</f>
        <v/>
      </c>
    </row>
    <row r="92">
      <c r="A92" s="27" t="inlineStr">
        <is>
          <t>pH</t>
        </is>
      </c>
      <c r="B92" s="28" t="inlineStr">
        <is>
          <t>6.68</t>
        </is>
      </c>
      <c r="C92" s="27" t="inlineStr">
        <is>
          <t>無因次</t>
        </is>
      </c>
      <c r="D92" s="39" t="inlineStr">
        <is>
          <t>合成資料，非實測；method=field</t>
        </is>
      </c>
      <c r="E92" s="29">
        <f>IF(OR(I92="",I92=0),"",IF(INDEX(Samples[監測點],I92)="","",INDEX(Samples[監測點],I92)))</f>
        <v/>
      </c>
      <c r="F92" s="90">
        <f>IF(OR(I92="",I92=0),"",IF(INDEX(Samples[採樣日期],I92)="","",INDEX(Samples[採樣日期],I92)))</f>
        <v/>
      </c>
      <c r="G92" s="91">
        <f>IF(OR(M92="",M92="NA",M92="N/A"),"",IF(OR(M92="ND",M92="N.D."),0,IFERROR(IF(OR(OR(ISNUMBER(SEARCH("%",O92)),ISNUMBER(SEARCH(" ",O92)),ISNUMBER(SEARCH(",",O92))),OR(SUBSTITUTE(SUBSTITUTE(SUBSTITUTE(SUBSTITUTE(SUBSTITUTE(SUBSTITUTE(SUBSTITUTE(SUBSTITUTE(SUBSTITUTE(SUBSTITUTE(SUBSTITUTE(SUBSTITUTE(SUBSTITUTE(SUBSTITUTE(SUBSTITUTE(SUBSTITUTE(SUBSTITUTE(SUBSTITUTE("x"&amp;M92,"0",""),"1",""),"2",""),"3",""),"4",""),"5",""),"6",""),"7",""),"8",""),"9",""),".",""),"E",""),"+",""),"-",""),"&lt;",""),"&gt;",""),"=","")," ","")&lt;&gt;"x",ISNUMBER(SEARCH("-",SUBSTITUTE(SUBSTITUTE("x"&amp;MID(M92,2,99),"E-","E"),"E+","E"))),ISNUMBER(SEARCH("+",SUBSTITUTE(SUBSTITUTE("x"&amp;MID(M92,2,99),"E-","E"),"E+","E"))))),"",IF(AND(OR(LEFT(M92,1)="&lt;",LEFT(M92,1)="&gt;"),IF(O92="",0,IF(ISNUMBER(AH92),AH92,NA()))&lt;0),"",IF(O92="",0,IF(ISNUMBER(AH92),AH92,NA()))/IF(LEFT(M92,1)="&lt;",2,1))),"")))</f>
        <v/>
      </c>
      <c r="H92" s="57" t="inlineStr">
        <is>
          <t>BH02-W_20260415_03</t>
        </is>
      </c>
      <c r="I92" s="92">
        <f>IF(OR(H92="",AI92=0),0,IF(INDEX(Samples[樣品重複筆數],AI92)=1,AI92,0))</f>
        <v/>
      </c>
      <c r="J92" s="92">
        <f>IF(OR(COUNTA($A92:$D92)=0,I92=0),"",IF(INDEX(Samples[介質],I92)="","",INDEX(Samples[介質],I92)))</f>
        <v/>
      </c>
      <c r="K92" s="92">
        <f>IF(OR(COUNTA($A92:$D92)=0,T92=0),"",IF(INDEX(DB_04[標準單位],T92)="","",INDEX(DB_04[標準單位],T92)))</f>
        <v/>
      </c>
      <c r="L92" s="92">
        <f>IF(COUNTA($A92:$D92)=0,"",IF(OR(C92="",K92=""),"",IF(C92=K92,1,IF(COUNTIFS(DB_06[換算鍵],C92&amp;"|"&amp;K92,DB_06[換算檢查],"OK")=1,INDEX(DB_06[乘數],MATCH(C92&amp;"|"&amp;K92,DB_06[換算鍵],0)),""))))</f>
        <v/>
      </c>
      <c r="M92" s="92">
        <f>UPPER(SUBSTITUTE(SUBSTITUTE(SUBSTITUTE(SUBSTITUTE(TRIM(B92&amp;""),"＜","&lt;"),"＞","&gt;"),"≤","&lt;="),"≥","&gt;="))</f>
        <v/>
      </c>
      <c r="N92" s="92">
        <f>IF(M92="","",IF(OR(M92="ND",M92="N.D."),"ND",IF(OR(M92="NA",M92="N/A",M92="N.A."),"NA",IF(OR(LEFT(M92,2)="&lt;=",LEFT(M92,2)="&gt;="),LEFT(M92,2),IF(OR(LEFT(M92,1)="&lt;",LEFT(M92,1)="&gt;"),LEFT(M92,1),"數值")))))</f>
        <v/>
      </c>
      <c r="O92" s="92">
        <f>IF(OR(N92="",N92="ND",N92="NA"),"",IF(N92="數值",M92,TRIM(MID(M92,LEN(N92)+1,99))))</f>
        <v/>
      </c>
      <c r="P92" s="92">
        <f>IF(O92="","",IFERROR(IF(OR(OR(ISNUMBER(SEARCH("%",O92)),ISNUMBER(SEARCH(" ",O92)),ISNUMBER(SEARCH(",",O92))),OR(SUBSTITUTE(SUBSTITUTE(SUBSTITUTE(SUBSTITUTE(SUBSTITUTE(SUBSTITUTE(SUBSTITUTE(SUBSTITUTE(SUBSTITUTE(SUBSTITUTE(SUBSTITUTE(SUBSTITUTE(SUBSTITUTE(SUBSTITUTE(SUBSTITUTE(SUBSTITUTE(SUBSTITUTE(SUBSTITUTE("x"&amp;O92,"0",""),"1",""),"2",""),"3",""),"4",""),"5",""),"6",""),"7",""),"8",""),"9",""),".",""),"E",""),"+",""),"-",""),"&lt;",""),"&gt;",""),"=","")," ","")&lt;&gt;"x",ISNUMBER(SEARCH("-",SUBSTITUTE(SUBSTITUTE("x"&amp;MID(O92,2,99),"E-","E"),"E+","E"))),ISNUMBER(SEARCH("+",SUBSTITUTE(SUBSTITUTE("x"&amp;MID(O92,2,99),"E-","E"),"E+","E"))))),"",IF(ISNUMBER(AH92),AH92,NA())),""))</f>
        <v/>
      </c>
      <c r="Q92" s="92">
        <f>IF(AND(ISNUMBER(L92),ISNUMBER(P92)),L92*P92,"")</f>
        <v/>
      </c>
      <c r="R92" s="92">
        <f>IF(OR(COUNTA($A92:$D92)=0,U92=0),"",IF(INDEX(DB_05[管制設定值],U92)="","",INDEX(DB_05[管制設定值],U92)))</f>
        <v/>
      </c>
      <c r="S92" s="92">
        <f>IF(OR(COUNTA($A92:$D92)=0,U92=0),"",IF(INDEX(DB_05[監測設定值],U92)="","",INDEX(DB_05[監測設定值],U92)))</f>
        <v/>
      </c>
      <c r="T92" s="92">
        <f>IF(COUNTA($A92:$D92)=0,"",IF(COUNTIFS(DB_04[測項鍵],V92)=1,MATCH(V92,DB_04[測項鍵],0),0))</f>
        <v/>
      </c>
      <c r="U92" s="92">
        <f>IF(COUNTA($A92:$D92)=0,"",IF(COUNTIFS(DB_05[標準鍵],W92)=1,MATCH(W92,DB_05[標準鍵],0),0))</f>
        <v/>
      </c>
      <c r="V92" s="92">
        <f>IF(OR(J92="",A92=""),"",J92&amp;"|"&amp;A92)</f>
        <v/>
      </c>
      <c r="W92" s="92">
        <f>IF(OR('07_QAQC'!$C$3="",V92=""),"",'07_QAQC'!$C$3&amp;"|"&amp;V92)</f>
        <v/>
      </c>
      <c r="X92" s="92">
        <f>IF(OR(H92="",A92=""),"",LEN(H92)&amp;":"&amp;H92&amp;LEN(A92)&amp;":"&amp;A92)</f>
        <v/>
      </c>
      <c r="Y92" s="93">
        <f>IF(COUNTA($A92:$D92)=0,"",IF(I92=0,"樣品未建或重複",IF(INDEX(Samples[樣品檢查],I92)="","OK",INDEX(Samples[樣品檢查],I92))))</f>
        <v/>
      </c>
      <c r="Z92" s="93">
        <f>IF(COUNTA($A92:$D92)=0,"",IF(B92="","缺原始值",IF(OR(B92="-",B92="--"),"無資料",IF(N92="NA","不適用",IF(N92="ND","OK",IF(NOT(ISNUMBER(P92)),"格式待核",IF(AND(N92&lt;&gt;"數值",P92&lt;0),"界限不得為負","OK")))))))</f>
        <v/>
      </c>
      <c r="AA92" s="93">
        <f>IF(COUNTA(A92:D92)=0,"",IF(OR(A92="",H92=""),"缺識別欄位",IF(IF(LEN("="&amp;SUBSTITUTE(SUBSTITUTE(SUBSTITUTE(X92,"~","~~"),"*","~*"),"?","~?"))&lt;=255,COUNTIF(Results[結果識別鍵],"="&amp;SUBSTITUTE(SUBSTITUTE(SUBSTITUTE(X92,"~","~~"),"*","~*"),"?","~?")),COUNTIFS(Results[關聯鍵],"="&amp;SUBSTITUTE(SUBSTITUTE(SUBSTITUTE(H92,"~","~~"),"*","~*"),"?","~?"),Results[分析項目],"="&amp;SUBSTITUTE(SUBSTITUTE(SUBSTITUTE(A92,"~","~~"),"*","~*"),"?","~?")))&gt;1,"同關聯鍵測項重複","OK")))</f>
        <v/>
      </c>
      <c r="AB92" s="93">
        <f>IF(COUNTA($A92:$D92)=0,"",IF(OR(C92="",K92=""),"缺單位",IF(NOT(ISNUMBER(L92)),"單位不相容",IF(L92=1,"OK","已換算"))))</f>
        <v/>
      </c>
      <c r="AC92" s="93">
        <f>IF(COUNTA($A92:$D92)=0,"",IF('07_QAQC'!$C$3="","未選比較版本",IF(U92=0,IF(COUNTIFS(DB_05[標準鍵],W92)&gt;1,"標準鍵重複","未訂此介質／測項門檻"),IF(INDEX(DB_05[版本檢查],U92)&lt;&gt;"OK","標準主檔待核",IF(INDEX(DB_05[標準單位],U92)&lt;&gt;K92,"標準單位不符",IF(INDEX(DB_05[核對狀態],U92)="停用","停用",IF(F92="","缺採樣日期",IF(OR(AND(INDEX(DB_05[生效日],U92)&lt;&gt;"",F92&lt;INDEX(DB_05[生效日],U92)),AND(INDEX(DB_05[失效日],U92)&lt;&gt;"",F92&gt;INDEX(DB_05[失效日],U92))),"日期不適用",INDEX(DB_05[核對狀態],U92)))))))))</f>
        <v/>
      </c>
      <c r="AD92" s="93">
        <f>IF(COUNTA($A92:$D92)=0,"",IF(AC92="未訂此介質／測項門檻",AC92,IF(AC92&lt;&gt;"已核對","標準待核",IF(R92="","未訂管制值",IF(NOT(ISNUMBER(L92)),"單位待核",IF(N92="ND","無法判定（ND無界限）",IF(N92="NA","不適用",IF(Z92&lt;&gt;"OK",Z92,IF(N92="數值",IF(Q92&gt;=R92,"達管制值","未達管制值"),IF(OR(N92="&lt;",N92="&lt;="),IF(OR(Q92&lt;R92,AND(N92="&lt;",Q92=R92)),"未達管制值","無法判定"),IF(OR(N92="&gt;",N92="&gt;="),IF(Q92&gt;=R92,"達管制值","無法判定"),"格式待核")))))))))))</f>
        <v/>
      </c>
      <c r="AE92" s="93">
        <f>IF(COUNTA($A92:$D92)=0,"",IF(AC92="未訂此介質／測項門檻",AC92,IF(AC92&lt;&gt;"已核對","標準待核",IF(S92="","未訂監測值",IF(NOT(ISNUMBER(L92)),"單位待核",IF(N92="ND","無法判定（ND無界限）",IF(N92="NA","不適用",IF(Z92&lt;&gt;"OK",Z92,IF(N92="數值",IF(Q92&gt;=S92,"達監測值","未達監測值"),IF(OR(N92="&lt;",N92="&lt;="),IF(OR(Q92&lt;S92,AND(N92="&lt;",Q92=S92)),"未達監測值","無法判定"),IF(OR(N92="&gt;",N92="&gt;="),IF(Q92&gt;=S92,"達監測值","無法判定"),"格式待核")))))))))))</f>
        <v/>
      </c>
      <c r="AF92" s="93">
        <f>IF(COUNTA($A92:$D92)=0,"",IF(OR(E92="",A92="",B92="",C92=""),"缺必要欄位",IF(Y92&lt;&gt;"OK","樣品資料待補",IF(T92=0,"測項未建或重複",IF(INDEX(DB_04[啟用],T92)&lt;&gt;"是","測項停用",IF(AND(Z92&lt;&gt;"OK",Z92&lt;&gt;"不適用"),Z92,IF(AND(AB92&lt;&gt;"OK",AB92&lt;&gt;"已換算"),"單位待核",IF(AA92&lt;&gt;"OK",AA92,"OK"))))))))</f>
        <v/>
      </c>
      <c r="AG92" s="93">
        <f>IF(COUNTA($A92:$D92)=0,"",IF(N92="ND","ND取0",IF(OR(N92="&lt;",N92="&lt;="),"界限除以2",IF(N92="NA","不適用",IF(OR(N92="&gt;",N92="&gt;="),"保留界限數值","保留原數值")))))</f>
        <v/>
      </c>
      <c r="AH92" s="92">
        <f>IF(O92="","",IFERROR(_xlfn.NUMBERVALUE(O92,".",","),""))</f>
        <v/>
      </c>
      <c r="AI92" s="92">
        <f>IF(H92="","",IFERROR(MATCH(H92,Samples[樣品編號],0),0))</f>
        <v/>
      </c>
    </row>
    <row r="93">
      <c r="A93" s="27" t="inlineStr">
        <is>
          <t>EC</t>
        </is>
      </c>
      <c r="B93" s="28" t="inlineStr">
        <is>
          <t>0.67</t>
        </is>
      </c>
      <c r="C93" s="27" t="inlineStr">
        <is>
          <t>mS/cm</t>
        </is>
      </c>
      <c r="D93" s="39" t="inlineStr">
        <is>
          <t>合成資料，非實測；method=field; temperature=25; temperature_compensated=25C; reference_temperature=25</t>
        </is>
      </c>
      <c r="E93" s="29">
        <f>IF(OR(I93="",I93=0),"",IF(INDEX(Samples[監測點],I93)="","",INDEX(Samples[監測點],I93)))</f>
        <v/>
      </c>
      <c r="F93" s="90">
        <f>IF(OR(I93="",I93=0),"",IF(INDEX(Samples[採樣日期],I93)="","",INDEX(Samples[採樣日期],I93)))</f>
        <v/>
      </c>
      <c r="G93" s="91">
        <f>IF(OR(M93="",M93="NA",M93="N/A"),"",IF(OR(M93="ND",M93="N.D."),0,IFERROR(IF(OR(OR(ISNUMBER(SEARCH("%",O93)),ISNUMBER(SEARCH(" ",O93)),ISNUMBER(SEARCH(",",O93))),OR(SUBSTITUTE(SUBSTITUTE(SUBSTITUTE(SUBSTITUTE(SUBSTITUTE(SUBSTITUTE(SUBSTITUTE(SUBSTITUTE(SUBSTITUTE(SUBSTITUTE(SUBSTITUTE(SUBSTITUTE(SUBSTITUTE(SUBSTITUTE(SUBSTITUTE(SUBSTITUTE(SUBSTITUTE(SUBSTITUTE("x"&amp;M93,"0",""),"1",""),"2",""),"3",""),"4",""),"5",""),"6",""),"7",""),"8",""),"9",""),".",""),"E",""),"+",""),"-",""),"&lt;",""),"&gt;",""),"=","")," ","")&lt;&gt;"x",ISNUMBER(SEARCH("-",SUBSTITUTE(SUBSTITUTE("x"&amp;MID(M93,2,99),"E-","E"),"E+","E"))),ISNUMBER(SEARCH("+",SUBSTITUTE(SUBSTITUTE("x"&amp;MID(M93,2,99),"E-","E"),"E+","E"))))),"",IF(AND(OR(LEFT(M93,1)="&lt;",LEFT(M93,1)="&gt;"),IF(O93="",0,IF(ISNUMBER(AH93),AH93,NA()))&lt;0),"",IF(O93="",0,IF(ISNUMBER(AH93),AH93,NA()))/IF(LEFT(M93,1)="&lt;",2,1))),"")))</f>
        <v/>
      </c>
      <c r="H93" s="57" t="inlineStr">
        <is>
          <t>BH02-W_20260415_03</t>
        </is>
      </c>
      <c r="I93" s="92">
        <f>IF(OR(H93="",AI93=0),0,IF(INDEX(Samples[樣品重複筆數],AI93)=1,AI93,0))</f>
        <v/>
      </c>
      <c r="J93" s="92">
        <f>IF(OR(COUNTA($A93:$D93)=0,I93=0),"",IF(INDEX(Samples[介質],I93)="","",INDEX(Samples[介質],I93)))</f>
        <v/>
      </c>
      <c r="K93" s="92">
        <f>IF(OR(COUNTA($A93:$D93)=0,T93=0),"",IF(INDEX(DB_04[標準單位],T93)="","",INDEX(DB_04[標準單位],T93)))</f>
        <v/>
      </c>
      <c r="L93" s="92">
        <f>IF(COUNTA($A93:$D93)=0,"",IF(OR(C93="",K93=""),"",IF(C93=K93,1,IF(COUNTIFS(DB_06[換算鍵],C93&amp;"|"&amp;K93,DB_06[換算檢查],"OK")=1,INDEX(DB_06[乘數],MATCH(C93&amp;"|"&amp;K93,DB_06[換算鍵],0)),""))))</f>
        <v/>
      </c>
      <c r="M93" s="92">
        <f>UPPER(SUBSTITUTE(SUBSTITUTE(SUBSTITUTE(SUBSTITUTE(TRIM(B93&amp;""),"＜","&lt;"),"＞","&gt;"),"≤","&lt;="),"≥","&gt;="))</f>
        <v/>
      </c>
      <c r="N93" s="92">
        <f>IF(M93="","",IF(OR(M93="ND",M93="N.D."),"ND",IF(OR(M93="NA",M93="N/A",M93="N.A."),"NA",IF(OR(LEFT(M93,2)="&lt;=",LEFT(M93,2)="&gt;="),LEFT(M93,2),IF(OR(LEFT(M93,1)="&lt;",LEFT(M93,1)="&gt;"),LEFT(M93,1),"數值")))))</f>
        <v/>
      </c>
      <c r="O93" s="92">
        <f>IF(OR(N93="",N93="ND",N93="NA"),"",IF(N93="數值",M93,TRIM(MID(M93,LEN(N93)+1,99))))</f>
        <v/>
      </c>
      <c r="P93" s="92">
        <f>IF(O93="","",IFERROR(IF(OR(OR(ISNUMBER(SEARCH("%",O93)),ISNUMBER(SEARCH(" ",O93)),ISNUMBER(SEARCH(",",O93))),OR(SUBSTITUTE(SUBSTITUTE(SUBSTITUTE(SUBSTITUTE(SUBSTITUTE(SUBSTITUTE(SUBSTITUTE(SUBSTITUTE(SUBSTITUTE(SUBSTITUTE(SUBSTITUTE(SUBSTITUTE(SUBSTITUTE(SUBSTITUTE(SUBSTITUTE(SUBSTITUTE(SUBSTITUTE(SUBSTITUTE("x"&amp;O93,"0",""),"1",""),"2",""),"3",""),"4",""),"5",""),"6",""),"7",""),"8",""),"9",""),".",""),"E",""),"+",""),"-",""),"&lt;",""),"&gt;",""),"=","")," ","")&lt;&gt;"x",ISNUMBER(SEARCH("-",SUBSTITUTE(SUBSTITUTE("x"&amp;MID(O93,2,99),"E-","E"),"E+","E"))),ISNUMBER(SEARCH("+",SUBSTITUTE(SUBSTITUTE("x"&amp;MID(O93,2,99),"E-","E"),"E+","E"))))),"",IF(ISNUMBER(AH93),AH93,NA())),""))</f>
        <v/>
      </c>
      <c r="Q93" s="92">
        <f>IF(AND(ISNUMBER(L93),ISNUMBER(P93)),L93*P93,"")</f>
        <v/>
      </c>
      <c r="R93" s="92">
        <f>IF(OR(COUNTA($A93:$D93)=0,U93=0),"",IF(INDEX(DB_05[管制設定值],U93)="","",INDEX(DB_05[管制設定值],U93)))</f>
        <v/>
      </c>
      <c r="S93" s="92">
        <f>IF(OR(COUNTA($A93:$D93)=0,U93=0),"",IF(INDEX(DB_05[監測設定值],U93)="","",INDEX(DB_05[監測設定值],U93)))</f>
        <v/>
      </c>
      <c r="T93" s="92">
        <f>IF(COUNTA($A93:$D93)=0,"",IF(COUNTIFS(DB_04[測項鍵],V93)=1,MATCH(V93,DB_04[測項鍵],0),0))</f>
        <v/>
      </c>
      <c r="U93" s="92">
        <f>IF(COUNTA($A93:$D93)=0,"",IF(COUNTIFS(DB_05[標準鍵],W93)=1,MATCH(W93,DB_05[標準鍵],0),0))</f>
        <v/>
      </c>
      <c r="V93" s="92">
        <f>IF(OR(J93="",A93=""),"",J93&amp;"|"&amp;A93)</f>
        <v/>
      </c>
      <c r="W93" s="92">
        <f>IF(OR('07_QAQC'!$C$3="",V93=""),"",'07_QAQC'!$C$3&amp;"|"&amp;V93)</f>
        <v/>
      </c>
      <c r="X93" s="92">
        <f>IF(OR(H93="",A93=""),"",LEN(H93)&amp;":"&amp;H93&amp;LEN(A93)&amp;":"&amp;A93)</f>
        <v/>
      </c>
      <c r="Y93" s="93">
        <f>IF(COUNTA($A93:$D93)=0,"",IF(I93=0,"樣品未建或重複",IF(INDEX(Samples[樣品檢查],I93)="","OK",INDEX(Samples[樣品檢查],I93))))</f>
        <v/>
      </c>
      <c r="Z93" s="93">
        <f>IF(COUNTA($A93:$D93)=0,"",IF(B93="","缺原始值",IF(OR(B93="-",B93="--"),"無資料",IF(N93="NA","不適用",IF(N93="ND","OK",IF(NOT(ISNUMBER(P93)),"格式待核",IF(AND(N93&lt;&gt;"數值",P93&lt;0),"界限不得為負","OK")))))))</f>
        <v/>
      </c>
      <c r="AA93" s="93">
        <f>IF(COUNTA(A93:D93)=0,"",IF(OR(A93="",H93=""),"缺識別欄位",IF(IF(LEN("="&amp;SUBSTITUTE(SUBSTITUTE(SUBSTITUTE(X93,"~","~~"),"*","~*"),"?","~?"))&lt;=255,COUNTIF(Results[結果識別鍵],"="&amp;SUBSTITUTE(SUBSTITUTE(SUBSTITUTE(X93,"~","~~"),"*","~*"),"?","~?")),COUNTIFS(Results[關聯鍵],"="&amp;SUBSTITUTE(SUBSTITUTE(SUBSTITUTE(H93,"~","~~"),"*","~*"),"?","~?"),Results[分析項目],"="&amp;SUBSTITUTE(SUBSTITUTE(SUBSTITUTE(A93,"~","~~"),"*","~*"),"?","~?")))&gt;1,"同關聯鍵測項重複","OK")))</f>
        <v/>
      </c>
      <c r="AB93" s="93">
        <f>IF(COUNTA($A93:$D93)=0,"",IF(OR(C93="",K93=""),"缺單位",IF(NOT(ISNUMBER(L93)),"單位不相容",IF(L93=1,"OK","已換算"))))</f>
        <v/>
      </c>
      <c r="AC93" s="93">
        <f>IF(COUNTA($A93:$D93)=0,"",IF('07_QAQC'!$C$3="","未選比較版本",IF(U93=0,IF(COUNTIFS(DB_05[標準鍵],W93)&gt;1,"標準鍵重複","未訂此介質／測項門檻"),IF(INDEX(DB_05[版本檢查],U93)&lt;&gt;"OK","標準主檔待核",IF(INDEX(DB_05[標準單位],U93)&lt;&gt;K93,"標準單位不符",IF(INDEX(DB_05[核對狀態],U93)="停用","停用",IF(F93="","缺採樣日期",IF(OR(AND(INDEX(DB_05[生效日],U93)&lt;&gt;"",F93&lt;INDEX(DB_05[生效日],U93)),AND(INDEX(DB_05[失效日],U93)&lt;&gt;"",F93&gt;INDEX(DB_05[失效日],U93))),"日期不適用",INDEX(DB_05[核對狀態],U93)))))))))</f>
        <v/>
      </c>
      <c r="AD93" s="93">
        <f>IF(COUNTA($A93:$D93)=0,"",IF(AC93="未訂此介質／測項門檻",AC93,IF(AC93&lt;&gt;"已核對","標準待核",IF(R93="","未訂管制值",IF(NOT(ISNUMBER(L93)),"單位待核",IF(N93="ND","無法判定（ND無界限）",IF(N93="NA","不適用",IF(Z93&lt;&gt;"OK",Z93,IF(N93="數值",IF(Q93&gt;=R93,"達管制值","未達管制值"),IF(OR(N93="&lt;",N93="&lt;="),IF(OR(Q93&lt;R93,AND(N93="&lt;",Q93=R93)),"未達管制值","無法判定"),IF(OR(N93="&gt;",N93="&gt;="),IF(Q93&gt;=R93,"達管制值","無法判定"),"格式待核")))))))))))</f>
        <v/>
      </c>
      <c r="AE93" s="93">
        <f>IF(COUNTA($A93:$D93)=0,"",IF(AC93="未訂此介質／測項門檻",AC93,IF(AC93&lt;&gt;"已核對","標準待核",IF(S93="","未訂監測值",IF(NOT(ISNUMBER(L93)),"單位待核",IF(N93="ND","無法判定（ND無界限）",IF(N93="NA","不適用",IF(Z93&lt;&gt;"OK",Z93,IF(N93="數值",IF(Q93&gt;=S93,"達監測值","未達監測值"),IF(OR(N93="&lt;",N93="&lt;="),IF(OR(Q93&lt;S93,AND(N93="&lt;",Q93=S93)),"未達監測值","無法判定"),IF(OR(N93="&gt;",N93="&gt;="),IF(Q93&gt;=S93,"達監測值","無法判定"),"格式待核")))))))))))</f>
        <v/>
      </c>
      <c r="AF93" s="93">
        <f>IF(COUNTA($A93:$D93)=0,"",IF(OR(E93="",A93="",B93="",C93=""),"缺必要欄位",IF(Y93&lt;&gt;"OK","樣品資料待補",IF(T93=0,"測項未建或重複",IF(INDEX(DB_04[啟用],T93)&lt;&gt;"是","測項停用",IF(AND(Z93&lt;&gt;"OK",Z93&lt;&gt;"不適用"),Z93,IF(AND(AB93&lt;&gt;"OK",AB93&lt;&gt;"已換算"),"單位待核",IF(AA93&lt;&gt;"OK",AA93,"OK"))))))))</f>
        <v/>
      </c>
      <c r="AG93" s="93">
        <f>IF(COUNTA($A93:$D93)=0,"",IF(N93="ND","ND取0",IF(OR(N93="&lt;",N93="&lt;="),"界限除以2",IF(N93="NA","不適用",IF(OR(N93="&gt;",N93="&gt;="),"保留界限數值","保留原數值")))))</f>
        <v/>
      </c>
      <c r="AH93" s="92">
        <f>IF(O93="","",IFERROR(_xlfn.NUMBERVALUE(O93,".",","),""))</f>
        <v/>
      </c>
      <c r="AI93" s="92">
        <f>IF(H93="","",IFERROR(MATCH(H93,Samples[樣品編號],0),0))</f>
        <v/>
      </c>
    </row>
    <row r="94">
      <c r="A94" s="27" t="inlineStr">
        <is>
          <t>DO</t>
        </is>
      </c>
      <c r="B94" s="28" t="inlineStr">
        <is>
          <t>4.8</t>
        </is>
      </c>
      <c r="C94" s="27" t="inlineStr">
        <is>
          <t>mg/L</t>
        </is>
      </c>
      <c r="D94" s="39" t="inlineStr">
        <is>
          <t>合成資料，非實測；method=field</t>
        </is>
      </c>
      <c r="E94" s="29">
        <f>IF(OR(I94="",I94=0),"",IF(INDEX(Samples[監測點],I94)="","",INDEX(Samples[監測點],I94)))</f>
        <v/>
      </c>
      <c r="F94" s="90">
        <f>IF(OR(I94="",I94=0),"",IF(INDEX(Samples[採樣日期],I94)="","",INDEX(Samples[採樣日期],I94)))</f>
        <v/>
      </c>
      <c r="G94" s="91">
        <f>IF(OR(M94="",M94="NA",M94="N/A"),"",IF(OR(M94="ND",M94="N.D."),0,IFERROR(IF(OR(OR(ISNUMBER(SEARCH("%",O94)),ISNUMBER(SEARCH(" ",O94)),ISNUMBER(SEARCH(",",O94))),OR(SUBSTITUTE(SUBSTITUTE(SUBSTITUTE(SUBSTITUTE(SUBSTITUTE(SUBSTITUTE(SUBSTITUTE(SUBSTITUTE(SUBSTITUTE(SUBSTITUTE(SUBSTITUTE(SUBSTITUTE(SUBSTITUTE(SUBSTITUTE(SUBSTITUTE(SUBSTITUTE(SUBSTITUTE(SUBSTITUTE("x"&amp;M94,"0",""),"1",""),"2",""),"3",""),"4",""),"5",""),"6",""),"7",""),"8",""),"9",""),".",""),"E",""),"+",""),"-",""),"&lt;",""),"&gt;",""),"=","")," ","")&lt;&gt;"x",ISNUMBER(SEARCH("-",SUBSTITUTE(SUBSTITUTE("x"&amp;MID(M94,2,99),"E-","E"),"E+","E"))),ISNUMBER(SEARCH("+",SUBSTITUTE(SUBSTITUTE("x"&amp;MID(M94,2,99),"E-","E"),"E+","E"))))),"",IF(AND(OR(LEFT(M94,1)="&lt;",LEFT(M94,1)="&gt;"),IF(O94="",0,IF(ISNUMBER(AH94),AH94,NA()))&lt;0),"",IF(O94="",0,IF(ISNUMBER(AH94),AH94,NA()))/IF(LEFT(M94,1)="&lt;",2,1))),"")))</f>
        <v/>
      </c>
      <c r="H94" s="57" t="inlineStr">
        <is>
          <t>BH02-W_20260415_03</t>
        </is>
      </c>
      <c r="I94" s="92">
        <f>IF(OR(H94="",AI94=0),0,IF(INDEX(Samples[樣品重複筆數],AI94)=1,AI94,0))</f>
        <v/>
      </c>
      <c r="J94" s="92">
        <f>IF(OR(COUNTA($A94:$D94)=0,I94=0),"",IF(INDEX(Samples[介質],I94)="","",INDEX(Samples[介質],I94)))</f>
        <v/>
      </c>
      <c r="K94" s="92">
        <f>IF(OR(COUNTA($A94:$D94)=0,T94=0),"",IF(INDEX(DB_04[標準單位],T94)="","",INDEX(DB_04[標準單位],T94)))</f>
        <v/>
      </c>
      <c r="L94" s="92">
        <f>IF(COUNTA($A94:$D94)=0,"",IF(OR(C94="",K94=""),"",IF(C94=K94,1,IF(COUNTIFS(DB_06[換算鍵],C94&amp;"|"&amp;K94,DB_06[換算檢查],"OK")=1,INDEX(DB_06[乘數],MATCH(C94&amp;"|"&amp;K94,DB_06[換算鍵],0)),""))))</f>
        <v/>
      </c>
      <c r="M94" s="92">
        <f>UPPER(SUBSTITUTE(SUBSTITUTE(SUBSTITUTE(SUBSTITUTE(TRIM(B94&amp;""),"＜","&lt;"),"＞","&gt;"),"≤","&lt;="),"≥","&gt;="))</f>
        <v/>
      </c>
      <c r="N94" s="92">
        <f>IF(M94="","",IF(OR(M94="ND",M94="N.D."),"ND",IF(OR(M94="NA",M94="N/A",M94="N.A."),"NA",IF(OR(LEFT(M94,2)="&lt;=",LEFT(M94,2)="&gt;="),LEFT(M94,2),IF(OR(LEFT(M94,1)="&lt;",LEFT(M94,1)="&gt;"),LEFT(M94,1),"數值")))))</f>
        <v/>
      </c>
      <c r="O94" s="92">
        <f>IF(OR(N94="",N94="ND",N94="NA"),"",IF(N94="數值",M94,TRIM(MID(M94,LEN(N94)+1,99))))</f>
        <v/>
      </c>
      <c r="P94" s="92">
        <f>IF(O94="","",IFERROR(IF(OR(OR(ISNUMBER(SEARCH("%",O94)),ISNUMBER(SEARCH(" ",O94)),ISNUMBER(SEARCH(",",O94))),OR(SUBSTITUTE(SUBSTITUTE(SUBSTITUTE(SUBSTITUTE(SUBSTITUTE(SUBSTITUTE(SUBSTITUTE(SUBSTITUTE(SUBSTITUTE(SUBSTITUTE(SUBSTITUTE(SUBSTITUTE(SUBSTITUTE(SUBSTITUTE(SUBSTITUTE(SUBSTITUTE(SUBSTITUTE(SUBSTITUTE("x"&amp;O94,"0",""),"1",""),"2",""),"3",""),"4",""),"5",""),"6",""),"7",""),"8",""),"9",""),".",""),"E",""),"+",""),"-",""),"&lt;",""),"&gt;",""),"=","")," ","")&lt;&gt;"x",ISNUMBER(SEARCH("-",SUBSTITUTE(SUBSTITUTE("x"&amp;MID(O94,2,99),"E-","E"),"E+","E"))),ISNUMBER(SEARCH("+",SUBSTITUTE(SUBSTITUTE("x"&amp;MID(O94,2,99),"E-","E"),"E+","E"))))),"",IF(ISNUMBER(AH94),AH94,NA())),""))</f>
        <v/>
      </c>
      <c r="Q94" s="92">
        <f>IF(AND(ISNUMBER(L94),ISNUMBER(P94)),L94*P94,"")</f>
        <v/>
      </c>
      <c r="R94" s="92">
        <f>IF(OR(COUNTA($A94:$D94)=0,U94=0),"",IF(INDEX(DB_05[管制設定值],U94)="","",INDEX(DB_05[管制設定值],U94)))</f>
        <v/>
      </c>
      <c r="S94" s="92">
        <f>IF(OR(COUNTA($A94:$D94)=0,U94=0),"",IF(INDEX(DB_05[監測設定值],U94)="","",INDEX(DB_05[監測設定值],U94)))</f>
        <v/>
      </c>
      <c r="T94" s="92">
        <f>IF(COUNTA($A94:$D94)=0,"",IF(COUNTIFS(DB_04[測項鍵],V94)=1,MATCH(V94,DB_04[測項鍵],0),0))</f>
        <v/>
      </c>
      <c r="U94" s="92">
        <f>IF(COUNTA($A94:$D94)=0,"",IF(COUNTIFS(DB_05[標準鍵],W94)=1,MATCH(W94,DB_05[標準鍵],0),0))</f>
        <v/>
      </c>
      <c r="V94" s="92">
        <f>IF(OR(J94="",A94=""),"",J94&amp;"|"&amp;A94)</f>
        <v/>
      </c>
      <c r="W94" s="92">
        <f>IF(OR('07_QAQC'!$C$3="",V94=""),"",'07_QAQC'!$C$3&amp;"|"&amp;V94)</f>
        <v/>
      </c>
      <c r="X94" s="92">
        <f>IF(OR(H94="",A94=""),"",LEN(H94)&amp;":"&amp;H94&amp;LEN(A94)&amp;":"&amp;A94)</f>
        <v/>
      </c>
      <c r="Y94" s="93">
        <f>IF(COUNTA($A94:$D94)=0,"",IF(I94=0,"樣品未建或重複",IF(INDEX(Samples[樣品檢查],I94)="","OK",INDEX(Samples[樣品檢查],I94))))</f>
        <v/>
      </c>
      <c r="Z94" s="93">
        <f>IF(COUNTA($A94:$D94)=0,"",IF(B94="","缺原始值",IF(OR(B94="-",B94="--"),"無資料",IF(N94="NA","不適用",IF(N94="ND","OK",IF(NOT(ISNUMBER(P94)),"格式待核",IF(AND(N94&lt;&gt;"數值",P94&lt;0),"界限不得為負","OK")))))))</f>
        <v/>
      </c>
      <c r="AA94" s="93">
        <f>IF(COUNTA(A94:D94)=0,"",IF(OR(A94="",H94=""),"缺識別欄位",IF(IF(LEN("="&amp;SUBSTITUTE(SUBSTITUTE(SUBSTITUTE(X94,"~","~~"),"*","~*"),"?","~?"))&lt;=255,COUNTIF(Results[結果識別鍵],"="&amp;SUBSTITUTE(SUBSTITUTE(SUBSTITUTE(X94,"~","~~"),"*","~*"),"?","~?")),COUNTIFS(Results[關聯鍵],"="&amp;SUBSTITUTE(SUBSTITUTE(SUBSTITUTE(H94,"~","~~"),"*","~*"),"?","~?"),Results[分析項目],"="&amp;SUBSTITUTE(SUBSTITUTE(SUBSTITUTE(A94,"~","~~"),"*","~*"),"?","~?")))&gt;1,"同關聯鍵測項重複","OK")))</f>
        <v/>
      </c>
      <c r="AB94" s="93">
        <f>IF(COUNTA($A94:$D94)=0,"",IF(OR(C94="",K94=""),"缺單位",IF(NOT(ISNUMBER(L94)),"單位不相容",IF(L94=1,"OK","已換算"))))</f>
        <v/>
      </c>
      <c r="AC94" s="93">
        <f>IF(COUNTA($A94:$D94)=0,"",IF('07_QAQC'!$C$3="","未選比較版本",IF(U94=0,IF(COUNTIFS(DB_05[標準鍵],W94)&gt;1,"標準鍵重複","未訂此介質／測項門檻"),IF(INDEX(DB_05[版本檢查],U94)&lt;&gt;"OK","標準主檔待核",IF(INDEX(DB_05[標準單位],U94)&lt;&gt;K94,"標準單位不符",IF(INDEX(DB_05[核對狀態],U94)="停用","停用",IF(F94="","缺採樣日期",IF(OR(AND(INDEX(DB_05[生效日],U94)&lt;&gt;"",F94&lt;INDEX(DB_05[生效日],U94)),AND(INDEX(DB_05[失效日],U94)&lt;&gt;"",F94&gt;INDEX(DB_05[失效日],U94))),"日期不適用",INDEX(DB_05[核對狀態],U94)))))))))</f>
        <v/>
      </c>
      <c r="AD94" s="93">
        <f>IF(COUNTA($A94:$D94)=0,"",IF(AC94="未訂此介質／測項門檻",AC94,IF(AC94&lt;&gt;"已核對","標準待核",IF(R94="","未訂管制值",IF(NOT(ISNUMBER(L94)),"單位待核",IF(N94="ND","無法判定（ND無界限）",IF(N94="NA","不適用",IF(Z94&lt;&gt;"OK",Z94,IF(N94="數值",IF(Q94&gt;=R94,"達管制值","未達管制值"),IF(OR(N94="&lt;",N94="&lt;="),IF(OR(Q94&lt;R94,AND(N94="&lt;",Q94=R94)),"未達管制值","無法判定"),IF(OR(N94="&gt;",N94="&gt;="),IF(Q94&gt;=R94,"達管制值","無法判定"),"格式待核")))))))))))</f>
        <v/>
      </c>
      <c r="AE94" s="93">
        <f>IF(COUNTA($A94:$D94)=0,"",IF(AC94="未訂此介質／測項門檻",AC94,IF(AC94&lt;&gt;"已核對","標準待核",IF(S94="","未訂監測值",IF(NOT(ISNUMBER(L94)),"單位待核",IF(N94="ND","無法判定（ND無界限）",IF(N94="NA","不適用",IF(Z94&lt;&gt;"OK",Z94,IF(N94="數值",IF(Q94&gt;=S94,"達監測值","未達監測值"),IF(OR(N94="&lt;",N94="&lt;="),IF(OR(Q94&lt;S94,AND(N94="&lt;",Q94=S94)),"未達監測值","無法判定"),IF(OR(N94="&gt;",N94="&gt;="),IF(Q94&gt;=S94,"達監測值","無法判定"),"格式待核")))))))))))</f>
        <v/>
      </c>
      <c r="AF94" s="93">
        <f>IF(COUNTA($A94:$D94)=0,"",IF(OR(E94="",A94="",B94="",C94=""),"缺必要欄位",IF(Y94&lt;&gt;"OK","樣品資料待補",IF(T94=0,"測項未建或重複",IF(INDEX(DB_04[啟用],T94)&lt;&gt;"是","測項停用",IF(AND(Z94&lt;&gt;"OK",Z94&lt;&gt;"不適用"),Z94,IF(AND(AB94&lt;&gt;"OK",AB94&lt;&gt;"已換算"),"單位待核",IF(AA94&lt;&gt;"OK",AA94,"OK"))))))))</f>
        <v/>
      </c>
      <c r="AG94" s="93">
        <f>IF(COUNTA($A94:$D94)=0,"",IF(N94="ND","ND取0",IF(OR(N94="&lt;",N94="&lt;="),"界限除以2",IF(N94="NA","不適用",IF(OR(N94="&gt;",N94="&gt;="),"保留界限數值","保留原數值")))))</f>
        <v/>
      </c>
      <c r="AH94" s="92">
        <f>IF(O94="","",IFERROR(_xlfn.NUMBERVALUE(O94,".",","),""))</f>
        <v/>
      </c>
      <c r="AI94" s="92">
        <f>IF(H94="","",IFERROR(MATCH(H94,Samples[樣品編號],0),0))</f>
        <v/>
      </c>
    </row>
    <row r="95">
      <c r="A95" s="27" t="inlineStr">
        <is>
          <t>溶氧飽和度</t>
        </is>
      </c>
      <c r="B95" s="28" t="inlineStr">
        <is>
          <t>60</t>
        </is>
      </c>
      <c r="C95" s="27" t="inlineStr">
        <is>
          <t>%</t>
        </is>
      </c>
      <c r="D95" s="39" t="inlineStr">
        <is>
          <t>合成資料，非實測；method=field</t>
        </is>
      </c>
      <c r="E95" s="29">
        <f>IF(OR(I95="",I95=0),"",IF(INDEX(Samples[監測點],I95)="","",INDEX(Samples[監測點],I95)))</f>
        <v/>
      </c>
      <c r="F95" s="90">
        <f>IF(OR(I95="",I95=0),"",IF(INDEX(Samples[採樣日期],I95)="","",INDEX(Samples[採樣日期],I95)))</f>
        <v/>
      </c>
      <c r="G95" s="91">
        <f>IF(OR(M95="",M95="NA",M95="N/A"),"",IF(OR(M95="ND",M95="N.D."),0,IFERROR(IF(OR(OR(ISNUMBER(SEARCH("%",O95)),ISNUMBER(SEARCH(" ",O95)),ISNUMBER(SEARCH(",",O95))),OR(SUBSTITUTE(SUBSTITUTE(SUBSTITUTE(SUBSTITUTE(SUBSTITUTE(SUBSTITUTE(SUBSTITUTE(SUBSTITUTE(SUBSTITUTE(SUBSTITUTE(SUBSTITUTE(SUBSTITUTE(SUBSTITUTE(SUBSTITUTE(SUBSTITUTE(SUBSTITUTE(SUBSTITUTE(SUBSTITUTE("x"&amp;M95,"0",""),"1",""),"2",""),"3",""),"4",""),"5",""),"6",""),"7",""),"8",""),"9",""),".",""),"E",""),"+",""),"-",""),"&lt;",""),"&gt;",""),"=","")," ","")&lt;&gt;"x",ISNUMBER(SEARCH("-",SUBSTITUTE(SUBSTITUTE("x"&amp;MID(M95,2,99),"E-","E"),"E+","E"))),ISNUMBER(SEARCH("+",SUBSTITUTE(SUBSTITUTE("x"&amp;MID(M95,2,99),"E-","E"),"E+","E"))))),"",IF(AND(OR(LEFT(M95,1)="&lt;",LEFT(M95,1)="&gt;"),IF(O95="",0,IF(ISNUMBER(AH95),AH95,NA()))&lt;0),"",IF(O95="",0,IF(ISNUMBER(AH95),AH95,NA()))/IF(LEFT(M95,1)="&lt;",2,1))),"")))</f>
        <v/>
      </c>
      <c r="H95" s="57" t="inlineStr">
        <is>
          <t>BH02-W_20260415_03</t>
        </is>
      </c>
      <c r="I95" s="92">
        <f>IF(OR(H95="",AI95=0),0,IF(INDEX(Samples[樣品重複筆數],AI95)=1,AI95,0))</f>
        <v/>
      </c>
      <c r="J95" s="92">
        <f>IF(OR(COUNTA($A95:$D95)=0,I95=0),"",IF(INDEX(Samples[介質],I95)="","",INDEX(Samples[介質],I95)))</f>
        <v/>
      </c>
      <c r="K95" s="92">
        <f>IF(OR(COUNTA($A95:$D95)=0,T95=0),"",IF(INDEX(DB_04[標準單位],T95)="","",INDEX(DB_04[標準單位],T95)))</f>
        <v/>
      </c>
      <c r="L95" s="92">
        <f>IF(COUNTA($A95:$D95)=0,"",IF(OR(C95="",K95=""),"",IF(C95=K95,1,IF(COUNTIFS(DB_06[換算鍵],C95&amp;"|"&amp;K95,DB_06[換算檢查],"OK")=1,INDEX(DB_06[乘數],MATCH(C95&amp;"|"&amp;K95,DB_06[換算鍵],0)),""))))</f>
        <v/>
      </c>
      <c r="M95" s="92">
        <f>UPPER(SUBSTITUTE(SUBSTITUTE(SUBSTITUTE(SUBSTITUTE(TRIM(B95&amp;""),"＜","&lt;"),"＞","&gt;"),"≤","&lt;="),"≥","&gt;="))</f>
        <v/>
      </c>
      <c r="N95" s="92">
        <f>IF(M95="","",IF(OR(M95="ND",M95="N.D."),"ND",IF(OR(M95="NA",M95="N/A",M95="N.A."),"NA",IF(OR(LEFT(M95,2)="&lt;=",LEFT(M95,2)="&gt;="),LEFT(M95,2),IF(OR(LEFT(M95,1)="&lt;",LEFT(M95,1)="&gt;"),LEFT(M95,1),"數值")))))</f>
        <v/>
      </c>
      <c r="O95" s="92">
        <f>IF(OR(N95="",N95="ND",N95="NA"),"",IF(N95="數值",M95,TRIM(MID(M95,LEN(N95)+1,99))))</f>
        <v/>
      </c>
      <c r="P95" s="92">
        <f>IF(O95="","",IFERROR(IF(OR(OR(ISNUMBER(SEARCH("%",O95)),ISNUMBER(SEARCH(" ",O95)),ISNUMBER(SEARCH(",",O95))),OR(SUBSTITUTE(SUBSTITUTE(SUBSTITUTE(SUBSTITUTE(SUBSTITUTE(SUBSTITUTE(SUBSTITUTE(SUBSTITUTE(SUBSTITUTE(SUBSTITUTE(SUBSTITUTE(SUBSTITUTE(SUBSTITUTE(SUBSTITUTE(SUBSTITUTE(SUBSTITUTE(SUBSTITUTE(SUBSTITUTE("x"&amp;O95,"0",""),"1",""),"2",""),"3",""),"4",""),"5",""),"6",""),"7",""),"8",""),"9",""),".",""),"E",""),"+",""),"-",""),"&lt;",""),"&gt;",""),"=","")," ","")&lt;&gt;"x",ISNUMBER(SEARCH("-",SUBSTITUTE(SUBSTITUTE("x"&amp;MID(O95,2,99),"E-","E"),"E+","E"))),ISNUMBER(SEARCH("+",SUBSTITUTE(SUBSTITUTE("x"&amp;MID(O95,2,99),"E-","E"),"E+","E"))))),"",IF(ISNUMBER(AH95),AH95,NA())),""))</f>
        <v/>
      </c>
      <c r="Q95" s="92">
        <f>IF(AND(ISNUMBER(L95),ISNUMBER(P95)),L95*P95,"")</f>
        <v/>
      </c>
      <c r="R95" s="92">
        <f>IF(OR(COUNTA($A95:$D95)=0,U95=0),"",IF(INDEX(DB_05[管制設定值],U95)="","",INDEX(DB_05[管制設定值],U95)))</f>
        <v/>
      </c>
      <c r="S95" s="92">
        <f>IF(OR(COUNTA($A95:$D95)=0,U95=0),"",IF(INDEX(DB_05[監測設定值],U95)="","",INDEX(DB_05[監測設定值],U95)))</f>
        <v/>
      </c>
      <c r="T95" s="92">
        <f>IF(COUNTA($A95:$D95)=0,"",IF(COUNTIFS(DB_04[測項鍵],V95)=1,MATCH(V95,DB_04[測項鍵],0),0))</f>
        <v/>
      </c>
      <c r="U95" s="92">
        <f>IF(COUNTA($A95:$D95)=0,"",IF(COUNTIFS(DB_05[標準鍵],W95)=1,MATCH(W95,DB_05[標準鍵],0),0))</f>
        <v/>
      </c>
      <c r="V95" s="92">
        <f>IF(OR(J95="",A95=""),"",J95&amp;"|"&amp;A95)</f>
        <v/>
      </c>
      <c r="W95" s="92">
        <f>IF(OR('07_QAQC'!$C$3="",V95=""),"",'07_QAQC'!$C$3&amp;"|"&amp;V95)</f>
        <v/>
      </c>
      <c r="X95" s="92">
        <f>IF(OR(H95="",A95=""),"",LEN(H95)&amp;":"&amp;H95&amp;LEN(A95)&amp;":"&amp;A95)</f>
        <v/>
      </c>
      <c r="Y95" s="93">
        <f>IF(COUNTA($A95:$D95)=0,"",IF(I95=0,"樣品未建或重複",IF(INDEX(Samples[樣品檢查],I95)="","OK",INDEX(Samples[樣品檢查],I95))))</f>
        <v/>
      </c>
      <c r="Z95" s="93">
        <f>IF(COUNTA($A95:$D95)=0,"",IF(B95="","缺原始值",IF(OR(B95="-",B95="--"),"無資料",IF(N95="NA","不適用",IF(N95="ND","OK",IF(NOT(ISNUMBER(P95)),"格式待核",IF(AND(N95&lt;&gt;"數值",P95&lt;0),"界限不得為負","OK")))))))</f>
        <v/>
      </c>
      <c r="AA95" s="93">
        <f>IF(COUNTA(A95:D95)=0,"",IF(OR(A95="",H95=""),"缺識別欄位",IF(IF(LEN("="&amp;SUBSTITUTE(SUBSTITUTE(SUBSTITUTE(X95,"~","~~"),"*","~*"),"?","~?"))&lt;=255,COUNTIF(Results[結果識別鍵],"="&amp;SUBSTITUTE(SUBSTITUTE(SUBSTITUTE(X95,"~","~~"),"*","~*"),"?","~?")),COUNTIFS(Results[關聯鍵],"="&amp;SUBSTITUTE(SUBSTITUTE(SUBSTITUTE(H95,"~","~~"),"*","~*"),"?","~?"),Results[分析項目],"="&amp;SUBSTITUTE(SUBSTITUTE(SUBSTITUTE(A95,"~","~~"),"*","~*"),"?","~?")))&gt;1,"同關聯鍵測項重複","OK")))</f>
        <v/>
      </c>
      <c r="AB95" s="93">
        <f>IF(COUNTA($A95:$D95)=0,"",IF(OR(C95="",K95=""),"缺單位",IF(NOT(ISNUMBER(L95)),"單位不相容",IF(L95=1,"OK","已換算"))))</f>
        <v/>
      </c>
      <c r="AC95" s="93">
        <f>IF(COUNTA($A95:$D95)=0,"",IF('07_QAQC'!$C$3="","未選比較版本",IF(U95=0,IF(COUNTIFS(DB_05[標準鍵],W95)&gt;1,"標準鍵重複","未訂此介質／測項門檻"),IF(INDEX(DB_05[版本檢查],U95)&lt;&gt;"OK","標準主檔待核",IF(INDEX(DB_05[標準單位],U95)&lt;&gt;K95,"標準單位不符",IF(INDEX(DB_05[核對狀態],U95)="停用","停用",IF(F95="","缺採樣日期",IF(OR(AND(INDEX(DB_05[生效日],U95)&lt;&gt;"",F95&lt;INDEX(DB_05[生效日],U95)),AND(INDEX(DB_05[失效日],U95)&lt;&gt;"",F95&gt;INDEX(DB_05[失效日],U95))),"日期不適用",INDEX(DB_05[核對狀態],U95)))))))))</f>
        <v/>
      </c>
      <c r="AD95" s="93">
        <f>IF(COUNTA($A95:$D95)=0,"",IF(AC95="未訂此介質／測項門檻",AC95,IF(AC95&lt;&gt;"已核對","標準待核",IF(R95="","未訂管制值",IF(NOT(ISNUMBER(L95)),"單位待核",IF(N95="ND","無法判定（ND無界限）",IF(N95="NA","不適用",IF(Z95&lt;&gt;"OK",Z95,IF(N95="數值",IF(Q95&gt;=R95,"達管制值","未達管制值"),IF(OR(N95="&lt;",N95="&lt;="),IF(OR(Q95&lt;R95,AND(N95="&lt;",Q95=R95)),"未達管制值","無法判定"),IF(OR(N95="&gt;",N95="&gt;="),IF(Q95&gt;=R95,"達管制值","無法判定"),"格式待核")))))))))))</f>
        <v/>
      </c>
      <c r="AE95" s="93">
        <f>IF(COUNTA($A95:$D95)=0,"",IF(AC95="未訂此介質／測項門檻",AC95,IF(AC95&lt;&gt;"已核對","標準待核",IF(S95="","未訂監測值",IF(NOT(ISNUMBER(L95)),"單位待核",IF(N95="ND","無法判定（ND無界限）",IF(N95="NA","不適用",IF(Z95&lt;&gt;"OK",Z95,IF(N95="數值",IF(Q95&gt;=S95,"達監測值","未達監測值"),IF(OR(N95="&lt;",N95="&lt;="),IF(OR(Q95&lt;S95,AND(N95="&lt;",Q95=S95)),"未達監測值","無法判定"),IF(OR(N95="&gt;",N95="&gt;="),IF(Q95&gt;=S95,"達監測值","無法判定"),"格式待核")))))))))))</f>
        <v/>
      </c>
      <c r="AF95" s="93">
        <f>IF(COUNTA($A95:$D95)=0,"",IF(OR(E95="",A95="",B95="",C95=""),"缺必要欄位",IF(Y95&lt;&gt;"OK","樣品資料待補",IF(T95=0,"測項未建或重複",IF(INDEX(DB_04[啟用],T95)&lt;&gt;"是","測項停用",IF(AND(Z95&lt;&gt;"OK",Z95&lt;&gt;"不適用"),Z95,IF(AND(AB95&lt;&gt;"OK",AB95&lt;&gt;"已換算"),"單位待核",IF(AA95&lt;&gt;"OK",AA95,"OK"))))))))</f>
        <v/>
      </c>
      <c r="AG95" s="93">
        <f>IF(COUNTA($A95:$D95)=0,"",IF(N95="ND","ND取0",IF(OR(N95="&lt;",N95="&lt;="),"界限除以2",IF(N95="NA","不適用",IF(OR(N95="&gt;",N95="&gt;="),"保留界限數值","保留原數值")))))</f>
        <v/>
      </c>
      <c r="AH95" s="92">
        <f>IF(O95="","",IFERROR(_xlfn.NUMBERVALUE(O95,".",","),""))</f>
        <v/>
      </c>
      <c r="AI95" s="92">
        <f>IF(H95="","",IFERROR(MATCH(H95,Samples[樣品編號],0),0))</f>
        <v/>
      </c>
    </row>
    <row r="96">
      <c r="A96" s="27" t="inlineStr">
        <is>
          <t>ORP</t>
        </is>
      </c>
      <c r="B96" s="28" t="inlineStr">
        <is>
          <t>-25</t>
        </is>
      </c>
      <c r="C96" s="27" t="inlineStr">
        <is>
          <t>mV</t>
        </is>
      </c>
      <c r="D96" s="39" t="inlineStr">
        <is>
          <t>合成資料，非實測；method=field; reference_electrode=Ag/AgCl; calibration=verified</t>
        </is>
      </c>
      <c r="E96" s="29">
        <f>IF(OR(I96="",I96=0),"",IF(INDEX(Samples[監測點],I96)="","",INDEX(Samples[監測點],I96)))</f>
        <v/>
      </c>
      <c r="F96" s="90">
        <f>IF(OR(I96="",I96=0),"",IF(INDEX(Samples[採樣日期],I96)="","",INDEX(Samples[採樣日期],I96)))</f>
        <v/>
      </c>
      <c r="G96" s="91">
        <f>IF(OR(M96="",M96="NA",M96="N/A"),"",IF(OR(M96="ND",M96="N.D."),0,IFERROR(IF(OR(OR(ISNUMBER(SEARCH("%",O96)),ISNUMBER(SEARCH(" ",O96)),ISNUMBER(SEARCH(",",O96))),OR(SUBSTITUTE(SUBSTITUTE(SUBSTITUTE(SUBSTITUTE(SUBSTITUTE(SUBSTITUTE(SUBSTITUTE(SUBSTITUTE(SUBSTITUTE(SUBSTITUTE(SUBSTITUTE(SUBSTITUTE(SUBSTITUTE(SUBSTITUTE(SUBSTITUTE(SUBSTITUTE(SUBSTITUTE(SUBSTITUTE("x"&amp;M96,"0",""),"1",""),"2",""),"3",""),"4",""),"5",""),"6",""),"7",""),"8",""),"9",""),".",""),"E",""),"+",""),"-",""),"&lt;",""),"&gt;",""),"=","")," ","")&lt;&gt;"x",ISNUMBER(SEARCH("-",SUBSTITUTE(SUBSTITUTE("x"&amp;MID(M96,2,99),"E-","E"),"E+","E"))),ISNUMBER(SEARCH("+",SUBSTITUTE(SUBSTITUTE("x"&amp;MID(M96,2,99),"E-","E"),"E+","E"))))),"",IF(AND(OR(LEFT(M96,1)="&lt;",LEFT(M96,1)="&gt;"),IF(O96="",0,IF(ISNUMBER(AH96),AH96,NA()))&lt;0),"",IF(O96="",0,IF(ISNUMBER(AH96),AH96,NA()))/IF(LEFT(M96,1)="&lt;",2,1))),"")))</f>
        <v/>
      </c>
      <c r="H96" s="57" t="inlineStr">
        <is>
          <t>BH02-W_20260415_03</t>
        </is>
      </c>
      <c r="I96" s="92">
        <f>IF(OR(H96="",AI96=0),0,IF(INDEX(Samples[樣品重複筆數],AI96)=1,AI96,0))</f>
        <v/>
      </c>
      <c r="J96" s="92">
        <f>IF(OR(COUNTA($A96:$D96)=0,I96=0),"",IF(INDEX(Samples[介質],I96)="","",INDEX(Samples[介質],I96)))</f>
        <v/>
      </c>
      <c r="K96" s="92">
        <f>IF(OR(COUNTA($A96:$D96)=0,T96=0),"",IF(INDEX(DB_04[標準單位],T96)="","",INDEX(DB_04[標準單位],T96)))</f>
        <v/>
      </c>
      <c r="L96" s="92">
        <f>IF(COUNTA($A96:$D96)=0,"",IF(OR(C96="",K96=""),"",IF(C96=K96,1,IF(COUNTIFS(DB_06[換算鍵],C96&amp;"|"&amp;K96,DB_06[換算檢查],"OK")=1,INDEX(DB_06[乘數],MATCH(C96&amp;"|"&amp;K96,DB_06[換算鍵],0)),""))))</f>
        <v/>
      </c>
      <c r="M96" s="92">
        <f>UPPER(SUBSTITUTE(SUBSTITUTE(SUBSTITUTE(SUBSTITUTE(TRIM(B96&amp;""),"＜","&lt;"),"＞","&gt;"),"≤","&lt;="),"≥","&gt;="))</f>
        <v/>
      </c>
      <c r="N96" s="92">
        <f>IF(M96="","",IF(OR(M96="ND",M96="N.D."),"ND",IF(OR(M96="NA",M96="N/A",M96="N.A."),"NA",IF(OR(LEFT(M96,2)="&lt;=",LEFT(M96,2)="&gt;="),LEFT(M96,2),IF(OR(LEFT(M96,1)="&lt;",LEFT(M96,1)="&gt;"),LEFT(M96,1),"數值")))))</f>
        <v/>
      </c>
      <c r="O96" s="92">
        <f>IF(OR(N96="",N96="ND",N96="NA"),"",IF(N96="數值",M96,TRIM(MID(M96,LEN(N96)+1,99))))</f>
        <v/>
      </c>
      <c r="P96" s="92">
        <f>IF(O96="","",IFERROR(IF(OR(OR(ISNUMBER(SEARCH("%",O96)),ISNUMBER(SEARCH(" ",O96)),ISNUMBER(SEARCH(",",O96))),OR(SUBSTITUTE(SUBSTITUTE(SUBSTITUTE(SUBSTITUTE(SUBSTITUTE(SUBSTITUTE(SUBSTITUTE(SUBSTITUTE(SUBSTITUTE(SUBSTITUTE(SUBSTITUTE(SUBSTITUTE(SUBSTITUTE(SUBSTITUTE(SUBSTITUTE(SUBSTITUTE(SUBSTITUTE(SUBSTITUTE("x"&amp;O96,"0",""),"1",""),"2",""),"3",""),"4",""),"5",""),"6",""),"7",""),"8",""),"9",""),".",""),"E",""),"+",""),"-",""),"&lt;",""),"&gt;",""),"=","")," ","")&lt;&gt;"x",ISNUMBER(SEARCH("-",SUBSTITUTE(SUBSTITUTE("x"&amp;MID(O96,2,99),"E-","E"),"E+","E"))),ISNUMBER(SEARCH("+",SUBSTITUTE(SUBSTITUTE("x"&amp;MID(O96,2,99),"E-","E"),"E+","E"))))),"",IF(ISNUMBER(AH96),AH96,NA())),""))</f>
        <v/>
      </c>
      <c r="Q96" s="92">
        <f>IF(AND(ISNUMBER(L96),ISNUMBER(P96)),L96*P96,"")</f>
        <v/>
      </c>
      <c r="R96" s="92">
        <f>IF(OR(COUNTA($A96:$D96)=0,U96=0),"",IF(INDEX(DB_05[管制設定值],U96)="","",INDEX(DB_05[管制設定值],U96)))</f>
        <v/>
      </c>
      <c r="S96" s="92">
        <f>IF(OR(COUNTA($A96:$D96)=0,U96=0),"",IF(INDEX(DB_05[監測設定值],U96)="","",INDEX(DB_05[監測設定值],U96)))</f>
        <v/>
      </c>
      <c r="T96" s="92">
        <f>IF(COUNTA($A96:$D96)=0,"",IF(COUNTIFS(DB_04[測項鍵],V96)=1,MATCH(V96,DB_04[測項鍵],0),0))</f>
        <v/>
      </c>
      <c r="U96" s="92">
        <f>IF(COUNTA($A96:$D96)=0,"",IF(COUNTIFS(DB_05[標準鍵],W96)=1,MATCH(W96,DB_05[標準鍵],0),0))</f>
        <v/>
      </c>
      <c r="V96" s="92">
        <f>IF(OR(J96="",A96=""),"",J96&amp;"|"&amp;A96)</f>
        <v/>
      </c>
      <c r="W96" s="92">
        <f>IF(OR('07_QAQC'!$C$3="",V96=""),"",'07_QAQC'!$C$3&amp;"|"&amp;V96)</f>
        <v/>
      </c>
      <c r="X96" s="92">
        <f>IF(OR(H96="",A96=""),"",LEN(H96)&amp;":"&amp;H96&amp;LEN(A96)&amp;":"&amp;A96)</f>
        <v/>
      </c>
      <c r="Y96" s="93">
        <f>IF(COUNTA($A96:$D96)=0,"",IF(I96=0,"樣品未建或重複",IF(INDEX(Samples[樣品檢查],I96)="","OK",INDEX(Samples[樣品檢查],I96))))</f>
        <v/>
      </c>
      <c r="Z96" s="93">
        <f>IF(COUNTA($A96:$D96)=0,"",IF(B96="","缺原始值",IF(OR(B96="-",B96="--"),"無資料",IF(N96="NA","不適用",IF(N96="ND","OK",IF(NOT(ISNUMBER(P96)),"格式待核",IF(AND(N96&lt;&gt;"數值",P96&lt;0),"界限不得為負","OK")))))))</f>
        <v/>
      </c>
      <c r="AA96" s="93">
        <f>IF(COUNTA(A96:D96)=0,"",IF(OR(A96="",H96=""),"缺識別欄位",IF(IF(LEN("="&amp;SUBSTITUTE(SUBSTITUTE(SUBSTITUTE(X96,"~","~~"),"*","~*"),"?","~?"))&lt;=255,COUNTIF(Results[結果識別鍵],"="&amp;SUBSTITUTE(SUBSTITUTE(SUBSTITUTE(X96,"~","~~"),"*","~*"),"?","~?")),COUNTIFS(Results[關聯鍵],"="&amp;SUBSTITUTE(SUBSTITUTE(SUBSTITUTE(H96,"~","~~"),"*","~*"),"?","~?"),Results[分析項目],"="&amp;SUBSTITUTE(SUBSTITUTE(SUBSTITUTE(A96,"~","~~"),"*","~*"),"?","~?")))&gt;1,"同關聯鍵測項重複","OK")))</f>
        <v/>
      </c>
      <c r="AB96" s="93">
        <f>IF(COUNTA($A96:$D96)=0,"",IF(OR(C96="",K96=""),"缺單位",IF(NOT(ISNUMBER(L96)),"單位不相容",IF(L96=1,"OK","已換算"))))</f>
        <v/>
      </c>
      <c r="AC96" s="93">
        <f>IF(COUNTA($A96:$D96)=0,"",IF('07_QAQC'!$C$3="","未選比較版本",IF(U96=0,IF(COUNTIFS(DB_05[標準鍵],W96)&gt;1,"標準鍵重複","未訂此介質／測項門檻"),IF(INDEX(DB_05[版本檢查],U96)&lt;&gt;"OK","標準主檔待核",IF(INDEX(DB_05[標準單位],U96)&lt;&gt;K96,"標準單位不符",IF(INDEX(DB_05[核對狀態],U96)="停用","停用",IF(F96="","缺採樣日期",IF(OR(AND(INDEX(DB_05[生效日],U96)&lt;&gt;"",F96&lt;INDEX(DB_05[生效日],U96)),AND(INDEX(DB_05[失效日],U96)&lt;&gt;"",F96&gt;INDEX(DB_05[失效日],U96))),"日期不適用",INDEX(DB_05[核對狀態],U96)))))))))</f>
        <v/>
      </c>
      <c r="AD96" s="93">
        <f>IF(COUNTA($A96:$D96)=0,"",IF(AC96="未訂此介質／測項門檻",AC96,IF(AC96&lt;&gt;"已核對","標準待核",IF(R96="","未訂管制值",IF(NOT(ISNUMBER(L96)),"單位待核",IF(N96="ND","無法判定（ND無界限）",IF(N96="NA","不適用",IF(Z96&lt;&gt;"OK",Z96,IF(N96="數值",IF(Q96&gt;=R96,"達管制值","未達管制值"),IF(OR(N96="&lt;",N96="&lt;="),IF(OR(Q96&lt;R96,AND(N96="&lt;",Q96=R96)),"未達管制值","無法判定"),IF(OR(N96="&gt;",N96="&gt;="),IF(Q96&gt;=R96,"達管制值","無法判定"),"格式待核")))))))))))</f>
        <v/>
      </c>
      <c r="AE96" s="93">
        <f>IF(COUNTA($A96:$D96)=0,"",IF(AC96="未訂此介質／測項門檻",AC96,IF(AC96&lt;&gt;"已核對","標準待核",IF(S96="","未訂監測值",IF(NOT(ISNUMBER(L96)),"單位待核",IF(N96="ND","無法判定（ND無界限）",IF(N96="NA","不適用",IF(Z96&lt;&gt;"OK",Z96,IF(N96="數值",IF(Q96&gt;=S96,"達監測值","未達監測值"),IF(OR(N96="&lt;",N96="&lt;="),IF(OR(Q96&lt;S96,AND(N96="&lt;",Q96=S96)),"未達監測值","無法判定"),IF(OR(N96="&gt;",N96="&gt;="),IF(Q96&gt;=S96,"達監測值","無法判定"),"格式待核")))))))))))</f>
        <v/>
      </c>
      <c r="AF96" s="93">
        <f>IF(COUNTA($A96:$D96)=0,"",IF(OR(E96="",A96="",B96="",C96=""),"缺必要欄位",IF(Y96&lt;&gt;"OK","樣品資料待補",IF(T96=0,"測項未建或重複",IF(INDEX(DB_04[啟用],T96)&lt;&gt;"是","測項停用",IF(AND(Z96&lt;&gt;"OK",Z96&lt;&gt;"不適用"),Z96,IF(AND(AB96&lt;&gt;"OK",AB96&lt;&gt;"已換算"),"單位待核",IF(AA96&lt;&gt;"OK",AA96,"OK"))))))))</f>
        <v/>
      </c>
      <c r="AG96" s="93">
        <f>IF(COUNTA($A96:$D96)=0,"",IF(N96="ND","ND取0",IF(OR(N96="&lt;",N96="&lt;="),"界限除以2",IF(N96="NA","不適用",IF(OR(N96="&gt;",N96="&gt;="),"保留界限數值","保留原數值")))))</f>
        <v/>
      </c>
      <c r="AH96" s="92">
        <f>IF(O96="","",IFERROR(_xlfn.NUMBERVALUE(O96,".",","),""))</f>
        <v/>
      </c>
      <c r="AI96" s="92">
        <f>IF(H96="","",IFERROR(MATCH(H96,Samples[樣品編號],0),0))</f>
        <v/>
      </c>
    </row>
    <row r="97">
      <c r="A97" s="27" t="inlineStr">
        <is>
          <t>總有機碳</t>
        </is>
      </c>
      <c r="B97" s="28" t="inlineStr">
        <is>
          <t>3.1</t>
        </is>
      </c>
      <c r="C97" s="27" t="inlineStr">
        <is>
          <t>mg/L</t>
        </is>
      </c>
      <c r="D97" s="39" t="inlineStr">
        <is>
          <t>合成資料，非實測；method=lab</t>
        </is>
      </c>
      <c r="E97" s="29">
        <f>IF(OR(I97="",I97=0),"",IF(INDEX(Samples[監測點],I97)="","",INDEX(Samples[監測點],I97)))</f>
        <v/>
      </c>
      <c r="F97" s="90">
        <f>IF(OR(I97="",I97=0),"",IF(INDEX(Samples[採樣日期],I97)="","",INDEX(Samples[採樣日期],I97)))</f>
        <v/>
      </c>
      <c r="G97" s="91">
        <f>IF(OR(M97="",M97="NA",M97="N/A"),"",IF(OR(M97="ND",M97="N.D."),0,IFERROR(IF(OR(OR(ISNUMBER(SEARCH("%",O97)),ISNUMBER(SEARCH(" ",O97)),ISNUMBER(SEARCH(",",O97))),OR(SUBSTITUTE(SUBSTITUTE(SUBSTITUTE(SUBSTITUTE(SUBSTITUTE(SUBSTITUTE(SUBSTITUTE(SUBSTITUTE(SUBSTITUTE(SUBSTITUTE(SUBSTITUTE(SUBSTITUTE(SUBSTITUTE(SUBSTITUTE(SUBSTITUTE(SUBSTITUTE(SUBSTITUTE(SUBSTITUTE("x"&amp;M97,"0",""),"1",""),"2",""),"3",""),"4",""),"5",""),"6",""),"7",""),"8",""),"9",""),".",""),"E",""),"+",""),"-",""),"&lt;",""),"&gt;",""),"=","")," ","")&lt;&gt;"x",ISNUMBER(SEARCH("-",SUBSTITUTE(SUBSTITUTE("x"&amp;MID(M97,2,99),"E-","E"),"E+","E"))),ISNUMBER(SEARCH("+",SUBSTITUTE(SUBSTITUTE("x"&amp;MID(M97,2,99),"E-","E"),"E+","E"))))),"",IF(AND(OR(LEFT(M97,1)="&lt;",LEFT(M97,1)="&gt;"),IF(O97="",0,IF(ISNUMBER(AH97),AH97,NA()))&lt;0),"",IF(O97="",0,IF(ISNUMBER(AH97),AH97,NA()))/IF(LEFT(M97,1)="&lt;",2,1))),"")))</f>
        <v/>
      </c>
      <c r="H97" s="57" t="inlineStr">
        <is>
          <t>BH02-W_20260415_03</t>
        </is>
      </c>
      <c r="I97" s="92">
        <f>IF(OR(H97="",AI97=0),0,IF(INDEX(Samples[樣品重複筆數],AI97)=1,AI97,0))</f>
        <v/>
      </c>
      <c r="J97" s="92">
        <f>IF(OR(COUNTA($A97:$D97)=0,I97=0),"",IF(INDEX(Samples[介質],I97)="","",INDEX(Samples[介質],I97)))</f>
        <v/>
      </c>
      <c r="K97" s="92">
        <f>IF(OR(COUNTA($A97:$D97)=0,T97=0),"",IF(INDEX(DB_04[標準單位],T97)="","",INDEX(DB_04[標準單位],T97)))</f>
        <v/>
      </c>
      <c r="L97" s="92">
        <f>IF(COUNTA($A97:$D97)=0,"",IF(OR(C97="",K97=""),"",IF(C97=K97,1,IF(COUNTIFS(DB_06[換算鍵],C97&amp;"|"&amp;K97,DB_06[換算檢查],"OK")=1,INDEX(DB_06[乘數],MATCH(C97&amp;"|"&amp;K97,DB_06[換算鍵],0)),""))))</f>
        <v/>
      </c>
      <c r="M97" s="92">
        <f>UPPER(SUBSTITUTE(SUBSTITUTE(SUBSTITUTE(SUBSTITUTE(TRIM(B97&amp;""),"＜","&lt;"),"＞","&gt;"),"≤","&lt;="),"≥","&gt;="))</f>
        <v/>
      </c>
      <c r="N97" s="92">
        <f>IF(M97="","",IF(OR(M97="ND",M97="N.D."),"ND",IF(OR(M97="NA",M97="N/A",M97="N.A."),"NA",IF(OR(LEFT(M97,2)="&lt;=",LEFT(M97,2)="&gt;="),LEFT(M97,2),IF(OR(LEFT(M97,1)="&lt;",LEFT(M97,1)="&gt;"),LEFT(M97,1),"數值")))))</f>
        <v/>
      </c>
      <c r="O97" s="92">
        <f>IF(OR(N97="",N97="ND",N97="NA"),"",IF(N97="數值",M97,TRIM(MID(M97,LEN(N97)+1,99))))</f>
        <v/>
      </c>
      <c r="P97" s="92">
        <f>IF(O97="","",IFERROR(IF(OR(OR(ISNUMBER(SEARCH("%",O97)),ISNUMBER(SEARCH(" ",O97)),ISNUMBER(SEARCH(",",O97))),OR(SUBSTITUTE(SUBSTITUTE(SUBSTITUTE(SUBSTITUTE(SUBSTITUTE(SUBSTITUTE(SUBSTITUTE(SUBSTITUTE(SUBSTITUTE(SUBSTITUTE(SUBSTITUTE(SUBSTITUTE(SUBSTITUTE(SUBSTITUTE(SUBSTITUTE(SUBSTITUTE(SUBSTITUTE(SUBSTITUTE("x"&amp;O97,"0",""),"1",""),"2",""),"3",""),"4",""),"5",""),"6",""),"7",""),"8",""),"9",""),".",""),"E",""),"+",""),"-",""),"&lt;",""),"&gt;",""),"=","")," ","")&lt;&gt;"x",ISNUMBER(SEARCH("-",SUBSTITUTE(SUBSTITUTE("x"&amp;MID(O97,2,99),"E-","E"),"E+","E"))),ISNUMBER(SEARCH("+",SUBSTITUTE(SUBSTITUTE("x"&amp;MID(O97,2,99),"E-","E"),"E+","E"))))),"",IF(ISNUMBER(AH97),AH97,NA())),""))</f>
        <v/>
      </c>
      <c r="Q97" s="92">
        <f>IF(AND(ISNUMBER(L97),ISNUMBER(P97)),L97*P97,"")</f>
        <v/>
      </c>
      <c r="R97" s="92">
        <f>IF(OR(COUNTA($A97:$D97)=0,U97=0),"",IF(INDEX(DB_05[管制設定值],U97)="","",INDEX(DB_05[管制設定值],U97)))</f>
        <v/>
      </c>
      <c r="S97" s="92">
        <f>IF(OR(COUNTA($A97:$D97)=0,U97=0),"",IF(INDEX(DB_05[監測設定值],U97)="","",INDEX(DB_05[監測設定值],U97)))</f>
        <v/>
      </c>
      <c r="T97" s="92">
        <f>IF(COUNTA($A97:$D97)=0,"",IF(COUNTIFS(DB_04[測項鍵],V97)=1,MATCH(V97,DB_04[測項鍵],0),0))</f>
        <v/>
      </c>
      <c r="U97" s="92">
        <f>IF(COUNTA($A97:$D97)=0,"",IF(COUNTIFS(DB_05[標準鍵],W97)=1,MATCH(W97,DB_05[標準鍵],0),0))</f>
        <v/>
      </c>
      <c r="V97" s="92">
        <f>IF(OR(J97="",A97=""),"",J97&amp;"|"&amp;A97)</f>
        <v/>
      </c>
      <c r="W97" s="92">
        <f>IF(OR('07_QAQC'!$C$3="",V97=""),"",'07_QAQC'!$C$3&amp;"|"&amp;V97)</f>
        <v/>
      </c>
      <c r="X97" s="92">
        <f>IF(OR(H97="",A97=""),"",LEN(H97)&amp;":"&amp;H97&amp;LEN(A97)&amp;":"&amp;A97)</f>
        <v/>
      </c>
      <c r="Y97" s="93">
        <f>IF(COUNTA($A97:$D97)=0,"",IF(I97=0,"樣品未建或重複",IF(INDEX(Samples[樣品檢查],I97)="","OK",INDEX(Samples[樣品檢查],I97))))</f>
        <v/>
      </c>
      <c r="Z97" s="93">
        <f>IF(COUNTA($A97:$D97)=0,"",IF(B97="","缺原始值",IF(OR(B97="-",B97="--"),"無資料",IF(N97="NA","不適用",IF(N97="ND","OK",IF(NOT(ISNUMBER(P97)),"格式待核",IF(AND(N97&lt;&gt;"數值",P97&lt;0),"界限不得為負","OK")))))))</f>
        <v/>
      </c>
      <c r="AA97" s="93">
        <f>IF(COUNTA(A97:D97)=0,"",IF(OR(A97="",H97=""),"缺識別欄位",IF(IF(LEN("="&amp;SUBSTITUTE(SUBSTITUTE(SUBSTITUTE(X97,"~","~~"),"*","~*"),"?","~?"))&lt;=255,COUNTIF(Results[結果識別鍵],"="&amp;SUBSTITUTE(SUBSTITUTE(SUBSTITUTE(X97,"~","~~"),"*","~*"),"?","~?")),COUNTIFS(Results[關聯鍵],"="&amp;SUBSTITUTE(SUBSTITUTE(SUBSTITUTE(H97,"~","~~"),"*","~*"),"?","~?"),Results[分析項目],"="&amp;SUBSTITUTE(SUBSTITUTE(SUBSTITUTE(A97,"~","~~"),"*","~*"),"?","~?")))&gt;1,"同關聯鍵測項重複","OK")))</f>
        <v/>
      </c>
      <c r="AB97" s="93">
        <f>IF(COUNTA($A97:$D97)=0,"",IF(OR(C97="",K97=""),"缺單位",IF(NOT(ISNUMBER(L97)),"單位不相容",IF(L97=1,"OK","已換算"))))</f>
        <v/>
      </c>
      <c r="AC97" s="93">
        <f>IF(COUNTA($A97:$D97)=0,"",IF('07_QAQC'!$C$3="","未選比較版本",IF(U97=0,IF(COUNTIFS(DB_05[標準鍵],W97)&gt;1,"標準鍵重複","未訂此介質／測項門檻"),IF(INDEX(DB_05[版本檢查],U97)&lt;&gt;"OK","標準主檔待核",IF(INDEX(DB_05[標準單位],U97)&lt;&gt;K97,"標準單位不符",IF(INDEX(DB_05[核對狀態],U97)="停用","停用",IF(F97="","缺採樣日期",IF(OR(AND(INDEX(DB_05[生效日],U97)&lt;&gt;"",F97&lt;INDEX(DB_05[生效日],U97)),AND(INDEX(DB_05[失效日],U97)&lt;&gt;"",F97&gt;INDEX(DB_05[失效日],U97))),"日期不適用",INDEX(DB_05[核對狀態],U97)))))))))</f>
        <v/>
      </c>
      <c r="AD97" s="93">
        <f>IF(COUNTA($A97:$D97)=0,"",IF(AC97="未訂此介質／測項門檻",AC97,IF(AC97&lt;&gt;"已核對","標準待核",IF(R97="","未訂管制值",IF(NOT(ISNUMBER(L97)),"單位待核",IF(N97="ND","無法判定（ND無界限）",IF(N97="NA","不適用",IF(Z97&lt;&gt;"OK",Z97,IF(N97="數值",IF(Q97&gt;=R97,"達管制值","未達管制值"),IF(OR(N97="&lt;",N97="&lt;="),IF(OR(Q97&lt;R97,AND(N97="&lt;",Q97=R97)),"未達管制值","無法判定"),IF(OR(N97="&gt;",N97="&gt;="),IF(Q97&gt;=R97,"達管制值","無法判定"),"格式待核")))))))))))</f>
        <v/>
      </c>
      <c r="AE97" s="93">
        <f>IF(COUNTA($A97:$D97)=0,"",IF(AC97="未訂此介質／測項門檻",AC97,IF(AC97&lt;&gt;"已核對","標準待核",IF(S97="","未訂監測值",IF(NOT(ISNUMBER(L97)),"單位待核",IF(N97="ND","無法判定（ND無界限）",IF(N97="NA","不適用",IF(Z97&lt;&gt;"OK",Z97,IF(N97="數值",IF(Q97&gt;=S97,"達監測值","未達監測值"),IF(OR(N97="&lt;",N97="&lt;="),IF(OR(Q97&lt;S97,AND(N97="&lt;",Q97=S97)),"未達監測值","無法判定"),IF(OR(N97="&gt;",N97="&gt;="),IF(Q97&gt;=S97,"達監測值","無法判定"),"格式待核")))))))))))</f>
        <v/>
      </c>
      <c r="AF97" s="93">
        <f>IF(COUNTA($A97:$D97)=0,"",IF(OR(E97="",A97="",B97="",C97=""),"缺必要欄位",IF(Y97&lt;&gt;"OK","樣品資料待補",IF(T97=0,"測項未建或重複",IF(INDEX(DB_04[啟用],T97)&lt;&gt;"是","測項停用",IF(AND(Z97&lt;&gt;"OK",Z97&lt;&gt;"不適用"),Z97,IF(AND(AB97&lt;&gt;"OK",AB97&lt;&gt;"已換算"),"單位待核",IF(AA97&lt;&gt;"OK",AA97,"OK"))))))))</f>
        <v/>
      </c>
      <c r="AG97" s="93">
        <f>IF(COUNTA($A97:$D97)=0,"",IF(N97="ND","ND取0",IF(OR(N97="&lt;",N97="&lt;="),"界限除以2",IF(N97="NA","不適用",IF(OR(N97="&gt;",N97="&gt;="),"保留界限數值","保留原數值")))))</f>
        <v/>
      </c>
      <c r="AH97" s="92">
        <f>IF(O97="","",IFERROR(_xlfn.NUMBERVALUE(O97,".",","),""))</f>
        <v/>
      </c>
      <c r="AI97" s="92">
        <f>IF(H97="","",IFERROR(MATCH(H97,Samples[樣品編號],0),0))</f>
        <v/>
      </c>
    </row>
    <row r="98">
      <c r="A98" s="27" t="inlineStr">
        <is>
          <t>鋅</t>
        </is>
      </c>
      <c r="B98" s="28" t="inlineStr">
        <is>
          <t>102</t>
        </is>
      </c>
      <c r="C98" s="27" t="inlineStr">
        <is>
          <t>mg/kg</t>
        </is>
      </c>
      <c r="D98" s="39" t="inlineStr">
        <is>
          <t>合成資料，非實測；method=XRF; basis=dry</t>
        </is>
      </c>
      <c r="E98" s="29">
        <f>IF(OR(I98="",I98=0),"",IF(INDEX(Samples[監測點],I98)="","",INDEX(Samples[監測點],I98)))</f>
        <v/>
      </c>
      <c r="F98" s="90">
        <f>IF(OR(I98="",I98=0),"",IF(INDEX(Samples[採樣日期],I98)="","",INDEX(Samples[採樣日期],I98)))</f>
        <v/>
      </c>
      <c r="G98" s="91">
        <f>IF(OR(M98="",M98="NA",M98="N/A"),"",IF(OR(M98="ND",M98="N.D."),0,IFERROR(IF(OR(OR(ISNUMBER(SEARCH("%",O98)),ISNUMBER(SEARCH(" ",O98)),ISNUMBER(SEARCH(",",O98))),OR(SUBSTITUTE(SUBSTITUTE(SUBSTITUTE(SUBSTITUTE(SUBSTITUTE(SUBSTITUTE(SUBSTITUTE(SUBSTITUTE(SUBSTITUTE(SUBSTITUTE(SUBSTITUTE(SUBSTITUTE(SUBSTITUTE(SUBSTITUTE(SUBSTITUTE(SUBSTITUTE(SUBSTITUTE(SUBSTITUTE("x"&amp;M98,"0",""),"1",""),"2",""),"3",""),"4",""),"5",""),"6",""),"7",""),"8",""),"9",""),".",""),"E",""),"+",""),"-",""),"&lt;",""),"&gt;",""),"=","")," ","")&lt;&gt;"x",ISNUMBER(SEARCH("-",SUBSTITUTE(SUBSTITUTE("x"&amp;MID(M98,2,99),"E-","E"),"E+","E"))),ISNUMBER(SEARCH("+",SUBSTITUTE(SUBSTITUTE("x"&amp;MID(M98,2,99),"E-","E"),"E+","E"))))),"",IF(AND(OR(LEFT(M98,1)="&lt;",LEFT(M98,1)="&gt;"),IF(O98="",0,IF(ISNUMBER(AH98),AH98,NA()))&lt;0),"",IF(O98="",0,IF(ISNUMBER(AH98),AH98,NA()))/IF(LEFT(M98,1)="&lt;",2,1))),"")))</f>
        <v/>
      </c>
      <c r="H98" s="57" t="inlineStr">
        <is>
          <t>BH03-S_20260115_01</t>
        </is>
      </c>
      <c r="I98" s="92">
        <f>IF(OR(H98="",AI98=0),0,IF(INDEX(Samples[樣品重複筆數],AI98)=1,AI98,0))</f>
        <v/>
      </c>
      <c r="J98" s="92">
        <f>IF(OR(COUNTA($A98:$D98)=0,I98=0),"",IF(INDEX(Samples[介質],I98)="","",INDEX(Samples[介質],I98)))</f>
        <v/>
      </c>
      <c r="K98" s="92">
        <f>IF(OR(COUNTA($A98:$D98)=0,T98=0),"",IF(INDEX(DB_04[標準單位],T98)="","",INDEX(DB_04[標準單位],T98)))</f>
        <v/>
      </c>
      <c r="L98" s="92">
        <f>IF(COUNTA($A98:$D98)=0,"",IF(OR(C98="",K98=""),"",IF(C98=K98,1,IF(COUNTIFS(DB_06[換算鍵],C98&amp;"|"&amp;K98,DB_06[換算檢查],"OK")=1,INDEX(DB_06[乘數],MATCH(C98&amp;"|"&amp;K98,DB_06[換算鍵],0)),""))))</f>
        <v/>
      </c>
      <c r="M98" s="92">
        <f>UPPER(SUBSTITUTE(SUBSTITUTE(SUBSTITUTE(SUBSTITUTE(TRIM(B98&amp;""),"＜","&lt;"),"＞","&gt;"),"≤","&lt;="),"≥","&gt;="))</f>
        <v/>
      </c>
      <c r="N98" s="92">
        <f>IF(M98="","",IF(OR(M98="ND",M98="N.D."),"ND",IF(OR(M98="NA",M98="N/A",M98="N.A."),"NA",IF(OR(LEFT(M98,2)="&lt;=",LEFT(M98,2)="&gt;="),LEFT(M98,2),IF(OR(LEFT(M98,1)="&lt;",LEFT(M98,1)="&gt;"),LEFT(M98,1),"數值")))))</f>
        <v/>
      </c>
      <c r="O98" s="92">
        <f>IF(OR(N98="",N98="ND",N98="NA"),"",IF(N98="數值",M98,TRIM(MID(M98,LEN(N98)+1,99))))</f>
        <v/>
      </c>
      <c r="P98" s="92">
        <f>IF(O98="","",IFERROR(IF(OR(OR(ISNUMBER(SEARCH("%",O98)),ISNUMBER(SEARCH(" ",O98)),ISNUMBER(SEARCH(",",O98))),OR(SUBSTITUTE(SUBSTITUTE(SUBSTITUTE(SUBSTITUTE(SUBSTITUTE(SUBSTITUTE(SUBSTITUTE(SUBSTITUTE(SUBSTITUTE(SUBSTITUTE(SUBSTITUTE(SUBSTITUTE(SUBSTITUTE(SUBSTITUTE(SUBSTITUTE(SUBSTITUTE(SUBSTITUTE(SUBSTITUTE("x"&amp;O98,"0",""),"1",""),"2",""),"3",""),"4",""),"5",""),"6",""),"7",""),"8",""),"9",""),".",""),"E",""),"+",""),"-",""),"&lt;",""),"&gt;",""),"=","")," ","")&lt;&gt;"x",ISNUMBER(SEARCH("-",SUBSTITUTE(SUBSTITUTE("x"&amp;MID(O98,2,99),"E-","E"),"E+","E"))),ISNUMBER(SEARCH("+",SUBSTITUTE(SUBSTITUTE("x"&amp;MID(O98,2,99),"E-","E"),"E+","E"))))),"",IF(ISNUMBER(AH98),AH98,NA())),""))</f>
        <v/>
      </c>
      <c r="Q98" s="92">
        <f>IF(AND(ISNUMBER(L98),ISNUMBER(P98)),L98*P98,"")</f>
        <v/>
      </c>
      <c r="R98" s="92">
        <f>IF(OR(COUNTA($A98:$D98)=0,U98=0),"",IF(INDEX(DB_05[管制設定值],U98)="","",INDEX(DB_05[管制設定值],U98)))</f>
        <v/>
      </c>
      <c r="S98" s="92">
        <f>IF(OR(COUNTA($A98:$D98)=0,U98=0),"",IF(INDEX(DB_05[監測設定值],U98)="","",INDEX(DB_05[監測設定值],U98)))</f>
        <v/>
      </c>
      <c r="T98" s="92">
        <f>IF(COUNTA($A98:$D98)=0,"",IF(COUNTIFS(DB_04[測項鍵],V98)=1,MATCH(V98,DB_04[測項鍵],0),0))</f>
        <v/>
      </c>
      <c r="U98" s="92">
        <f>IF(COUNTA($A98:$D98)=0,"",IF(COUNTIFS(DB_05[標準鍵],W98)=1,MATCH(W98,DB_05[標準鍵],0),0))</f>
        <v/>
      </c>
      <c r="V98" s="92">
        <f>IF(OR(J98="",A98=""),"",J98&amp;"|"&amp;A98)</f>
        <v/>
      </c>
      <c r="W98" s="92">
        <f>IF(OR('07_QAQC'!$C$3="",V98=""),"",'07_QAQC'!$C$3&amp;"|"&amp;V98)</f>
        <v/>
      </c>
      <c r="X98" s="92">
        <f>IF(OR(H98="",A98=""),"",LEN(H98)&amp;":"&amp;H98&amp;LEN(A98)&amp;":"&amp;A98)</f>
        <v/>
      </c>
      <c r="Y98" s="93">
        <f>IF(COUNTA($A98:$D98)=0,"",IF(I98=0,"樣品未建或重複",IF(INDEX(Samples[樣品檢查],I98)="","OK",INDEX(Samples[樣品檢查],I98))))</f>
        <v/>
      </c>
      <c r="Z98" s="93">
        <f>IF(COUNTA($A98:$D98)=0,"",IF(B98="","缺原始值",IF(OR(B98="-",B98="--"),"無資料",IF(N98="NA","不適用",IF(N98="ND","OK",IF(NOT(ISNUMBER(P98)),"格式待核",IF(AND(N98&lt;&gt;"數值",P98&lt;0),"界限不得為負","OK")))))))</f>
        <v/>
      </c>
      <c r="AA98" s="93">
        <f>IF(COUNTA(A98:D98)=0,"",IF(OR(A98="",H98=""),"缺識別欄位",IF(IF(LEN("="&amp;SUBSTITUTE(SUBSTITUTE(SUBSTITUTE(X98,"~","~~"),"*","~*"),"?","~?"))&lt;=255,COUNTIF(Results[結果識別鍵],"="&amp;SUBSTITUTE(SUBSTITUTE(SUBSTITUTE(X98,"~","~~"),"*","~*"),"?","~?")),COUNTIFS(Results[關聯鍵],"="&amp;SUBSTITUTE(SUBSTITUTE(SUBSTITUTE(H98,"~","~~"),"*","~*"),"?","~?"),Results[分析項目],"="&amp;SUBSTITUTE(SUBSTITUTE(SUBSTITUTE(A98,"~","~~"),"*","~*"),"?","~?")))&gt;1,"同關聯鍵測項重複","OK")))</f>
        <v/>
      </c>
      <c r="AB98" s="93">
        <f>IF(COUNTA($A98:$D98)=0,"",IF(OR(C98="",K98=""),"缺單位",IF(NOT(ISNUMBER(L98)),"單位不相容",IF(L98=1,"OK","已換算"))))</f>
        <v/>
      </c>
      <c r="AC98" s="93">
        <f>IF(COUNTA($A98:$D98)=0,"",IF('07_QAQC'!$C$3="","未選比較版本",IF(U98=0,IF(COUNTIFS(DB_05[標準鍵],W98)&gt;1,"標準鍵重複","未訂此介質／測項門檻"),IF(INDEX(DB_05[版本檢查],U98)&lt;&gt;"OK","標準主檔待核",IF(INDEX(DB_05[標準單位],U98)&lt;&gt;K98,"標準單位不符",IF(INDEX(DB_05[核對狀態],U98)="停用","停用",IF(F98="","缺採樣日期",IF(OR(AND(INDEX(DB_05[生效日],U98)&lt;&gt;"",F98&lt;INDEX(DB_05[生效日],U98)),AND(INDEX(DB_05[失效日],U98)&lt;&gt;"",F98&gt;INDEX(DB_05[失效日],U98))),"日期不適用",INDEX(DB_05[核對狀態],U98)))))))))</f>
        <v/>
      </c>
      <c r="AD98" s="93">
        <f>IF(COUNTA($A98:$D98)=0,"",IF(AC98="未訂此介質／測項門檻",AC98,IF(AC98&lt;&gt;"已核對","標準待核",IF(R98="","未訂管制值",IF(NOT(ISNUMBER(L98)),"單位待核",IF(N98="ND","無法判定（ND無界限）",IF(N98="NA","不適用",IF(Z98&lt;&gt;"OK",Z98,IF(N98="數值",IF(Q98&gt;=R98,"達管制值","未達管制值"),IF(OR(N98="&lt;",N98="&lt;="),IF(OR(Q98&lt;R98,AND(N98="&lt;",Q98=R98)),"未達管制值","無法判定"),IF(OR(N98="&gt;",N98="&gt;="),IF(Q98&gt;=R98,"達管制值","無法判定"),"格式待核")))))))))))</f>
        <v/>
      </c>
      <c r="AE98" s="93">
        <f>IF(COUNTA($A98:$D98)=0,"",IF(AC98="未訂此介質／測項門檻",AC98,IF(AC98&lt;&gt;"已核對","標準待核",IF(S98="","未訂監測值",IF(NOT(ISNUMBER(L98)),"單位待核",IF(N98="ND","無法判定（ND無界限）",IF(N98="NA","不適用",IF(Z98&lt;&gt;"OK",Z98,IF(N98="數值",IF(Q98&gt;=S98,"達監測值","未達監測值"),IF(OR(N98="&lt;",N98="&lt;="),IF(OR(Q98&lt;S98,AND(N98="&lt;",Q98=S98)),"未達監測值","無法判定"),IF(OR(N98="&gt;",N98="&gt;="),IF(Q98&gt;=S98,"達監測值","無法判定"),"格式待核")))))))))))</f>
        <v/>
      </c>
      <c r="AF98" s="93">
        <f>IF(COUNTA($A98:$D98)=0,"",IF(OR(E98="",A98="",B98="",C98=""),"缺必要欄位",IF(Y98&lt;&gt;"OK","樣品資料待補",IF(T98=0,"測項未建或重複",IF(INDEX(DB_04[啟用],T98)&lt;&gt;"是","測項停用",IF(AND(Z98&lt;&gt;"OK",Z98&lt;&gt;"不適用"),Z98,IF(AND(AB98&lt;&gt;"OK",AB98&lt;&gt;"已換算"),"單位待核",IF(AA98&lt;&gt;"OK",AA98,"OK"))))))))</f>
        <v/>
      </c>
      <c r="AG98" s="93">
        <f>IF(COUNTA($A98:$D98)=0,"",IF(N98="ND","ND取0",IF(OR(N98="&lt;",N98="&lt;="),"界限除以2",IF(N98="NA","不適用",IF(OR(N98="&gt;",N98="&gt;="),"保留界限數值","保留原數值")))))</f>
        <v/>
      </c>
      <c r="AH98" s="92">
        <f>IF(O98="","",IFERROR(_xlfn.NUMBERVALUE(O98,".",","),""))</f>
        <v/>
      </c>
      <c r="AI98" s="92">
        <f>IF(H98="","",IFERROR(MATCH(H98,Samples[樣品編號],0),0))</f>
        <v/>
      </c>
    </row>
    <row r="99">
      <c r="A99" s="27" t="inlineStr">
        <is>
          <t>總有機碳</t>
        </is>
      </c>
      <c r="B99" s="28" t="inlineStr">
        <is>
          <t>0.38</t>
        </is>
      </c>
      <c r="C99" s="27" t="inlineStr">
        <is>
          <t>%</t>
        </is>
      </c>
      <c r="D99" s="39" t="inlineStr">
        <is>
          <t>合成資料，非實測；method=lab; basis=dry</t>
        </is>
      </c>
      <c r="E99" s="29">
        <f>IF(OR(I99="",I99=0),"",IF(INDEX(Samples[監測點],I99)="","",INDEX(Samples[監測點],I99)))</f>
        <v/>
      </c>
      <c r="F99" s="90">
        <f>IF(OR(I99="",I99=0),"",IF(INDEX(Samples[採樣日期],I99)="","",INDEX(Samples[採樣日期],I99)))</f>
        <v/>
      </c>
      <c r="G99" s="91">
        <f>IF(OR(M99="",M99="NA",M99="N/A"),"",IF(OR(M99="ND",M99="N.D."),0,IFERROR(IF(OR(OR(ISNUMBER(SEARCH("%",O99)),ISNUMBER(SEARCH(" ",O99)),ISNUMBER(SEARCH(",",O99))),OR(SUBSTITUTE(SUBSTITUTE(SUBSTITUTE(SUBSTITUTE(SUBSTITUTE(SUBSTITUTE(SUBSTITUTE(SUBSTITUTE(SUBSTITUTE(SUBSTITUTE(SUBSTITUTE(SUBSTITUTE(SUBSTITUTE(SUBSTITUTE(SUBSTITUTE(SUBSTITUTE(SUBSTITUTE(SUBSTITUTE("x"&amp;M99,"0",""),"1",""),"2",""),"3",""),"4",""),"5",""),"6",""),"7",""),"8",""),"9",""),".",""),"E",""),"+",""),"-",""),"&lt;",""),"&gt;",""),"=","")," ","")&lt;&gt;"x",ISNUMBER(SEARCH("-",SUBSTITUTE(SUBSTITUTE("x"&amp;MID(M99,2,99),"E-","E"),"E+","E"))),ISNUMBER(SEARCH("+",SUBSTITUTE(SUBSTITUTE("x"&amp;MID(M99,2,99),"E-","E"),"E+","E"))))),"",IF(AND(OR(LEFT(M99,1)="&lt;",LEFT(M99,1)="&gt;"),IF(O99="",0,IF(ISNUMBER(AH99),AH99,NA()))&lt;0),"",IF(O99="",0,IF(ISNUMBER(AH99),AH99,NA()))/IF(LEFT(M99,1)="&lt;",2,1))),"")))</f>
        <v/>
      </c>
      <c r="H99" s="57" t="inlineStr">
        <is>
          <t>BH03-S_20260115_01</t>
        </is>
      </c>
      <c r="I99" s="92">
        <f>IF(OR(H99="",AI99=0),0,IF(INDEX(Samples[樣品重複筆數],AI99)=1,AI99,0))</f>
        <v/>
      </c>
      <c r="J99" s="92">
        <f>IF(OR(COUNTA($A99:$D99)=0,I99=0),"",IF(INDEX(Samples[介質],I99)="","",INDEX(Samples[介質],I99)))</f>
        <v/>
      </c>
      <c r="K99" s="92">
        <f>IF(OR(COUNTA($A99:$D99)=0,T99=0),"",IF(INDEX(DB_04[標準單位],T99)="","",INDEX(DB_04[標準單位],T99)))</f>
        <v/>
      </c>
      <c r="L99" s="92">
        <f>IF(COUNTA($A99:$D99)=0,"",IF(OR(C99="",K99=""),"",IF(C99=K99,1,IF(COUNTIFS(DB_06[換算鍵],C99&amp;"|"&amp;K99,DB_06[換算檢查],"OK")=1,INDEX(DB_06[乘數],MATCH(C99&amp;"|"&amp;K99,DB_06[換算鍵],0)),""))))</f>
        <v/>
      </c>
      <c r="M99" s="92">
        <f>UPPER(SUBSTITUTE(SUBSTITUTE(SUBSTITUTE(SUBSTITUTE(TRIM(B99&amp;""),"＜","&lt;"),"＞","&gt;"),"≤","&lt;="),"≥","&gt;="))</f>
        <v/>
      </c>
      <c r="N99" s="92">
        <f>IF(M99="","",IF(OR(M99="ND",M99="N.D."),"ND",IF(OR(M99="NA",M99="N/A",M99="N.A."),"NA",IF(OR(LEFT(M99,2)="&lt;=",LEFT(M99,2)="&gt;="),LEFT(M99,2),IF(OR(LEFT(M99,1)="&lt;",LEFT(M99,1)="&gt;"),LEFT(M99,1),"數值")))))</f>
        <v/>
      </c>
      <c r="O99" s="92">
        <f>IF(OR(N99="",N99="ND",N99="NA"),"",IF(N99="數值",M99,TRIM(MID(M99,LEN(N99)+1,99))))</f>
        <v/>
      </c>
      <c r="P99" s="92">
        <f>IF(O99="","",IFERROR(IF(OR(OR(ISNUMBER(SEARCH("%",O99)),ISNUMBER(SEARCH(" ",O99)),ISNUMBER(SEARCH(",",O99))),OR(SUBSTITUTE(SUBSTITUTE(SUBSTITUTE(SUBSTITUTE(SUBSTITUTE(SUBSTITUTE(SUBSTITUTE(SUBSTITUTE(SUBSTITUTE(SUBSTITUTE(SUBSTITUTE(SUBSTITUTE(SUBSTITUTE(SUBSTITUTE(SUBSTITUTE(SUBSTITUTE(SUBSTITUTE(SUBSTITUTE("x"&amp;O99,"0",""),"1",""),"2",""),"3",""),"4",""),"5",""),"6",""),"7",""),"8",""),"9",""),".",""),"E",""),"+",""),"-",""),"&lt;",""),"&gt;",""),"=","")," ","")&lt;&gt;"x",ISNUMBER(SEARCH("-",SUBSTITUTE(SUBSTITUTE("x"&amp;MID(O99,2,99),"E-","E"),"E+","E"))),ISNUMBER(SEARCH("+",SUBSTITUTE(SUBSTITUTE("x"&amp;MID(O99,2,99),"E-","E"),"E+","E"))))),"",IF(ISNUMBER(AH99),AH99,NA())),""))</f>
        <v/>
      </c>
      <c r="Q99" s="92">
        <f>IF(AND(ISNUMBER(L99),ISNUMBER(P99)),L99*P99,"")</f>
        <v/>
      </c>
      <c r="R99" s="92">
        <f>IF(OR(COUNTA($A99:$D99)=0,U99=0),"",IF(INDEX(DB_05[管制設定值],U99)="","",INDEX(DB_05[管制設定值],U99)))</f>
        <v/>
      </c>
      <c r="S99" s="92">
        <f>IF(OR(COUNTA($A99:$D99)=0,U99=0),"",IF(INDEX(DB_05[監測設定值],U99)="","",INDEX(DB_05[監測設定值],U99)))</f>
        <v/>
      </c>
      <c r="T99" s="92">
        <f>IF(COUNTA($A99:$D99)=0,"",IF(COUNTIFS(DB_04[測項鍵],V99)=1,MATCH(V99,DB_04[測項鍵],0),0))</f>
        <v/>
      </c>
      <c r="U99" s="92">
        <f>IF(COUNTA($A99:$D99)=0,"",IF(COUNTIFS(DB_05[標準鍵],W99)=1,MATCH(W99,DB_05[標準鍵],0),0))</f>
        <v/>
      </c>
      <c r="V99" s="92">
        <f>IF(OR(J99="",A99=""),"",J99&amp;"|"&amp;A99)</f>
        <v/>
      </c>
      <c r="W99" s="92">
        <f>IF(OR('07_QAQC'!$C$3="",V99=""),"",'07_QAQC'!$C$3&amp;"|"&amp;V99)</f>
        <v/>
      </c>
      <c r="X99" s="92">
        <f>IF(OR(H99="",A99=""),"",LEN(H99)&amp;":"&amp;H99&amp;LEN(A99)&amp;":"&amp;A99)</f>
        <v/>
      </c>
      <c r="Y99" s="93">
        <f>IF(COUNTA($A99:$D99)=0,"",IF(I99=0,"樣品未建或重複",IF(INDEX(Samples[樣品檢查],I99)="","OK",INDEX(Samples[樣品檢查],I99))))</f>
        <v/>
      </c>
      <c r="Z99" s="93">
        <f>IF(COUNTA($A99:$D99)=0,"",IF(B99="","缺原始值",IF(OR(B99="-",B99="--"),"無資料",IF(N99="NA","不適用",IF(N99="ND","OK",IF(NOT(ISNUMBER(P99)),"格式待核",IF(AND(N99&lt;&gt;"數值",P99&lt;0),"界限不得為負","OK")))))))</f>
        <v/>
      </c>
      <c r="AA99" s="93">
        <f>IF(COUNTA(A99:D99)=0,"",IF(OR(A99="",H99=""),"缺識別欄位",IF(IF(LEN("="&amp;SUBSTITUTE(SUBSTITUTE(SUBSTITUTE(X99,"~","~~"),"*","~*"),"?","~?"))&lt;=255,COUNTIF(Results[結果識別鍵],"="&amp;SUBSTITUTE(SUBSTITUTE(SUBSTITUTE(X99,"~","~~"),"*","~*"),"?","~?")),COUNTIFS(Results[關聯鍵],"="&amp;SUBSTITUTE(SUBSTITUTE(SUBSTITUTE(H99,"~","~~"),"*","~*"),"?","~?"),Results[分析項目],"="&amp;SUBSTITUTE(SUBSTITUTE(SUBSTITUTE(A99,"~","~~"),"*","~*"),"?","~?")))&gt;1,"同關聯鍵測項重複","OK")))</f>
        <v/>
      </c>
      <c r="AB99" s="93">
        <f>IF(COUNTA($A99:$D99)=0,"",IF(OR(C99="",K99=""),"缺單位",IF(NOT(ISNUMBER(L99)),"單位不相容",IF(L99=1,"OK","已換算"))))</f>
        <v/>
      </c>
      <c r="AC99" s="93">
        <f>IF(COUNTA($A99:$D99)=0,"",IF('07_QAQC'!$C$3="","未選比較版本",IF(U99=0,IF(COUNTIFS(DB_05[標準鍵],W99)&gt;1,"標準鍵重複","未訂此介質／測項門檻"),IF(INDEX(DB_05[版本檢查],U99)&lt;&gt;"OK","標準主檔待核",IF(INDEX(DB_05[標準單位],U99)&lt;&gt;K99,"標準單位不符",IF(INDEX(DB_05[核對狀態],U99)="停用","停用",IF(F99="","缺採樣日期",IF(OR(AND(INDEX(DB_05[生效日],U99)&lt;&gt;"",F99&lt;INDEX(DB_05[生效日],U99)),AND(INDEX(DB_05[失效日],U99)&lt;&gt;"",F99&gt;INDEX(DB_05[失效日],U99))),"日期不適用",INDEX(DB_05[核對狀態],U99)))))))))</f>
        <v/>
      </c>
      <c r="AD99" s="93">
        <f>IF(COUNTA($A99:$D99)=0,"",IF(AC99="未訂此介質／測項門檻",AC99,IF(AC99&lt;&gt;"已核對","標準待核",IF(R99="","未訂管制值",IF(NOT(ISNUMBER(L99)),"單位待核",IF(N99="ND","無法判定（ND無界限）",IF(N99="NA","不適用",IF(Z99&lt;&gt;"OK",Z99,IF(N99="數值",IF(Q99&gt;=R99,"達管制值","未達管制值"),IF(OR(N99="&lt;",N99="&lt;="),IF(OR(Q99&lt;R99,AND(N99="&lt;",Q99=R99)),"未達管制值","無法判定"),IF(OR(N99="&gt;",N99="&gt;="),IF(Q99&gt;=R99,"達管制值","無法判定"),"格式待核")))))))))))</f>
        <v/>
      </c>
      <c r="AE99" s="93">
        <f>IF(COUNTA($A99:$D99)=0,"",IF(AC99="未訂此介質／測項門檻",AC99,IF(AC99&lt;&gt;"已核對","標準待核",IF(S99="","未訂監測值",IF(NOT(ISNUMBER(L99)),"單位待核",IF(N99="ND","無法判定（ND無界限）",IF(N99="NA","不適用",IF(Z99&lt;&gt;"OK",Z99,IF(N99="數值",IF(Q99&gt;=S99,"達監測值","未達監測值"),IF(OR(N99="&lt;",N99="&lt;="),IF(OR(Q99&lt;S99,AND(N99="&lt;",Q99=S99)),"未達監測值","無法判定"),IF(OR(N99="&gt;",N99="&gt;="),IF(Q99&gt;=S99,"達監測值","無法判定"),"格式待核")))))))))))</f>
        <v/>
      </c>
      <c r="AF99" s="93">
        <f>IF(COUNTA($A99:$D99)=0,"",IF(OR(E99="",A99="",B99="",C99=""),"缺必要欄位",IF(Y99&lt;&gt;"OK","樣品資料待補",IF(T99=0,"測項未建或重複",IF(INDEX(DB_04[啟用],T99)&lt;&gt;"是","測項停用",IF(AND(Z99&lt;&gt;"OK",Z99&lt;&gt;"不適用"),Z99,IF(AND(AB99&lt;&gt;"OK",AB99&lt;&gt;"已換算"),"單位待核",IF(AA99&lt;&gt;"OK",AA99,"OK"))))))))</f>
        <v/>
      </c>
      <c r="AG99" s="93">
        <f>IF(COUNTA($A99:$D99)=0,"",IF(N99="ND","ND取0",IF(OR(N99="&lt;",N99="&lt;="),"界限除以2",IF(N99="NA","不適用",IF(OR(N99="&gt;",N99="&gt;="),"保留界限數值","保留原數值")))))</f>
        <v/>
      </c>
      <c r="AH99" s="92">
        <f>IF(O99="","",IFERROR(_xlfn.NUMBERVALUE(O99,".",","),""))</f>
        <v/>
      </c>
      <c r="AI99" s="92">
        <f>IF(H99="","",IFERROR(MATCH(H99,Samples[樣品編號],0),0))</f>
        <v/>
      </c>
    </row>
    <row r="100">
      <c r="A100" s="27" t="inlineStr">
        <is>
          <t>pH</t>
        </is>
      </c>
      <c r="B100" s="28" t="inlineStr">
        <is>
          <t>6.67</t>
        </is>
      </c>
      <c r="C100" s="27" t="inlineStr">
        <is>
          <t>無因次</t>
        </is>
      </c>
      <c r="D100" s="39" t="inlineStr">
        <is>
          <t>合成資料，非實測；method=field</t>
        </is>
      </c>
      <c r="E100" s="29">
        <f>IF(OR(I100="",I100=0),"",IF(INDEX(Samples[監測點],I100)="","",INDEX(Samples[監測點],I100)))</f>
        <v/>
      </c>
      <c r="F100" s="90">
        <f>IF(OR(I100="",I100=0),"",IF(INDEX(Samples[採樣日期],I100)="","",INDEX(Samples[採樣日期],I100)))</f>
        <v/>
      </c>
      <c r="G100" s="91">
        <f>IF(OR(M100="",M100="NA",M100="N/A"),"",IF(OR(M100="ND",M100="N.D."),0,IFERROR(IF(OR(OR(ISNUMBER(SEARCH("%",O100)),ISNUMBER(SEARCH(" ",O100)),ISNUMBER(SEARCH(",",O100))),OR(SUBSTITUTE(SUBSTITUTE(SUBSTITUTE(SUBSTITUTE(SUBSTITUTE(SUBSTITUTE(SUBSTITUTE(SUBSTITUTE(SUBSTITUTE(SUBSTITUTE(SUBSTITUTE(SUBSTITUTE(SUBSTITUTE(SUBSTITUTE(SUBSTITUTE(SUBSTITUTE(SUBSTITUTE(SUBSTITUTE("x"&amp;M100,"0",""),"1",""),"2",""),"3",""),"4",""),"5",""),"6",""),"7",""),"8",""),"9",""),".",""),"E",""),"+",""),"-",""),"&lt;",""),"&gt;",""),"=","")," ","")&lt;&gt;"x",ISNUMBER(SEARCH("-",SUBSTITUTE(SUBSTITUTE("x"&amp;MID(M100,2,99),"E-","E"),"E+","E"))),ISNUMBER(SEARCH("+",SUBSTITUTE(SUBSTITUTE("x"&amp;MID(M100,2,99),"E-","E"),"E+","E"))))),"",IF(AND(OR(LEFT(M100,1)="&lt;",LEFT(M100,1)="&gt;"),IF(O100="",0,IF(ISNUMBER(AH100),AH100,NA()))&lt;0),"",IF(O100="",0,IF(ISNUMBER(AH100),AH100,NA()))/IF(LEFT(M100,1)="&lt;",2,1))),"")))</f>
        <v/>
      </c>
      <c r="H100" s="57" t="inlineStr">
        <is>
          <t>BH03-W_20260115_01</t>
        </is>
      </c>
      <c r="I100" s="92">
        <f>IF(OR(H100="",AI100=0),0,IF(INDEX(Samples[樣品重複筆數],AI100)=1,AI100,0))</f>
        <v/>
      </c>
      <c r="J100" s="92">
        <f>IF(OR(COUNTA($A100:$D100)=0,I100=0),"",IF(INDEX(Samples[介質],I100)="","",INDEX(Samples[介質],I100)))</f>
        <v/>
      </c>
      <c r="K100" s="92">
        <f>IF(OR(COUNTA($A100:$D100)=0,T100=0),"",IF(INDEX(DB_04[標準單位],T100)="","",INDEX(DB_04[標準單位],T100)))</f>
        <v/>
      </c>
      <c r="L100" s="92">
        <f>IF(COUNTA($A100:$D100)=0,"",IF(OR(C100="",K100=""),"",IF(C100=K100,1,IF(COUNTIFS(DB_06[換算鍵],C100&amp;"|"&amp;K100,DB_06[換算檢查],"OK")=1,INDEX(DB_06[乘數],MATCH(C100&amp;"|"&amp;K100,DB_06[換算鍵],0)),""))))</f>
        <v/>
      </c>
      <c r="M100" s="92">
        <f>UPPER(SUBSTITUTE(SUBSTITUTE(SUBSTITUTE(SUBSTITUTE(TRIM(B100&amp;""),"＜","&lt;"),"＞","&gt;"),"≤","&lt;="),"≥","&gt;="))</f>
        <v/>
      </c>
      <c r="N100" s="92">
        <f>IF(M100="","",IF(OR(M100="ND",M100="N.D."),"ND",IF(OR(M100="NA",M100="N/A",M100="N.A."),"NA",IF(OR(LEFT(M100,2)="&lt;=",LEFT(M100,2)="&gt;="),LEFT(M100,2),IF(OR(LEFT(M100,1)="&lt;",LEFT(M100,1)="&gt;"),LEFT(M100,1),"數值")))))</f>
        <v/>
      </c>
      <c r="O100" s="92">
        <f>IF(OR(N100="",N100="ND",N100="NA"),"",IF(N100="數值",M100,TRIM(MID(M100,LEN(N100)+1,99))))</f>
        <v/>
      </c>
      <c r="P100" s="92">
        <f>IF(O100="","",IFERROR(IF(OR(OR(ISNUMBER(SEARCH("%",O100)),ISNUMBER(SEARCH(" ",O100)),ISNUMBER(SEARCH(",",O100))),OR(SUBSTITUTE(SUBSTITUTE(SUBSTITUTE(SUBSTITUTE(SUBSTITUTE(SUBSTITUTE(SUBSTITUTE(SUBSTITUTE(SUBSTITUTE(SUBSTITUTE(SUBSTITUTE(SUBSTITUTE(SUBSTITUTE(SUBSTITUTE(SUBSTITUTE(SUBSTITUTE(SUBSTITUTE(SUBSTITUTE("x"&amp;O100,"0",""),"1",""),"2",""),"3",""),"4",""),"5",""),"6",""),"7",""),"8",""),"9",""),".",""),"E",""),"+",""),"-",""),"&lt;",""),"&gt;",""),"=","")," ","")&lt;&gt;"x",ISNUMBER(SEARCH("-",SUBSTITUTE(SUBSTITUTE("x"&amp;MID(O100,2,99),"E-","E"),"E+","E"))),ISNUMBER(SEARCH("+",SUBSTITUTE(SUBSTITUTE("x"&amp;MID(O100,2,99),"E-","E"),"E+","E"))))),"",IF(ISNUMBER(AH100),AH100,NA())),""))</f>
        <v/>
      </c>
      <c r="Q100" s="92">
        <f>IF(AND(ISNUMBER(L100),ISNUMBER(P100)),L100*P100,"")</f>
        <v/>
      </c>
      <c r="R100" s="92">
        <f>IF(OR(COUNTA($A100:$D100)=0,U100=0),"",IF(INDEX(DB_05[管制設定值],U100)="","",INDEX(DB_05[管制設定值],U100)))</f>
        <v/>
      </c>
      <c r="S100" s="92">
        <f>IF(OR(COUNTA($A100:$D100)=0,U100=0),"",IF(INDEX(DB_05[監測設定值],U100)="","",INDEX(DB_05[監測設定值],U100)))</f>
        <v/>
      </c>
      <c r="T100" s="92">
        <f>IF(COUNTA($A100:$D100)=0,"",IF(COUNTIFS(DB_04[測項鍵],V100)=1,MATCH(V100,DB_04[測項鍵],0),0))</f>
        <v/>
      </c>
      <c r="U100" s="92">
        <f>IF(COUNTA($A100:$D100)=0,"",IF(COUNTIFS(DB_05[標準鍵],W100)=1,MATCH(W100,DB_05[標準鍵],0),0))</f>
        <v/>
      </c>
      <c r="V100" s="92">
        <f>IF(OR(J100="",A100=""),"",J100&amp;"|"&amp;A100)</f>
        <v/>
      </c>
      <c r="W100" s="92">
        <f>IF(OR('07_QAQC'!$C$3="",V100=""),"",'07_QAQC'!$C$3&amp;"|"&amp;V100)</f>
        <v/>
      </c>
      <c r="X100" s="92">
        <f>IF(OR(H100="",A100=""),"",LEN(H100)&amp;":"&amp;H100&amp;LEN(A100)&amp;":"&amp;A100)</f>
        <v/>
      </c>
      <c r="Y100" s="93">
        <f>IF(COUNTA($A100:$D100)=0,"",IF(I100=0,"樣品未建或重複",IF(INDEX(Samples[樣品檢查],I100)="","OK",INDEX(Samples[樣品檢查],I100))))</f>
        <v/>
      </c>
      <c r="Z100" s="93">
        <f>IF(COUNTA($A100:$D100)=0,"",IF(B100="","缺原始值",IF(OR(B100="-",B100="--"),"無資料",IF(N100="NA","不適用",IF(N100="ND","OK",IF(NOT(ISNUMBER(P100)),"格式待核",IF(AND(N100&lt;&gt;"數值",P100&lt;0),"界限不得為負","OK")))))))</f>
        <v/>
      </c>
      <c r="AA100" s="93">
        <f>IF(COUNTA(A100:D100)=0,"",IF(OR(A100="",H100=""),"缺識別欄位",IF(IF(LEN("="&amp;SUBSTITUTE(SUBSTITUTE(SUBSTITUTE(X100,"~","~~"),"*","~*"),"?","~?"))&lt;=255,COUNTIF(Results[結果識別鍵],"="&amp;SUBSTITUTE(SUBSTITUTE(SUBSTITUTE(X100,"~","~~"),"*","~*"),"?","~?")),COUNTIFS(Results[關聯鍵],"="&amp;SUBSTITUTE(SUBSTITUTE(SUBSTITUTE(H100,"~","~~"),"*","~*"),"?","~?"),Results[分析項目],"="&amp;SUBSTITUTE(SUBSTITUTE(SUBSTITUTE(A100,"~","~~"),"*","~*"),"?","~?")))&gt;1,"同關聯鍵測項重複","OK")))</f>
        <v/>
      </c>
      <c r="AB100" s="93">
        <f>IF(COUNTA($A100:$D100)=0,"",IF(OR(C100="",K100=""),"缺單位",IF(NOT(ISNUMBER(L100)),"單位不相容",IF(L100=1,"OK","已換算"))))</f>
        <v/>
      </c>
      <c r="AC100" s="93">
        <f>IF(COUNTA($A100:$D100)=0,"",IF('07_QAQC'!$C$3="","未選比較版本",IF(U100=0,IF(COUNTIFS(DB_05[標準鍵],W100)&gt;1,"標準鍵重複","未訂此介質／測項門檻"),IF(INDEX(DB_05[版本檢查],U100)&lt;&gt;"OK","標準主檔待核",IF(INDEX(DB_05[標準單位],U100)&lt;&gt;K100,"標準單位不符",IF(INDEX(DB_05[核對狀態],U100)="停用","停用",IF(F100="","缺採樣日期",IF(OR(AND(INDEX(DB_05[生效日],U100)&lt;&gt;"",F100&lt;INDEX(DB_05[生效日],U100)),AND(INDEX(DB_05[失效日],U100)&lt;&gt;"",F100&gt;INDEX(DB_05[失效日],U100))),"日期不適用",INDEX(DB_05[核對狀態],U100)))))))))</f>
        <v/>
      </c>
      <c r="AD100" s="93">
        <f>IF(COUNTA($A100:$D100)=0,"",IF(AC100="未訂此介質／測項門檻",AC100,IF(AC100&lt;&gt;"已核對","標準待核",IF(R100="","未訂管制值",IF(NOT(ISNUMBER(L100)),"單位待核",IF(N100="ND","無法判定（ND無界限）",IF(N100="NA","不適用",IF(Z100&lt;&gt;"OK",Z100,IF(N100="數值",IF(Q100&gt;=R100,"達管制值","未達管制值"),IF(OR(N100="&lt;",N100="&lt;="),IF(OR(Q100&lt;R100,AND(N100="&lt;",Q100=R100)),"未達管制值","無法判定"),IF(OR(N100="&gt;",N100="&gt;="),IF(Q100&gt;=R100,"達管制值","無法判定"),"格式待核")))))))))))</f>
        <v/>
      </c>
      <c r="AE100" s="93">
        <f>IF(COUNTA($A100:$D100)=0,"",IF(AC100="未訂此介質／測項門檻",AC100,IF(AC100&lt;&gt;"已核對","標準待核",IF(S100="","未訂監測值",IF(NOT(ISNUMBER(L100)),"單位待核",IF(N100="ND","無法判定（ND無界限）",IF(N100="NA","不適用",IF(Z100&lt;&gt;"OK",Z100,IF(N100="數值",IF(Q100&gt;=S100,"達監測值","未達監測值"),IF(OR(N100="&lt;",N100="&lt;="),IF(OR(Q100&lt;S100,AND(N100="&lt;",Q100=S100)),"未達監測值","無法判定"),IF(OR(N100="&gt;",N100="&gt;="),IF(Q100&gt;=S100,"達監測值","無法判定"),"格式待核")))))))))))</f>
        <v/>
      </c>
      <c r="AF100" s="93">
        <f>IF(COUNTA($A100:$D100)=0,"",IF(OR(E100="",A100="",B100="",C100=""),"缺必要欄位",IF(Y100&lt;&gt;"OK","樣品資料待補",IF(T100=0,"測項未建或重複",IF(INDEX(DB_04[啟用],T100)&lt;&gt;"是","測項停用",IF(AND(Z100&lt;&gt;"OK",Z100&lt;&gt;"不適用"),Z100,IF(AND(AB100&lt;&gt;"OK",AB100&lt;&gt;"已換算"),"單位待核",IF(AA100&lt;&gt;"OK",AA100,"OK"))))))))</f>
        <v/>
      </c>
      <c r="AG100" s="93">
        <f>IF(COUNTA($A100:$D100)=0,"",IF(N100="ND","ND取0",IF(OR(N100="&lt;",N100="&lt;="),"界限除以2",IF(N100="NA","不適用",IF(OR(N100="&gt;",N100="&gt;="),"保留界限數值","保留原數值")))))</f>
        <v/>
      </c>
      <c r="AH100" s="92">
        <f>IF(O100="","",IFERROR(_xlfn.NUMBERVALUE(O100,".",","),""))</f>
        <v/>
      </c>
      <c r="AI100" s="92">
        <f>IF(H100="","",IFERROR(MATCH(H100,Samples[樣品編號],0),0))</f>
        <v/>
      </c>
    </row>
    <row r="101">
      <c r="A101" s="27" t="inlineStr">
        <is>
          <t>EC</t>
        </is>
      </c>
      <c r="B101" s="28" t="inlineStr">
        <is>
          <t>0.49</t>
        </is>
      </c>
      <c r="C101" s="27" t="inlineStr">
        <is>
          <t>mS/cm</t>
        </is>
      </c>
      <c r="D101" s="39" t="inlineStr">
        <is>
          <t>合成資料，非實測；method=field; temperature=25; temperature_compensated=25C; reference_temperature=25</t>
        </is>
      </c>
      <c r="E101" s="29">
        <f>IF(OR(I101="",I101=0),"",IF(INDEX(Samples[監測點],I101)="","",INDEX(Samples[監測點],I101)))</f>
        <v/>
      </c>
      <c r="F101" s="90">
        <f>IF(OR(I101="",I101=0),"",IF(INDEX(Samples[採樣日期],I101)="","",INDEX(Samples[採樣日期],I101)))</f>
        <v/>
      </c>
      <c r="G101" s="91">
        <f>IF(OR(M101="",M101="NA",M101="N/A"),"",IF(OR(M101="ND",M101="N.D."),0,IFERROR(IF(OR(OR(ISNUMBER(SEARCH("%",O101)),ISNUMBER(SEARCH(" ",O101)),ISNUMBER(SEARCH(",",O101))),OR(SUBSTITUTE(SUBSTITUTE(SUBSTITUTE(SUBSTITUTE(SUBSTITUTE(SUBSTITUTE(SUBSTITUTE(SUBSTITUTE(SUBSTITUTE(SUBSTITUTE(SUBSTITUTE(SUBSTITUTE(SUBSTITUTE(SUBSTITUTE(SUBSTITUTE(SUBSTITUTE(SUBSTITUTE(SUBSTITUTE("x"&amp;M101,"0",""),"1",""),"2",""),"3",""),"4",""),"5",""),"6",""),"7",""),"8",""),"9",""),".",""),"E",""),"+",""),"-",""),"&lt;",""),"&gt;",""),"=","")," ","")&lt;&gt;"x",ISNUMBER(SEARCH("-",SUBSTITUTE(SUBSTITUTE("x"&amp;MID(M101,2,99),"E-","E"),"E+","E"))),ISNUMBER(SEARCH("+",SUBSTITUTE(SUBSTITUTE("x"&amp;MID(M101,2,99),"E-","E"),"E+","E"))))),"",IF(AND(OR(LEFT(M101,1)="&lt;",LEFT(M101,1)="&gt;"),IF(O101="",0,IF(ISNUMBER(AH101),AH101,NA()))&lt;0),"",IF(O101="",0,IF(ISNUMBER(AH101),AH101,NA()))/IF(LEFT(M101,1)="&lt;",2,1))),"")))</f>
        <v/>
      </c>
      <c r="H101" s="57" t="inlineStr">
        <is>
          <t>BH03-W_20260115_01</t>
        </is>
      </c>
      <c r="I101" s="92">
        <f>IF(OR(H101="",AI101=0),0,IF(INDEX(Samples[樣品重複筆數],AI101)=1,AI101,0))</f>
        <v/>
      </c>
      <c r="J101" s="92">
        <f>IF(OR(COUNTA($A101:$D101)=0,I101=0),"",IF(INDEX(Samples[介質],I101)="","",INDEX(Samples[介質],I101)))</f>
        <v/>
      </c>
      <c r="K101" s="92">
        <f>IF(OR(COUNTA($A101:$D101)=0,T101=0),"",IF(INDEX(DB_04[標準單位],T101)="","",INDEX(DB_04[標準單位],T101)))</f>
        <v/>
      </c>
      <c r="L101" s="92">
        <f>IF(COUNTA($A101:$D101)=0,"",IF(OR(C101="",K101=""),"",IF(C101=K101,1,IF(COUNTIFS(DB_06[換算鍵],C101&amp;"|"&amp;K101,DB_06[換算檢查],"OK")=1,INDEX(DB_06[乘數],MATCH(C101&amp;"|"&amp;K101,DB_06[換算鍵],0)),""))))</f>
        <v/>
      </c>
      <c r="M101" s="92">
        <f>UPPER(SUBSTITUTE(SUBSTITUTE(SUBSTITUTE(SUBSTITUTE(TRIM(B101&amp;""),"＜","&lt;"),"＞","&gt;"),"≤","&lt;="),"≥","&gt;="))</f>
        <v/>
      </c>
      <c r="N101" s="92">
        <f>IF(M101="","",IF(OR(M101="ND",M101="N.D."),"ND",IF(OR(M101="NA",M101="N/A",M101="N.A."),"NA",IF(OR(LEFT(M101,2)="&lt;=",LEFT(M101,2)="&gt;="),LEFT(M101,2),IF(OR(LEFT(M101,1)="&lt;",LEFT(M101,1)="&gt;"),LEFT(M101,1),"數值")))))</f>
        <v/>
      </c>
      <c r="O101" s="92">
        <f>IF(OR(N101="",N101="ND",N101="NA"),"",IF(N101="數值",M101,TRIM(MID(M101,LEN(N101)+1,99))))</f>
        <v/>
      </c>
      <c r="P101" s="92">
        <f>IF(O101="","",IFERROR(IF(OR(OR(ISNUMBER(SEARCH("%",O101)),ISNUMBER(SEARCH(" ",O101)),ISNUMBER(SEARCH(",",O101))),OR(SUBSTITUTE(SUBSTITUTE(SUBSTITUTE(SUBSTITUTE(SUBSTITUTE(SUBSTITUTE(SUBSTITUTE(SUBSTITUTE(SUBSTITUTE(SUBSTITUTE(SUBSTITUTE(SUBSTITUTE(SUBSTITUTE(SUBSTITUTE(SUBSTITUTE(SUBSTITUTE(SUBSTITUTE(SUBSTITUTE("x"&amp;O101,"0",""),"1",""),"2",""),"3",""),"4",""),"5",""),"6",""),"7",""),"8",""),"9",""),".",""),"E",""),"+",""),"-",""),"&lt;",""),"&gt;",""),"=","")," ","")&lt;&gt;"x",ISNUMBER(SEARCH("-",SUBSTITUTE(SUBSTITUTE("x"&amp;MID(O101,2,99),"E-","E"),"E+","E"))),ISNUMBER(SEARCH("+",SUBSTITUTE(SUBSTITUTE("x"&amp;MID(O101,2,99),"E-","E"),"E+","E"))))),"",IF(ISNUMBER(AH101),AH101,NA())),""))</f>
        <v/>
      </c>
      <c r="Q101" s="92">
        <f>IF(AND(ISNUMBER(L101),ISNUMBER(P101)),L101*P101,"")</f>
        <v/>
      </c>
      <c r="R101" s="92">
        <f>IF(OR(COUNTA($A101:$D101)=0,U101=0),"",IF(INDEX(DB_05[管制設定值],U101)="","",INDEX(DB_05[管制設定值],U101)))</f>
        <v/>
      </c>
      <c r="S101" s="92">
        <f>IF(OR(COUNTA($A101:$D101)=0,U101=0),"",IF(INDEX(DB_05[監測設定值],U101)="","",INDEX(DB_05[監測設定值],U101)))</f>
        <v/>
      </c>
      <c r="T101" s="92">
        <f>IF(COUNTA($A101:$D101)=0,"",IF(COUNTIFS(DB_04[測項鍵],V101)=1,MATCH(V101,DB_04[測項鍵],0),0))</f>
        <v/>
      </c>
      <c r="U101" s="92">
        <f>IF(COUNTA($A101:$D101)=0,"",IF(COUNTIFS(DB_05[標準鍵],W101)=1,MATCH(W101,DB_05[標準鍵],0),0))</f>
        <v/>
      </c>
      <c r="V101" s="92">
        <f>IF(OR(J101="",A101=""),"",J101&amp;"|"&amp;A101)</f>
        <v/>
      </c>
      <c r="W101" s="92">
        <f>IF(OR('07_QAQC'!$C$3="",V101=""),"",'07_QAQC'!$C$3&amp;"|"&amp;V101)</f>
        <v/>
      </c>
      <c r="X101" s="92">
        <f>IF(OR(H101="",A101=""),"",LEN(H101)&amp;":"&amp;H101&amp;LEN(A101)&amp;":"&amp;A101)</f>
        <v/>
      </c>
      <c r="Y101" s="93">
        <f>IF(COUNTA($A101:$D101)=0,"",IF(I101=0,"樣品未建或重複",IF(INDEX(Samples[樣品檢查],I101)="","OK",INDEX(Samples[樣品檢查],I101))))</f>
        <v/>
      </c>
      <c r="Z101" s="93">
        <f>IF(COUNTA($A101:$D101)=0,"",IF(B101="","缺原始值",IF(OR(B101="-",B101="--"),"無資料",IF(N101="NA","不適用",IF(N101="ND","OK",IF(NOT(ISNUMBER(P101)),"格式待核",IF(AND(N101&lt;&gt;"數值",P101&lt;0),"界限不得為負","OK")))))))</f>
        <v/>
      </c>
      <c r="AA101" s="93">
        <f>IF(COUNTA(A101:D101)=0,"",IF(OR(A101="",H101=""),"缺識別欄位",IF(IF(LEN("="&amp;SUBSTITUTE(SUBSTITUTE(SUBSTITUTE(X101,"~","~~"),"*","~*"),"?","~?"))&lt;=255,COUNTIF(Results[結果識別鍵],"="&amp;SUBSTITUTE(SUBSTITUTE(SUBSTITUTE(X101,"~","~~"),"*","~*"),"?","~?")),COUNTIFS(Results[關聯鍵],"="&amp;SUBSTITUTE(SUBSTITUTE(SUBSTITUTE(H101,"~","~~"),"*","~*"),"?","~?"),Results[分析項目],"="&amp;SUBSTITUTE(SUBSTITUTE(SUBSTITUTE(A101,"~","~~"),"*","~*"),"?","~?")))&gt;1,"同關聯鍵測項重複","OK")))</f>
        <v/>
      </c>
      <c r="AB101" s="93">
        <f>IF(COUNTA($A101:$D101)=0,"",IF(OR(C101="",K101=""),"缺單位",IF(NOT(ISNUMBER(L101)),"單位不相容",IF(L101=1,"OK","已換算"))))</f>
        <v/>
      </c>
      <c r="AC101" s="93">
        <f>IF(COUNTA($A101:$D101)=0,"",IF('07_QAQC'!$C$3="","未選比較版本",IF(U101=0,IF(COUNTIFS(DB_05[標準鍵],W101)&gt;1,"標準鍵重複","未訂此介質／測項門檻"),IF(INDEX(DB_05[版本檢查],U101)&lt;&gt;"OK","標準主檔待核",IF(INDEX(DB_05[標準單位],U101)&lt;&gt;K101,"標準單位不符",IF(INDEX(DB_05[核對狀態],U101)="停用","停用",IF(F101="","缺採樣日期",IF(OR(AND(INDEX(DB_05[生效日],U101)&lt;&gt;"",F101&lt;INDEX(DB_05[生效日],U101)),AND(INDEX(DB_05[失效日],U101)&lt;&gt;"",F101&gt;INDEX(DB_05[失效日],U101))),"日期不適用",INDEX(DB_05[核對狀態],U101)))))))))</f>
        <v/>
      </c>
      <c r="AD101" s="93">
        <f>IF(COUNTA($A101:$D101)=0,"",IF(AC101="未訂此介質／測項門檻",AC101,IF(AC101&lt;&gt;"已核對","標準待核",IF(R101="","未訂管制值",IF(NOT(ISNUMBER(L101)),"單位待核",IF(N101="ND","無法判定（ND無界限）",IF(N101="NA","不適用",IF(Z101&lt;&gt;"OK",Z101,IF(N101="數值",IF(Q101&gt;=R101,"達管制值","未達管制值"),IF(OR(N101="&lt;",N101="&lt;="),IF(OR(Q101&lt;R101,AND(N101="&lt;",Q101=R101)),"未達管制值","無法判定"),IF(OR(N101="&gt;",N101="&gt;="),IF(Q101&gt;=R101,"達管制值","無法判定"),"格式待核")))))))))))</f>
        <v/>
      </c>
      <c r="AE101" s="93">
        <f>IF(COUNTA($A101:$D101)=0,"",IF(AC101="未訂此介質／測項門檻",AC101,IF(AC101&lt;&gt;"已核對","標準待核",IF(S101="","未訂監測值",IF(NOT(ISNUMBER(L101)),"單位待核",IF(N101="ND","無法判定（ND無界限）",IF(N101="NA","不適用",IF(Z101&lt;&gt;"OK",Z101,IF(N101="數值",IF(Q101&gt;=S101,"達監測值","未達監測值"),IF(OR(N101="&lt;",N101="&lt;="),IF(OR(Q101&lt;S101,AND(N101="&lt;",Q101=S101)),"未達監測值","無法判定"),IF(OR(N101="&gt;",N101="&gt;="),IF(Q101&gt;=S101,"達監測值","無法判定"),"格式待核")))))))))))</f>
        <v/>
      </c>
      <c r="AF101" s="93">
        <f>IF(COUNTA($A101:$D101)=0,"",IF(OR(E101="",A101="",B101="",C101=""),"缺必要欄位",IF(Y101&lt;&gt;"OK","樣品資料待補",IF(T101=0,"測項未建或重複",IF(INDEX(DB_04[啟用],T101)&lt;&gt;"是","測項停用",IF(AND(Z101&lt;&gt;"OK",Z101&lt;&gt;"不適用"),Z101,IF(AND(AB101&lt;&gt;"OK",AB101&lt;&gt;"已換算"),"單位待核",IF(AA101&lt;&gt;"OK",AA101,"OK"))))))))</f>
        <v/>
      </c>
      <c r="AG101" s="93">
        <f>IF(COUNTA($A101:$D101)=0,"",IF(N101="ND","ND取0",IF(OR(N101="&lt;",N101="&lt;="),"界限除以2",IF(N101="NA","不適用",IF(OR(N101="&gt;",N101="&gt;="),"保留界限數值","保留原數值")))))</f>
        <v/>
      </c>
      <c r="AH101" s="92">
        <f>IF(O101="","",IFERROR(_xlfn.NUMBERVALUE(O101,".",","),""))</f>
        <v/>
      </c>
      <c r="AI101" s="92">
        <f>IF(H101="","",IFERROR(MATCH(H101,Samples[樣品編號],0),0))</f>
        <v/>
      </c>
    </row>
    <row r="102">
      <c r="A102" s="27" t="inlineStr">
        <is>
          <t>DO</t>
        </is>
      </c>
      <c r="B102" s="28" t="inlineStr">
        <is>
          <t>5.9</t>
        </is>
      </c>
      <c r="C102" s="27" t="inlineStr">
        <is>
          <t>mg/L</t>
        </is>
      </c>
      <c r="D102" s="39" t="inlineStr">
        <is>
          <t>合成資料，非實測；method=field</t>
        </is>
      </c>
      <c r="E102" s="29">
        <f>IF(OR(I102="",I102=0),"",IF(INDEX(Samples[監測點],I102)="","",INDEX(Samples[監測點],I102)))</f>
        <v/>
      </c>
      <c r="F102" s="90">
        <f>IF(OR(I102="",I102=0),"",IF(INDEX(Samples[採樣日期],I102)="","",INDEX(Samples[採樣日期],I102)))</f>
        <v/>
      </c>
      <c r="G102" s="91">
        <f>IF(OR(M102="",M102="NA",M102="N/A"),"",IF(OR(M102="ND",M102="N.D."),0,IFERROR(IF(OR(OR(ISNUMBER(SEARCH("%",O102)),ISNUMBER(SEARCH(" ",O102)),ISNUMBER(SEARCH(",",O102))),OR(SUBSTITUTE(SUBSTITUTE(SUBSTITUTE(SUBSTITUTE(SUBSTITUTE(SUBSTITUTE(SUBSTITUTE(SUBSTITUTE(SUBSTITUTE(SUBSTITUTE(SUBSTITUTE(SUBSTITUTE(SUBSTITUTE(SUBSTITUTE(SUBSTITUTE(SUBSTITUTE(SUBSTITUTE(SUBSTITUTE("x"&amp;M102,"0",""),"1",""),"2",""),"3",""),"4",""),"5",""),"6",""),"7",""),"8",""),"9",""),".",""),"E",""),"+",""),"-",""),"&lt;",""),"&gt;",""),"=","")," ","")&lt;&gt;"x",ISNUMBER(SEARCH("-",SUBSTITUTE(SUBSTITUTE("x"&amp;MID(M102,2,99),"E-","E"),"E+","E"))),ISNUMBER(SEARCH("+",SUBSTITUTE(SUBSTITUTE("x"&amp;MID(M102,2,99),"E-","E"),"E+","E"))))),"",IF(AND(OR(LEFT(M102,1)="&lt;",LEFT(M102,1)="&gt;"),IF(O102="",0,IF(ISNUMBER(AH102),AH102,NA()))&lt;0),"",IF(O102="",0,IF(ISNUMBER(AH102),AH102,NA()))/IF(LEFT(M102,1)="&lt;",2,1))),"")))</f>
        <v/>
      </c>
      <c r="H102" s="57" t="inlineStr">
        <is>
          <t>BH03-W_20260115_01</t>
        </is>
      </c>
      <c r="I102" s="92">
        <f>IF(OR(H102="",AI102=0),0,IF(INDEX(Samples[樣品重複筆數],AI102)=1,AI102,0))</f>
        <v/>
      </c>
      <c r="J102" s="92">
        <f>IF(OR(COUNTA($A102:$D102)=0,I102=0),"",IF(INDEX(Samples[介質],I102)="","",INDEX(Samples[介質],I102)))</f>
        <v/>
      </c>
      <c r="K102" s="92">
        <f>IF(OR(COUNTA($A102:$D102)=0,T102=0),"",IF(INDEX(DB_04[標準單位],T102)="","",INDEX(DB_04[標準單位],T102)))</f>
        <v/>
      </c>
      <c r="L102" s="92">
        <f>IF(COUNTA($A102:$D102)=0,"",IF(OR(C102="",K102=""),"",IF(C102=K102,1,IF(COUNTIFS(DB_06[換算鍵],C102&amp;"|"&amp;K102,DB_06[換算檢查],"OK")=1,INDEX(DB_06[乘數],MATCH(C102&amp;"|"&amp;K102,DB_06[換算鍵],0)),""))))</f>
        <v/>
      </c>
      <c r="M102" s="92">
        <f>UPPER(SUBSTITUTE(SUBSTITUTE(SUBSTITUTE(SUBSTITUTE(TRIM(B102&amp;""),"＜","&lt;"),"＞","&gt;"),"≤","&lt;="),"≥","&gt;="))</f>
        <v/>
      </c>
      <c r="N102" s="92">
        <f>IF(M102="","",IF(OR(M102="ND",M102="N.D."),"ND",IF(OR(M102="NA",M102="N/A",M102="N.A."),"NA",IF(OR(LEFT(M102,2)="&lt;=",LEFT(M102,2)="&gt;="),LEFT(M102,2),IF(OR(LEFT(M102,1)="&lt;",LEFT(M102,1)="&gt;"),LEFT(M102,1),"數值")))))</f>
        <v/>
      </c>
      <c r="O102" s="92">
        <f>IF(OR(N102="",N102="ND",N102="NA"),"",IF(N102="數值",M102,TRIM(MID(M102,LEN(N102)+1,99))))</f>
        <v/>
      </c>
      <c r="P102" s="92">
        <f>IF(O102="","",IFERROR(IF(OR(OR(ISNUMBER(SEARCH("%",O102)),ISNUMBER(SEARCH(" ",O102)),ISNUMBER(SEARCH(",",O102))),OR(SUBSTITUTE(SUBSTITUTE(SUBSTITUTE(SUBSTITUTE(SUBSTITUTE(SUBSTITUTE(SUBSTITUTE(SUBSTITUTE(SUBSTITUTE(SUBSTITUTE(SUBSTITUTE(SUBSTITUTE(SUBSTITUTE(SUBSTITUTE(SUBSTITUTE(SUBSTITUTE(SUBSTITUTE(SUBSTITUTE("x"&amp;O102,"0",""),"1",""),"2",""),"3",""),"4",""),"5",""),"6",""),"7",""),"8",""),"9",""),".",""),"E",""),"+",""),"-",""),"&lt;",""),"&gt;",""),"=","")," ","")&lt;&gt;"x",ISNUMBER(SEARCH("-",SUBSTITUTE(SUBSTITUTE("x"&amp;MID(O102,2,99),"E-","E"),"E+","E"))),ISNUMBER(SEARCH("+",SUBSTITUTE(SUBSTITUTE("x"&amp;MID(O102,2,99),"E-","E"),"E+","E"))))),"",IF(ISNUMBER(AH102),AH102,NA())),""))</f>
        <v/>
      </c>
      <c r="Q102" s="92">
        <f>IF(AND(ISNUMBER(L102),ISNUMBER(P102)),L102*P102,"")</f>
        <v/>
      </c>
      <c r="R102" s="92">
        <f>IF(OR(COUNTA($A102:$D102)=0,U102=0),"",IF(INDEX(DB_05[管制設定值],U102)="","",INDEX(DB_05[管制設定值],U102)))</f>
        <v/>
      </c>
      <c r="S102" s="92">
        <f>IF(OR(COUNTA($A102:$D102)=0,U102=0),"",IF(INDEX(DB_05[監測設定值],U102)="","",INDEX(DB_05[監測設定值],U102)))</f>
        <v/>
      </c>
      <c r="T102" s="92">
        <f>IF(COUNTA($A102:$D102)=0,"",IF(COUNTIFS(DB_04[測項鍵],V102)=1,MATCH(V102,DB_04[測項鍵],0),0))</f>
        <v/>
      </c>
      <c r="U102" s="92">
        <f>IF(COUNTA($A102:$D102)=0,"",IF(COUNTIFS(DB_05[標準鍵],W102)=1,MATCH(W102,DB_05[標準鍵],0),0))</f>
        <v/>
      </c>
      <c r="V102" s="92">
        <f>IF(OR(J102="",A102=""),"",J102&amp;"|"&amp;A102)</f>
        <v/>
      </c>
      <c r="W102" s="92">
        <f>IF(OR('07_QAQC'!$C$3="",V102=""),"",'07_QAQC'!$C$3&amp;"|"&amp;V102)</f>
        <v/>
      </c>
      <c r="X102" s="92">
        <f>IF(OR(H102="",A102=""),"",LEN(H102)&amp;":"&amp;H102&amp;LEN(A102)&amp;":"&amp;A102)</f>
        <v/>
      </c>
      <c r="Y102" s="93">
        <f>IF(COUNTA($A102:$D102)=0,"",IF(I102=0,"樣品未建或重複",IF(INDEX(Samples[樣品檢查],I102)="","OK",INDEX(Samples[樣品檢查],I102))))</f>
        <v/>
      </c>
      <c r="Z102" s="93">
        <f>IF(COUNTA($A102:$D102)=0,"",IF(B102="","缺原始值",IF(OR(B102="-",B102="--"),"無資料",IF(N102="NA","不適用",IF(N102="ND","OK",IF(NOT(ISNUMBER(P102)),"格式待核",IF(AND(N102&lt;&gt;"數值",P102&lt;0),"界限不得為負","OK")))))))</f>
        <v/>
      </c>
      <c r="AA102" s="93">
        <f>IF(COUNTA(A102:D102)=0,"",IF(OR(A102="",H102=""),"缺識別欄位",IF(IF(LEN("="&amp;SUBSTITUTE(SUBSTITUTE(SUBSTITUTE(X102,"~","~~"),"*","~*"),"?","~?"))&lt;=255,COUNTIF(Results[結果識別鍵],"="&amp;SUBSTITUTE(SUBSTITUTE(SUBSTITUTE(X102,"~","~~"),"*","~*"),"?","~?")),COUNTIFS(Results[關聯鍵],"="&amp;SUBSTITUTE(SUBSTITUTE(SUBSTITUTE(H102,"~","~~"),"*","~*"),"?","~?"),Results[分析項目],"="&amp;SUBSTITUTE(SUBSTITUTE(SUBSTITUTE(A102,"~","~~"),"*","~*"),"?","~?")))&gt;1,"同關聯鍵測項重複","OK")))</f>
        <v/>
      </c>
      <c r="AB102" s="93">
        <f>IF(COUNTA($A102:$D102)=0,"",IF(OR(C102="",K102=""),"缺單位",IF(NOT(ISNUMBER(L102)),"單位不相容",IF(L102=1,"OK","已換算"))))</f>
        <v/>
      </c>
      <c r="AC102" s="93">
        <f>IF(COUNTA($A102:$D102)=0,"",IF('07_QAQC'!$C$3="","未選比較版本",IF(U102=0,IF(COUNTIFS(DB_05[標準鍵],W102)&gt;1,"標準鍵重複","未訂此介質／測項門檻"),IF(INDEX(DB_05[版本檢查],U102)&lt;&gt;"OK","標準主檔待核",IF(INDEX(DB_05[標準單位],U102)&lt;&gt;K102,"標準單位不符",IF(INDEX(DB_05[核對狀態],U102)="停用","停用",IF(F102="","缺採樣日期",IF(OR(AND(INDEX(DB_05[生效日],U102)&lt;&gt;"",F102&lt;INDEX(DB_05[生效日],U102)),AND(INDEX(DB_05[失效日],U102)&lt;&gt;"",F102&gt;INDEX(DB_05[失效日],U102))),"日期不適用",INDEX(DB_05[核對狀態],U102)))))))))</f>
        <v/>
      </c>
      <c r="AD102" s="93">
        <f>IF(COUNTA($A102:$D102)=0,"",IF(AC102="未訂此介質／測項門檻",AC102,IF(AC102&lt;&gt;"已核對","標準待核",IF(R102="","未訂管制值",IF(NOT(ISNUMBER(L102)),"單位待核",IF(N102="ND","無法判定（ND無界限）",IF(N102="NA","不適用",IF(Z102&lt;&gt;"OK",Z102,IF(N102="數值",IF(Q102&gt;=R102,"達管制值","未達管制值"),IF(OR(N102="&lt;",N102="&lt;="),IF(OR(Q102&lt;R102,AND(N102="&lt;",Q102=R102)),"未達管制值","無法判定"),IF(OR(N102="&gt;",N102="&gt;="),IF(Q102&gt;=R102,"達管制值","無法判定"),"格式待核")))))))))))</f>
        <v/>
      </c>
      <c r="AE102" s="93">
        <f>IF(COUNTA($A102:$D102)=0,"",IF(AC102="未訂此介質／測項門檻",AC102,IF(AC102&lt;&gt;"已核對","標準待核",IF(S102="","未訂監測值",IF(NOT(ISNUMBER(L102)),"單位待核",IF(N102="ND","無法判定（ND無界限）",IF(N102="NA","不適用",IF(Z102&lt;&gt;"OK",Z102,IF(N102="數值",IF(Q102&gt;=S102,"達監測值","未達監測值"),IF(OR(N102="&lt;",N102="&lt;="),IF(OR(Q102&lt;S102,AND(N102="&lt;",Q102=S102)),"未達監測值","無法判定"),IF(OR(N102="&gt;",N102="&gt;="),IF(Q102&gt;=S102,"達監測值","無法判定"),"格式待核")))))))))))</f>
        <v/>
      </c>
      <c r="AF102" s="93">
        <f>IF(COUNTA($A102:$D102)=0,"",IF(OR(E102="",A102="",B102="",C102=""),"缺必要欄位",IF(Y102&lt;&gt;"OK","樣品資料待補",IF(T102=0,"測項未建或重複",IF(INDEX(DB_04[啟用],T102)&lt;&gt;"是","測項停用",IF(AND(Z102&lt;&gt;"OK",Z102&lt;&gt;"不適用"),Z102,IF(AND(AB102&lt;&gt;"OK",AB102&lt;&gt;"已換算"),"單位待核",IF(AA102&lt;&gt;"OK",AA102,"OK"))))))))</f>
        <v/>
      </c>
      <c r="AG102" s="93">
        <f>IF(COUNTA($A102:$D102)=0,"",IF(N102="ND","ND取0",IF(OR(N102="&lt;",N102="&lt;="),"界限除以2",IF(N102="NA","不適用",IF(OR(N102="&gt;",N102="&gt;="),"保留界限數值","保留原數值")))))</f>
        <v/>
      </c>
      <c r="AH102" s="92">
        <f>IF(O102="","",IFERROR(_xlfn.NUMBERVALUE(O102,".",","),""))</f>
        <v/>
      </c>
      <c r="AI102" s="92">
        <f>IF(H102="","",IFERROR(MATCH(H102,Samples[樣品編號],0),0))</f>
        <v/>
      </c>
    </row>
    <row r="103">
      <c r="A103" s="27" t="inlineStr">
        <is>
          <t>溶氧飽和度</t>
        </is>
      </c>
      <c r="B103" s="28" t="inlineStr">
        <is>
          <t>71</t>
        </is>
      </c>
      <c r="C103" s="27" t="inlineStr">
        <is>
          <t>%</t>
        </is>
      </c>
      <c r="D103" s="39" t="inlineStr">
        <is>
          <t>合成資料，非實測；method=field</t>
        </is>
      </c>
      <c r="E103" s="29">
        <f>IF(OR(I103="",I103=0),"",IF(INDEX(Samples[監測點],I103)="","",INDEX(Samples[監測點],I103)))</f>
        <v/>
      </c>
      <c r="F103" s="90">
        <f>IF(OR(I103="",I103=0),"",IF(INDEX(Samples[採樣日期],I103)="","",INDEX(Samples[採樣日期],I103)))</f>
        <v/>
      </c>
      <c r="G103" s="91">
        <f>IF(OR(M103="",M103="NA",M103="N/A"),"",IF(OR(M103="ND",M103="N.D."),0,IFERROR(IF(OR(OR(ISNUMBER(SEARCH("%",O103)),ISNUMBER(SEARCH(" ",O103)),ISNUMBER(SEARCH(",",O103))),OR(SUBSTITUTE(SUBSTITUTE(SUBSTITUTE(SUBSTITUTE(SUBSTITUTE(SUBSTITUTE(SUBSTITUTE(SUBSTITUTE(SUBSTITUTE(SUBSTITUTE(SUBSTITUTE(SUBSTITUTE(SUBSTITUTE(SUBSTITUTE(SUBSTITUTE(SUBSTITUTE(SUBSTITUTE(SUBSTITUTE("x"&amp;M103,"0",""),"1",""),"2",""),"3",""),"4",""),"5",""),"6",""),"7",""),"8",""),"9",""),".",""),"E",""),"+",""),"-",""),"&lt;",""),"&gt;",""),"=","")," ","")&lt;&gt;"x",ISNUMBER(SEARCH("-",SUBSTITUTE(SUBSTITUTE("x"&amp;MID(M103,2,99),"E-","E"),"E+","E"))),ISNUMBER(SEARCH("+",SUBSTITUTE(SUBSTITUTE("x"&amp;MID(M103,2,99),"E-","E"),"E+","E"))))),"",IF(AND(OR(LEFT(M103,1)="&lt;",LEFT(M103,1)="&gt;"),IF(O103="",0,IF(ISNUMBER(AH103),AH103,NA()))&lt;0),"",IF(O103="",0,IF(ISNUMBER(AH103),AH103,NA()))/IF(LEFT(M103,1)="&lt;",2,1))),"")))</f>
        <v/>
      </c>
      <c r="H103" s="57" t="inlineStr">
        <is>
          <t>BH03-W_20260115_01</t>
        </is>
      </c>
      <c r="I103" s="92">
        <f>IF(OR(H103="",AI103=0),0,IF(INDEX(Samples[樣品重複筆數],AI103)=1,AI103,0))</f>
        <v/>
      </c>
      <c r="J103" s="92">
        <f>IF(OR(COUNTA($A103:$D103)=0,I103=0),"",IF(INDEX(Samples[介質],I103)="","",INDEX(Samples[介質],I103)))</f>
        <v/>
      </c>
      <c r="K103" s="92">
        <f>IF(OR(COUNTA($A103:$D103)=0,T103=0),"",IF(INDEX(DB_04[標準單位],T103)="","",INDEX(DB_04[標準單位],T103)))</f>
        <v/>
      </c>
      <c r="L103" s="92">
        <f>IF(COUNTA($A103:$D103)=0,"",IF(OR(C103="",K103=""),"",IF(C103=K103,1,IF(COUNTIFS(DB_06[換算鍵],C103&amp;"|"&amp;K103,DB_06[換算檢查],"OK")=1,INDEX(DB_06[乘數],MATCH(C103&amp;"|"&amp;K103,DB_06[換算鍵],0)),""))))</f>
        <v/>
      </c>
      <c r="M103" s="92">
        <f>UPPER(SUBSTITUTE(SUBSTITUTE(SUBSTITUTE(SUBSTITUTE(TRIM(B103&amp;""),"＜","&lt;"),"＞","&gt;"),"≤","&lt;="),"≥","&gt;="))</f>
        <v/>
      </c>
      <c r="N103" s="92">
        <f>IF(M103="","",IF(OR(M103="ND",M103="N.D."),"ND",IF(OR(M103="NA",M103="N/A",M103="N.A."),"NA",IF(OR(LEFT(M103,2)="&lt;=",LEFT(M103,2)="&gt;="),LEFT(M103,2),IF(OR(LEFT(M103,1)="&lt;",LEFT(M103,1)="&gt;"),LEFT(M103,1),"數值")))))</f>
        <v/>
      </c>
      <c r="O103" s="92">
        <f>IF(OR(N103="",N103="ND",N103="NA"),"",IF(N103="數值",M103,TRIM(MID(M103,LEN(N103)+1,99))))</f>
        <v/>
      </c>
      <c r="P103" s="92">
        <f>IF(O103="","",IFERROR(IF(OR(OR(ISNUMBER(SEARCH("%",O103)),ISNUMBER(SEARCH(" ",O103)),ISNUMBER(SEARCH(",",O103))),OR(SUBSTITUTE(SUBSTITUTE(SUBSTITUTE(SUBSTITUTE(SUBSTITUTE(SUBSTITUTE(SUBSTITUTE(SUBSTITUTE(SUBSTITUTE(SUBSTITUTE(SUBSTITUTE(SUBSTITUTE(SUBSTITUTE(SUBSTITUTE(SUBSTITUTE(SUBSTITUTE(SUBSTITUTE(SUBSTITUTE("x"&amp;O103,"0",""),"1",""),"2",""),"3",""),"4",""),"5",""),"6",""),"7",""),"8",""),"9",""),".",""),"E",""),"+",""),"-",""),"&lt;",""),"&gt;",""),"=","")," ","")&lt;&gt;"x",ISNUMBER(SEARCH("-",SUBSTITUTE(SUBSTITUTE("x"&amp;MID(O103,2,99),"E-","E"),"E+","E"))),ISNUMBER(SEARCH("+",SUBSTITUTE(SUBSTITUTE("x"&amp;MID(O103,2,99),"E-","E"),"E+","E"))))),"",IF(ISNUMBER(AH103),AH103,NA())),""))</f>
        <v/>
      </c>
      <c r="Q103" s="92">
        <f>IF(AND(ISNUMBER(L103),ISNUMBER(P103)),L103*P103,"")</f>
        <v/>
      </c>
      <c r="R103" s="92">
        <f>IF(OR(COUNTA($A103:$D103)=0,U103=0),"",IF(INDEX(DB_05[管制設定值],U103)="","",INDEX(DB_05[管制設定值],U103)))</f>
        <v/>
      </c>
      <c r="S103" s="92">
        <f>IF(OR(COUNTA($A103:$D103)=0,U103=0),"",IF(INDEX(DB_05[監測設定值],U103)="","",INDEX(DB_05[監測設定值],U103)))</f>
        <v/>
      </c>
      <c r="T103" s="92">
        <f>IF(COUNTA($A103:$D103)=0,"",IF(COUNTIFS(DB_04[測項鍵],V103)=1,MATCH(V103,DB_04[測項鍵],0),0))</f>
        <v/>
      </c>
      <c r="U103" s="92">
        <f>IF(COUNTA($A103:$D103)=0,"",IF(COUNTIFS(DB_05[標準鍵],W103)=1,MATCH(W103,DB_05[標準鍵],0),0))</f>
        <v/>
      </c>
      <c r="V103" s="92">
        <f>IF(OR(J103="",A103=""),"",J103&amp;"|"&amp;A103)</f>
        <v/>
      </c>
      <c r="W103" s="92">
        <f>IF(OR('07_QAQC'!$C$3="",V103=""),"",'07_QAQC'!$C$3&amp;"|"&amp;V103)</f>
        <v/>
      </c>
      <c r="X103" s="92">
        <f>IF(OR(H103="",A103=""),"",LEN(H103)&amp;":"&amp;H103&amp;LEN(A103)&amp;":"&amp;A103)</f>
        <v/>
      </c>
      <c r="Y103" s="93">
        <f>IF(COUNTA($A103:$D103)=0,"",IF(I103=0,"樣品未建或重複",IF(INDEX(Samples[樣品檢查],I103)="","OK",INDEX(Samples[樣品檢查],I103))))</f>
        <v/>
      </c>
      <c r="Z103" s="93">
        <f>IF(COUNTA($A103:$D103)=0,"",IF(B103="","缺原始值",IF(OR(B103="-",B103="--"),"無資料",IF(N103="NA","不適用",IF(N103="ND","OK",IF(NOT(ISNUMBER(P103)),"格式待核",IF(AND(N103&lt;&gt;"數值",P103&lt;0),"界限不得為負","OK")))))))</f>
        <v/>
      </c>
      <c r="AA103" s="93">
        <f>IF(COUNTA(A103:D103)=0,"",IF(OR(A103="",H103=""),"缺識別欄位",IF(IF(LEN("="&amp;SUBSTITUTE(SUBSTITUTE(SUBSTITUTE(X103,"~","~~"),"*","~*"),"?","~?"))&lt;=255,COUNTIF(Results[結果識別鍵],"="&amp;SUBSTITUTE(SUBSTITUTE(SUBSTITUTE(X103,"~","~~"),"*","~*"),"?","~?")),COUNTIFS(Results[關聯鍵],"="&amp;SUBSTITUTE(SUBSTITUTE(SUBSTITUTE(H103,"~","~~"),"*","~*"),"?","~?"),Results[分析項目],"="&amp;SUBSTITUTE(SUBSTITUTE(SUBSTITUTE(A103,"~","~~"),"*","~*"),"?","~?")))&gt;1,"同關聯鍵測項重複","OK")))</f>
        <v/>
      </c>
      <c r="AB103" s="93">
        <f>IF(COUNTA($A103:$D103)=0,"",IF(OR(C103="",K103=""),"缺單位",IF(NOT(ISNUMBER(L103)),"單位不相容",IF(L103=1,"OK","已換算"))))</f>
        <v/>
      </c>
      <c r="AC103" s="93">
        <f>IF(COUNTA($A103:$D103)=0,"",IF('07_QAQC'!$C$3="","未選比較版本",IF(U103=0,IF(COUNTIFS(DB_05[標準鍵],W103)&gt;1,"標準鍵重複","未訂此介質／測項門檻"),IF(INDEX(DB_05[版本檢查],U103)&lt;&gt;"OK","標準主檔待核",IF(INDEX(DB_05[標準單位],U103)&lt;&gt;K103,"標準單位不符",IF(INDEX(DB_05[核對狀態],U103)="停用","停用",IF(F103="","缺採樣日期",IF(OR(AND(INDEX(DB_05[生效日],U103)&lt;&gt;"",F103&lt;INDEX(DB_05[生效日],U103)),AND(INDEX(DB_05[失效日],U103)&lt;&gt;"",F103&gt;INDEX(DB_05[失效日],U103))),"日期不適用",INDEX(DB_05[核對狀態],U103)))))))))</f>
        <v/>
      </c>
      <c r="AD103" s="93">
        <f>IF(COUNTA($A103:$D103)=0,"",IF(AC103="未訂此介質／測項門檻",AC103,IF(AC103&lt;&gt;"已核對","標準待核",IF(R103="","未訂管制值",IF(NOT(ISNUMBER(L103)),"單位待核",IF(N103="ND","無法判定（ND無界限）",IF(N103="NA","不適用",IF(Z103&lt;&gt;"OK",Z103,IF(N103="數值",IF(Q103&gt;=R103,"達管制值","未達管制值"),IF(OR(N103="&lt;",N103="&lt;="),IF(OR(Q103&lt;R103,AND(N103="&lt;",Q103=R103)),"未達管制值","無法判定"),IF(OR(N103="&gt;",N103="&gt;="),IF(Q103&gt;=R103,"達管制值","無法判定"),"格式待核")))))))))))</f>
        <v/>
      </c>
      <c r="AE103" s="93">
        <f>IF(COUNTA($A103:$D103)=0,"",IF(AC103="未訂此介質／測項門檻",AC103,IF(AC103&lt;&gt;"已核對","標準待核",IF(S103="","未訂監測值",IF(NOT(ISNUMBER(L103)),"單位待核",IF(N103="ND","無法判定（ND無界限）",IF(N103="NA","不適用",IF(Z103&lt;&gt;"OK",Z103,IF(N103="數值",IF(Q103&gt;=S103,"達監測值","未達監測值"),IF(OR(N103="&lt;",N103="&lt;="),IF(OR(Q103&lt;S103,AND(N103="&lt;",Q103=S103)),"未達監測值","無法判定"),IF(OR(N103="&gt;",N103="&gt;="),IF(Q103&gt;=S103,"達監測值","無法判定"),"格式待核")))))))))))</f>
        <v/>
      </c>
      <c r="AF103" s="93">
        <f>IF(COUNTA($A103:$D103)=0,"",IF(OR(E103="",A103="",B103="",C103=""),"缺必要欄位",IF(Y103&lt;&gt;"OK","樣品資料待補",IF(T103=0,"測項未建或重複",IF(INDEX(DB_04[啟用],T103)&lt;&gt;"是","測項停用",IF(AND(Z103&lt;&gt;"OK",Z103&lt;&gt;"不適用"),Z103,IF(AND(AB103&lt;&gt;"OK",AB103&lt;&gt;"已換算"),"單位待核",IF(AA103&lt;&gt;"OK",AA103,"OK"))))))))</f>
        <v/>
      </c>
      <c r="AG103" s="93">
        <f>IF(COUNTA($A103:$D103)=0,"",IF(N103="ND","ND取0",IF(OR(N103="&lt;",N103="&lt;="),"界限除以2",IF(N103="NA","不適用",IF(OR(N103="&gt;",N103="&gt;="),"保留界限數值","保留原數值")))))</f>
        <v/>
      </c>
      <c r="AH103" s="92">
        <f>IF(O103="","",IFERROR(_xlfn.NUMBERVALUE(O103,".",","),""))</f>
        <v/>
      </c>
      <c r="AI103" s="92">
        <f>IF(H103="","",IFERROR(MATCH(H103,Samples[樣品編號],0),0))</f>
        <v/>
      </c>
    </row>
    <row r="104">
      <c r="A104" s="27" t="inlineStr">
        <is>
          <t>ORP</t>
        </is>
      </c>
      <c r="B104" s="28" t="inlineStr">
        <is>
          <t>10</t>
        </is>
      </c>
      <c r="C104" s="27" t="inlineStr">
        <is>
          <t>mV</t>
        </is>
      </c>
      <c r="D104" s="39" t="inlineStr">
        <is>
          <t>合成資料，非實測；method=field; reference_electrode=Ag/AgCl; calibration=verified</t>
        </is>
      </c>
      <c r="E104" s="29">
        <f>IF(OR(I104="",I104=0),"",IF(INDEX(Samples[監測點],I104)="","",INDEX(Samples[監測點],I104)))</f>
        <v/>
      </c>
      <c r="F104" s="90">
        <f>IF(OR(I104="",I104=0),"",IF(INDEX(Samples[採樣日期],I104)="","",INDEX(Samples[採樣日期],I104)))</f>
        <v/>
      </c>
      <c r="G104" s="91">
        <f>IF(OR(M104="",M104="NA",M104="N/A"),"",IF(OR(M104="ND",M104="N.D."),0,IFERROR(IF(OR(OR(ISNUMBER(SEARCH("%",O104)),ISNUMBER(SEARCH(" ",O104)),ISNUMBER(SEARCH(",",O104))),OR(SUBSTITUTE(SUBSTITUTE(SUBSTITUTE(SUBSTITUTE(SUBSTITUTE(SUBSTITUTE(SUBSTITUTE(SUBSTITUTE(SUBSTITUTE(SUBSTITUTE(SUBSTITUTE(SUBSTITUTE(SUBSTITUTE(SUBSTITUTE(SUBSTITUTE(SUBSTITUTE(SUBSTITUTE(SUBSTITUTE("x"&amp;M104,"0",""),"1",""),"2",""),"3",""),"4",""),"5",""),"6",""),"7",""),"8",""),"9",""),".",""),"E",""),"+",""),"-",""),"&lt;",""),"&gt;",""),"=","")," ","")&lt;&gt;"x",ISNUMBER(SEARCH("-",SUBSTITUTE(SUBSTITUTE("x"&amp;MID(M104,2,99),"E-","E"),"E+","E"))),ISNUMBER(SEARCH("+",SUBSTITUTE(SUBSTITUTE("x"&amp;MID(M104,2,99),"E-","E"),"E+","E"))))),"",IF(AND(OR(LEFT(M104,1)="&lt;",LEFT(M104,1)="&gt;"),IF(O104="",0,IF(ISNUMBER(AH104),AH104,NA()))&lt;0),"",IF(O104="",0,IF(ISNUMBER(AH104),AH104,NA()))/IF(LEFT(M104,1)="&lt;",2,1))),"")))</f>
        <v/>
      </c>
      <c r="H104" s="57" t="inlineStr">
        <is>
          <t>BH03-W_20260115_01</t>
        </is>
      </c>
      <c r="I104" s="92">
        <f>IF(OR(H104="",AI104=0),0,IF(INDEX(Samples[樣品重複筆數],AI104)=1,AI104,0))</f>
        <v/>
      </c>
      <c r="J104" s="92">
        <f>IF(OR(COUNTA($A104:$D104)=0,I104=0),"",IF(INDEX(Samples[介質],I104)="","",INDEX(Samples[介質],I104)))</f>
        <v/>
      </c>
      <c r="K104" s="92">
        <f>IF(OR(COUNTA($A104:$D104)=0,T104=0),"",IF(INDEX(DB_04[標準單位],T104)="","",INDEX(DB_04[標準單位],T104)))</f>
        <v/>
      </c>
      <c r="L104" s="92">
        <f>IF(COUNTA($A104:$D104)=0,"",IF(OR(C104="",K104=""),"",IF(C104=K104,1,IF(COUNTIFS(DB_06[換算鍵],C104&amp;"|"&amp;K104,DB_06[換算檢查],"OK")=1,INDEX(DB_06[乘數],MATCH(C104&amp;"|"&amp;K104,DB_06[換算鍵],0)),""))))</f>
        <v/>
      </c>
      <c r="M104" s="92">
        <f>UPPER(SUBSTITUTE(SUBSTITUTE(SUBSTITUTE(SUBSTITUTE(TRIM(B104&amp;""),"＜","&lt;"),"＞","&gt;"),"≤","&lt;="),"≥","&gt;="))</f>
        <v/>
      </c>
      <c r="N104" s="92">
        <f>IF(M104="","",IF(OR(M104="ND",M104="N.D."),"ND",IF(OR(M104="NA",M104="N/A",M104="N.A."),"NA",IF(OR(LEFT(M104,2)="&lt;=",LEFT(M104,2)="&gt;="),LEFT(M104,2),IF(OR(LEFT(M104,1)="&lt;",LEFT(M104,1)="&gt;"),LEFT(M104,1),"數值")))))</f>
        <v/>
      </c>
      <c r="O104" s="92">
        <f>IF(OR(N104="",N104="ND",N104="NA"),"",IF(N104="數值",M104,TRIM(MID(M104,LEN(N104)+1,99))))</f>
        <v/>
      </c>
      <c r="P104" s="92">
        <f>IF(O104="","",IFERROR(IF(OR(OR(ISNUMBER(SEARCH("%",O104)),ISNUMBER(SEARCH(" ",O104)),ISNUMBER(SEARCH(",",O104))),OR(SUBSTITUTE(SUBSTITUTE(SUBSTITUTE(SUBSTITUTE(SUBSTITUTE(SUBSTITUTE(SUBSTITUTE(SUBSTITUTE(SUBSTITUTE(SUBSTITUTE(SUBSTITUTE(SUBSTITUTE(SUBSTITUTE(SUBSTITUTE(SUBSTITUTE(SUBSTITUTE(SUBSTITUTE(SUBSTITUTE("x"&amp;O104,"0",""),"1",""),"2",""),"3",""),"4",""),"5",""),"6",""),"7",""),"8",""),"9",""),".",""),"E",""),"+",""),"-",""),"&lt;",""),"&gt;",""),"=","")," ","")&lt;&gt;"x",ISNUMBER(SEARCH("-",SUBSTITUTE(SUBSTITUTE("x"&amp;MID(O104,2,99),"E-","E"),"E+","E"))),ISNUMBER(SEARCH("+",SUBSTITUTE(SUBSTITUTE("x"&amp;MID(O104,2,99),"E-","E"),"E+","E"))))),"",IF(ISNUMBER(AH104),AH104,NA())),""))</f>
        <v/>
      </c>
      <c r="Q104" s="92">
        <f>IF(AND(ISNUMBER(L104),ISNUMBER(P104)),L104*P104,"")</f>
        <v/>
      </c>
      <c r="R104" s="92">
        <f>IF(OR(COUNTA($A104:$D104)=0,U104=0),"",IF(INDEX(DB_05[管制設定值],U104)="","",INDEX(DB_05[管制設定值],U104)))</f>
        <v/>
      </c>
      <c r="S104" s="92">
        <f>IF(OR(COUNTA($A104:$D104)=0,U104=0),"",IF(INDEX(DB_05[監測設定值],U104)="","",INDEX(DB_05[監測設定值],U104)))</f>
        <v/>
      </c>
      <c r="T104" s="92">
        <f>IF(COUNTA($A104:$D104)=0,"",IF(COUNTIFS(DB_04[測項鍵],V104)=1,MATCH(V104,DB_04[測項鍵],0),0))</f>
        <v/>
      </c>
      <c r="U104" s="92">
        <f>IF(COUNTA($A104:$D104)=0,"",IF(COUNTIFS(DB_05[標準鍵],W104)=1,MATCH(W104,DB_05[標準鍵],0),0))</f>
        <v/>
      </c>
      <c r="V104" s="92">
        <f>IF(OR(J104="",A104=""),"",J104&amp;"|"&amp;A104)</f>
        <v/>
      </c>
      <c r="W104" s="92">
        <f>IF(OR('07_QAQC'!$C$3="",V104=""),"",'07_QAQC'!$C$3&amp;"|"&amp;V104)</f>
        <v/>
      </c>
      <c r="X104" s="92">
        <f>IF(OR(H104="",A104=""),"",LEN(H104)&amp;":"&amp;H104&amp;LEN(A104)&amp;":"&amp;A104)</f>
        <v/>
      </c>
      <c r="Y104" s="93">
        <f>IF(COUNTA($A104:$D104)=0,"",IF(I104=0,"樣品未建或重複",IF(INDEX(Samples[樣品檢查],I104)="","OK",INDEX(Samples[樣品檢查],I104))))</f>
        <v/>
      </c>
      <c r="Z104" s="93">
        <f>IF(COUNTA($A104:$D104)=0,"",IF(B104="","缺原始值",IF(OR(B104="-",B104="--"),"無資料",IF(N104="NA","不適用",IF(N104="ND","OK",IF(NOT(ISNUMBER(P104)),"格式待核",IF(AND(N104&lt;&gt;"數值",P104&lt;0),"界限不得為負","OK")))))))</f>
        <v/>
      </c>
      <c r="AA104" s="93">
        <f>IF(COUNTA(A104:D104)=0,"",IF(OR(A104="",H104=""),"缺識別欄位",IF(IF(LEN("="&amp;SUBSTITUTE(SUBSTITUTE(SUBSTITUTE(X104,"~","~~"),"*","~*"),"?","~?"))&lt;=255,COUNTIF(Results[結果識別鍵],"="&amp;SUBSTITUTE(SUBSTITUTE(SUBSTITUTE(X104,"~","~~"),"*","~*"),"?","~?")),COUNTIFS(Results[關聯鍵],"="&amp;SUBSTITUTE(SUBSTITUTE(SUBSTITUTE(H104,"~","~~"),"*","~*"),"?","~?"),Results[分析項目],"="&amp;SUBSTITUTE(SUBSTITUTE(SUBSTITUTE(A104,"~","~~"),"*","~*"),"?","~?")))&gt;1,"同關聯鍵測項重複","OK")))</f>
        <v/>
      </c>
      <c r="AB104" s="93">
        <f>IF(COUNTA($A104:$D104)=0,"",IF(OR(C104="",K104=""),"缺單位",IF(NOT(ISNUMBER(L104)),"單位不相容",IF(L104=1,"OK","已換算"))))</f>
        <v/>
      </c>
      <c r="AC104" s="93">
        <f>IF(COUNTA($A104:$D104)=0,"",IF('07_QAQC'!$C$3="","未選比較版本",IF(U104=0,IF(COUNTIFS(DB_05[標準鍵],W104)&gt;1,"標準鍵重複","未訂此介質／測項門檻"),IF(INDEX(DB_05[版本檢查],U104)&lt;&gt;"OK","標準主檔待核",IF(INDEX(DB_05[標準單位],U104)&lt;&gt;K104,"標準單位不符",IF(INDEX(DB_05[核對狀態],U104)="停用","停用",IF(F104="","缺採樣日期",IF(OR(AND(INDEX(DB_05[生效日],U104)&lt;&gt;"",F104&lt;INDEX(DB_05[生效日],U104)),AND(INDEX(DB_05[失效日],U104)&lt;&gt;"",F104&gt;INDEX(DB_05[失效日],U104))),"日期不適用",INDEX(DB_05[核對狀態],U104)))))))))</f>
        <v/>
      </c>
      <c r="AD104" s="93">
        <f>IF(COUNTA($A104:$D104)=0,"",IF(AC104="未訂此介質／測項門檻",AC104,IF(AC104&lt;&gt;"已核對","標準待核",IF(R104="","未訂管制值",IF(NOT(ISNUMBER(L104)),"單位待核",IF(N104="ND","無法判定（ND無界限）",IF(N104="NA","不適用",IF(Z104&lt;&gt;"OK",Z104,IF(N104="數值",IF(Q104&gt;=R104,"達管制值","未達管制值"),IF(OR(N104="&lt;",N104="&lt;="),IF(OR(Q104&lt;R104,AND(N104="&lt;",Q104=R104)),"未達管制值","無法判定"),IF(OR(N104="&gt;",N104="&gt;="),IF(Q104&gt;=R104,"達管制值","無法判定"),"格式待核")))))))))))</f>
        <v/>
      </c>
      <c r="AE104" s="93">
        <f>IF(COUNTA($A104:$D104)=0,"",IF(AC104="未訂此介質／測項門檻",AC104,IF(AC104&lt;&gt;"已核對","標準待核",IF(S104="","未訂監測值",IF(NOT(ISNUMBER(L104)),"單位待核",IF(N104="ND","無法判定（ND無界限）",IF(N104="NA","不適用",IF(Z104&lt;&gt;"OK",Z104,IF(N104="數值",IF(Q104&gt;=S104,"達監測值","未達監測值"),IF(OR(N104="&lt;",N104="&lt;="),IF(OR(Q104&lt;S104,AND(N104="&lt;",Q104=S104)),"未達監測值","無法判定"),IF(OR(N104="&gt;",N104="&gt;="),IF(Q104&gt;=S104,"達監測值","無法判定"),"格式待核")))))))))))</f>
        <v/>
      </c>
      <c r="AF104" s="93">
        <f>IF(COUNTA($A104:$D104)=0,"",IF(OR(E104="",A104="",B104="",C104=""),"缺必要欄位",IF(Y104&lt;&gt;"OK","樣品資料待補",IF(T104=0,"測項未建或重複",IF(INDEX(DB_04[啟用],T104)&lt;&gt;"是","測項停用",IF(AND(Z104&lt;&gt;"OK",Z104&lt;&gt;"不適用"),Z104,IF(AND(AB104&lt;&gt;"OK",AB104&lt;&gt;"已換算"),"單位待核",IF(AA104&lt;&gt;"OK",AA104,"OK"))))))))</f>
        <v/>
      </c>
      <c r="AG104" s="93">
        <f>IF(COUNTA($A104:$D104)=0,"",IF(N104="ND","ND取0",IF(OR(N104="&lt;",N104="&lt;="),"界限除以2",IF(N104="NA","不適用",IF(OR(N104="&gt;",N104="&gt;="),"保留界限數值","保留原數值")))))</f>
        <v/>
      </c>
      <c r="AH104" s="92">
        <f>IF(O104="","",IFERROR(_xlfn.NUMBERVALUE(O104,".",","),""))</f>
        <v/>
      </c>
      <c r="AI104" s="92">
        <f>IF(H104="","",IFERROR(MATCH(H104,Samples[樣品編號],0),0))</f>
        <v/>
      </c>
    </row>
    <row r="105">
      <c r="A105" s="27" t="inlineStr">
        <is>
          <t>總有機碳</t>
        </is>
      </c>
      <c r="B105" s="28" t="inlineStr">
        <is>
          <t>2.6</t>
        </is>
      </c>
      <c r="C105" s="27" t="inlineStr">
        <is>
          <t>mg/L</t>
        </is>
      </c>
      <c r="D105" s="39" t="inlineStr">
        <is>
          <t>合成資料，非實測；method=lab</t>
        </is>
      </c>
      <c r="E105" s="29">
        <f>IF(OR(I105="",I105=0),"",IF(INDEX(Samples[監測點],I105)="","",INDEX(Samples[監測點],I105)))</f>
        <v/>
      </c>
      <c r="F105" s="90">
        <f>IF(OR(I105="",I105=0),"",IF(INDEX(Samples[採樣日期],I105)="","",INDEX(Samples[採樣日期],I105)))</f>
        <v/>
      </c>
      <c r="G105" s="91">
        <f>IF(OR(M105="",M105="NA",M105="N/A"),"",IF(OR(M105="ND",M105="N.D."),0,IFERROR(IF(OR(OR(ISNUMBER(SEARCH("%",O105)),ISNUMBER(SEARCH(" ",O105)),ISNUMBER(SEARCH(",",O105))),OR(SUBSTITUTE(SUBSTITUTE(SUBSTITUTE(SUBSTITUTE(SUBSTITUTE(SUBSTITUTE(SUBSTITUTE(SUBSTITUTE(SUBSTITUTE(SUBSTITUTE(SUBSTITUTE(SUBSTITUTE(SUBSTITUTE(SUBSTITUTE(SUBSTITUTE(SUBSTITUTE(SUBSTITUTE(SUBSTITUTE("x"&amp;M105,"0",""),"1",""),"2",""),"3",""),"4",""),"5",""),"6",""),"7",""),"8",""),"9",""),".",""),"E",""),"+",""),"-",""),"&lt;",""),"&gt;",""),"=","")," ","")&lt;&gt;"x",ISNUMBER(SEARCH("-",SUBSTITUTE(SUBSTITUTE("x"&amp;MID(M105,2,99),"E-","E"),"E+","E"))),ISNUMBER(SEARCH("+",SUBSTITUTE(SUBSTITUTE("x"&amp;MID(M105,2,99),"E-","E"),"E+","E"))))),"",IF(AND(OR(LEFT(M105,1)="&lt;",LEFT(M105,1)="&gt;"),IF(O105="",0,IF(ISNUMBER(AH105),AH105,NA()))&lt;0),"",IF(O105="",0,IF(ISNUMBER(AH105),AH105,NA()))/IF(LEFT(M105,1)="&lt;",2,1))),"")))</f>
        <v/>
      </c>
      <c r="H105" s="57" t="inlineStr">
        <is>
          <t>BH03-W_20260115_01</t>
        </is>
      </c>
      <c r="I105" s="92">
        <f>IF(OR(H105="",AI105=0),0,IF(INDEX(Samples[樣品重複筆數],AI105)=1,AI105,0))</f>
        <v/>
      </c>
      <c r="J105" s="92">
        <f>IF(OR(COUNTA($A105:$D105)=0,I105=0),"",IF(INDEX(Samples[介質],I105)="","",INDEX(Samples[介質],I105)))</f>
        <v/>
      </c>
      <c r="K105" s="92">
        <f>IF(OR(COUNTA($A105:$D105)=0,T105=0),"",IF(INDEX(DB_04[標準單位],T105)="","",INDEX(DB_04[標準單位],T105)))</f>
        <v/>
      </c>
      <c r="L105" s="92">
        <f>IF(COUNTA($A105:$D105)=0,"",IF(OR(C105="",K105=""),"",IF(C105=K105,1,IF(COUNTIFS(DB_06[換算鍵],C105&amp;"|"&amp;K105,DB_06[換算檢查],"OK")=1,INDEX(DB_06[乘數],MATCH(C105&amp;"|"&amp;K105,DB_06[換算鍵],0)),""))))</f>
        <v/>
      </c>
      <c r="M105" s="92">
        <f>UPPER(SUBSTITUTE(SUBSTITUTE(SUBSTITUTE(SUBSTITUTE(TRIM(B105&amp;""),"＜","&lt;"),"＞","&gt;"),"≤","&lt;="),"≥","&gt;="))</f>
        <v/>
      </c>
      <c r="N105" s="92">
        <f>IF(M105="","",IF(OR(M105="ND",M105="N.D."),"ND",IF(OR(M105="NA",M105="N/A",M105="N.A."),"NA",IF(OR(LEFT(M105,2)="&lt;=",LEFT(M105,2)="&gt;="),LEFT(M105,2),IF(OR(LEFT(M105,1)="&lt;",LEFT(M105,1)="&gt;"),LEFT(M105,1),"數值")))))</f>
        <v/>
      </c>
      <c r="O105" s="92">
        <f>IF(OR(N105="",N105="ND",N105="NA"),"",IF(N105="數值",M105,TRIM(MID(M105,LEN(N105)+1,99))))</f>
        <v/>
      </c>
      <c r="P105" s="92">
        <f>IF(O105="","",IFERROR(IF(OR(OR(ISNUMBER(SEARCH("%",O105)),ISNUMBER(SEARCH(" ",O105)),ISNUMBER(SEARCH(",",O105))),OR(SUBSTITUTE(SUBSTITUTE(SUBSTITUTE(SUBSTITUTE(SUBSTITUTE(SUBSTITUTE(SUBSTITUTE(SUBSTITUTE(SUBSTITUTE(SUBSTITUTE(SUBSTITUTE(SUBSTITUTE(SUBSTITUTE(SUBSTITUTE(SUBSTITUTE(SUBSTITUTE(SUBSTITUTE(SUBSTITUTE("x"&amp;O105,"0",""),"1",""),"2",""),"3",""),"4",""),"5",""),"6",""),"7",""),"8",""),"9",""),".",""),"E",""),"+",""),"-",""),"&lt;",""),"&gt;",""),"=","")," ","")&lt;&gt;"x",ISNUMBER(SEARCH("-",SUBSTITUTE(SUBSTITUTE("x"&amp;MID(O105,2,99),"E-","E"),"E+","E"))),ISNUMBER(SEARCH("+",SUBSTITUTE(SUBSTITUTE("x"&amp;MID(O105,2,99),"E-","E"),"E+","E"))))),"",IF(ISNUMBER(AH105),AH105,NA())),""))</f>
        <v/>
      </c>
      <c r="Q105" s="92">
        <f>IF(AND(ISNUMBER(L105),ISNUMBER(P105)),L105*P105,"")</f>
        <v/>
      </c>
      <c r="R105" s="92">
        <f>IF(OR(COUNTA($A105:$D105)=0,U105=0),"",IF(INDEX(DB_05[管制設定值],U105)="","",INDEX(DB_05[管制設定值],U105)))</f>
        <v/>
      </c>
      <c r="S105" s="92">
        <f>IF(OR(COUNTA($A105:$D105)=0,U105=0),"",IF(INDEX(DB_05[監測設定值],U105)="","",INDEX(DB_05[監測設定值],U105)))</f>
        <v/>
      </c>
      <c r="T105" s="92">
        <f>IF(COUNTA($A105:$D105)=0,"",IF(COUNTIFS(DB_04[測項鍵],V105)=1,MATCH(V105,DB_04[測項鍵],0),0))</f>
        <v/>
      </c>
      <c r="U105" s="92">
        <f>IF(COUNTA($A105:$D105)=0,"",IF(COUNTIFS(DB_05[標準鍵],W105)=1,MATCH(W105,DB_05[標準鍵],0),0))</f>
        <v/>
      </c>
      <c r="V105" s="92">
        <f>IF(OR(J105="",A105=""),"",J105&amp;"|"&amp;A105)</f>
        <v/>
      </c>
      <c r="W105" s="92">
        <f>IF(OR('07_QAQC'!$C$3="",V105=""),"",'07_QAQC'!$C$3&amp;"|"&amp;V105)</f>
        <v/>
      </c>
      <c r="X105" s="92">
        <f>IF(OR(H105="",A105=""),"",LEN(H105)&amp;":"&amp;H105&amp;LEN(A105)&amp;":"&amp;A105)</f>
        <v/>
      </c>
      <c r="Y105" s="93">
        <f>IF(COUNTA($A105:$D105)=0,"",IF(I105=0,"樣品未建或重複",IF(INDEX(Samples[樣品檢查],I105)="","OK",INDEX(Samples[樣品檢查],I105))))</f>
        <v/>
      </c>
      <c r="Z105" s="93">
        <f>IF(COUNTA($A105:$D105)=0,"",IF(B105="","缺原始值",IF(OR(B105="-",B105="--"),"無資料",IF(N105="NA","不適用",IF(N105="ND","OK",IF(NOT(ISNUMBER(P105)),"格式待核",IF(AND(N105&lt;&gt;"數值",P105&lt;0),"界限不得為負","OK")))))))</f>
        <v/>
      </c>
      <c r="AA105" s="93">
        <f>IF(COUNTA(A105:D105)=0,"",IF(OR(A105="",H105=""),"缺識別欄位",IF(IF(LEN("="&amp;SUBSTITUTE(SUBSTITUTE(SUBSTITUTE(X105,"~","~~"),"*","~*"),"?","~?"))&lt;=255,COUNTIF(Results[結果識別鍵],"="&amp;SUBSTITUTE(SUBSTITUTE(SUBSTITUTE(X105,"~","~~"),"*","~*"),"?","~?")),COUNTIFS(Results[關聯鍵],"="&amp;SUBSTITUTE(SUBSTITUTE(SUBSTITUTE(H105,"~","~~"),"*","~*"),"?","~?"),Results[分析項目],"="&amp;SUBSTITUTE(SUBSTITUTE(SUBSTITUTE(A105,"~","~~"),"*","~*"),"?","~?")))&gt;1,"同關聯鍵測項重複","OK")))</f>
        <v/>
      </c>
      <c r="AB105" s="93">
        <f>IF(COUNTA($A105:$D105)=0,"",IF(OR(C105="",K105=""),"缺單位",IF(NOT(ISNUMBER(L105)),"單位不相容",IF(L105=1,"OK","已換算"))))</f>
        <v/>
      </c>
      <c r="AC105" s="93">
        <f>IF(COUNTA($A105:$D105)=0,"",IF('07_QAQC'!$C$3="","未選比較版本",IF(U105=0,IF(COUNTIFS(DB_05[標準鍵],W105)&gt;1,"標準鍵重複","未訂此介質／測項門檻"),IF(INDEX(DB_05[版本檢查],U105)&lt;&gt;"OK","標準主檔待核",IF(INDEX(DB_05[標準單位],U105)&lt;&gt;K105,"標準單位不符",IF(INDEX(DB_05[核對狀態],U105)="停用","停用",IF(F105="","缺採樣日期",IF(OR(AND(INDEX(DB_05[生效日],U105)&lt;&gt;"",F105&lt;INDEX(DB_05[生效日],U105)),AND(INDEX(DB_05[失效日],U105)&lt;&gt;"",F105&gt;INDEX(DB_05[失效日],U105))),"日期不適用",INDEX(DB_05[核對狀態],U105)))))))))</f>
        <v/>
      </c>
      <c r="AD105" s="93">
        <f>IF(COUNTA($A105:$D105)=0,"",IF(AC105="未訂此介質／測項門檻",AC105,IF(AC105&lt;&gt;"已核對","標準待核",IF(R105="","未訂管制值",IF(NOT(ISNUMBER(L105)),"單位待核",IF(N105="ND","無法判定（ND無界限）",IF(N105="NA","不適用",IF(Z105&lt;&gt;"OK",Z105,IF(N105="數值",IF(Q105&gt;=R105,"達管制值","未達管制值"),IF(OR(N105="&lt;",N105="&lt;="),IF(OR(Q105&lt;R105,AND(N105="&lt;",Q105=R105)),"未達管制值","無法判定"),IF(OR(N105="&gt;",N105="&gt;="),IF(Q105&gt;=R105,"達管制值","無法判定"),"格式待核")))))))))))</f>
        <v/>
      </c>
      <c r="AE105" s="93">
        <f>IF(COUNTA($A105:$D105)=0,"",IF(AC105="未訂此介質／測項門檻",AC105,IF(AC105&lt;&gt;"已核對","標準待核",IF(S105="","未訂監測值",IF(NOT(ISNUMBER(L105)),"單位待核",IF(N105="ND","無法判定（ND無界限）",IF(N105="NA","不適用",IF(Z105&lt;&gt;"OK",Z105,IF(N105="數值",IF(Q105&gt;=S105,"達監測值","未達監測值"),IF(OR(N105="&lt;",N105="&lt;="),IF(OR(Q105&lt;S105,AND(N105="&lt;",Q105=S105)),"未達監測值","無法判定"),IF(OR(N105="&gt;",N105="&gt;="),IF(Q105&gt;=S105,"達監測值","無法判定"),"格式待核")))))))))))</f>
        <v/>
      </c>
      <c r="AF105" s="93">
        <f>IF(COUNTA($A105:$D105)=0,"",IF(OR(E105="",A105="",B105="",C105=""),"缺必要欄位",IF(Y105&lt;&gt;"OK","樣品資料待補",IF(T105=0,"測項未建或重複",IF(INDEX(DB_04[啟用],T105)&lt;&gt;"是","測項停用",IF(AND(Z105&lt;&gt;"OK",Z105&lt;&gt;"不適用"),Z105,IF(AND(AB105&lt;&gt;"OK",AB105&lt;&gt;"已換算"),"單位待核",IF(AA105&lt;&gt;"OK",AA105,"OK"))))))))</f>
        <v/>
      </c>
      <c r="AG105" s="93">
        <f>IF(COUNTA($A105:$D105)=0,"",IF(N105="ND","ND取0",IF(OR(N105="&lt;",N105="&lt;="),"界限除以2",IF(N105="NA","不適用",IF(OR(N105="&gt;",N105="&gt;="),"保留界限數值","保留原數值")))))</f>
        <v/>
      </c>
      <c r="AH105" s="92">
        <f>IF(O105="","",IFERROR(_xlfn.NUMBERVALUE(O105,".",","),""))</f>
        <v/>
      </c>
      <c r="AI105" s="92">
        <f>IF(H105="","",IFERROR(MATCH(H105,Samples[樣品編號],0),0))</f>
        <v/>
      </c>
    </row>
    <row r="106">
      <c r="A106" s="27" t="inlineStr">
        <is>
          <t>鋅</t>
        </is>
      </c>
      <c r="B106" s="28" t="inlineStr">
        <is>
          <t>124</t>
        </is>
      </c>
      <c r="C106" s="27" t="inlineStr">
        <is>
          <t>mg/kg</t>
        </is>
      </c>
      <c r="D106" s="39" t="inlineStr">
        <is>
          <t>合成資料，非實測；method=XRF; basis=dry</t>
        </is>
      </c>
      <c r="E106" s="29">
        <f>IF(OR(I106="",I106=0),"",IF(INDEX(Samples[監測點],I106)="","",INDEX(Samples[監測點],I106)))</f>
        <v/>
      </c>
      <c r="F106" s="90">
        <f>IF(OR(I106="",I106=0),"",IF(INDEX(Samples[採樣日期],I106)="","",INDEX(Samples[採樣日期],I106)))</f>
        <v/>
      </c>
      <c r="G106" s="91">
        <f>IF(OR(M106="",M106="NA",M106="N/A"),"",IF(OR(M106="ND",M106="N.D."),0,IFERROR(IF(OR(OR(ISNUMBER(SEARCH("%",O106)),ISNUMBER(SEARCH(" ",O106)),ISNUMBER(SEARCH(",",O106))),OR(SUBSTITUTE(SUBSTITUTE(SUBSTITUTE(SUBSTITUTE(SUBSTITUTE(SUBSTITUTE(SUBSTITUTE(SUBSTITUTE(SUBSTITUTE(SUBSTITUTE(SUBSTITUTE(SUBSTITUTE(SUBSTITUTE(SUBSTITUTE(SUBSTITUTE(SUBSTITUTE(SUBSTITUTE(SUBSTITUTE("x"&amp;M106,"0",""),"1",""),"2",""),"3",""),"4",""),"5",""),"6",""),"7",""),"8",""),"9",""),".",""),"E",""),"+",""),"-",""),"&lt;",""),"&gt;",""),"=","")," ","")&lt;&gt;"x",ISNUMBER(SEARCH("-",SUBSTITUTE(SUBSTITUTE("x"&amp;MID(M106,2,99),"E-","E"),"E+","E"))),ISNUMBER(SEARCH("+",SUBSTITUTE(SUBSTITUTE("x"&amp;MID(M106,2,99),"E-","E"),"E+","E"))))),"",IF(AND(OR(LEFT(M106,1)="&lt;",LEFT(M106,1)="&gt;"),IF(O106="",0,IF(ISNUMBER(AH106),AH106,NA()))&lt;0),"",IF(O106="",0,IF(ISNUMBER(AH106),AH106,NA()))/IF(LEFT(M106,1)="&lt;",2,1))),"")))</f>
        <v/>
      </c>
      <c r="H106" s="57" t="inlineStr">
        <is>
          <t>BH03-S_20260115_02</t>
        </is>
      </c>
      <c r="I106" s="92">
        <f>IF(OR(H106="",AI106=0),0,IF(INDEX(Samples[樣品重複筆數],AI106)=1,AI106,0))</f>
        <v/>
      </c>
      <c r="J106" s="92">
        <f>IF(OR(COUNTA($A106:$D106)=0,I106=0),"",IF(INDEX(Samples[介質],I106)="","",INDEX(Samples[介質],I106)))</f>
        <v/>
      </c>
      <c r="K106" s="92">
        <f>IF(OR(COUNTA($A106:$D106)=0,T106=0),"",IF(INDEX(DB_04[標準單位],T106)="","",INDEX(DB_04[標準單位],T106)))</f>
        <v/>
      </c>
      <c r="L106" s="92">
        <f>IF(COUNTA($A106:$D106)=0,"",IF(OR(C106="",K106=""),"",IF(C106=K106,1,IF(COUNTIFS(DB_06[換算鍵],C106&amp;"|"&amp;K106,DB_06[換算檢查],"OK")=1,INDEX(DB_06[乘數],MATCH(C106&amp;"|"&amp;K106,DB_06[換算鍵],0)),""))))</f>
        <v/>
      </c>
      <c r="M106" s="92">
        <f>UPPER(SUBSTITUTE(SUBSTITUTE(SUBSTITUTE(SUBSTITUTE(TRIM(B106&amp;""),"＜","&lt;"),"＞","&gt;"),"≤","&lt;="),"≥","&gt;="))</f>
        <v/>
      </c>
      <c r="N106" s="92">
        <f>IF(M106="","",IF(OR(M106="ND",M106="N.D."),"ND",IF(OR(M106="NA",M106="N/A",M106="N.A."),"NA",IF(OR(LEFT(M106,2)="&lt;=",LEFT(M106,2)="&gt;="),LEFT(M106,2),IF(OR(LEFT(M106,1)="&lt;",LEFT(M106,1)="&gt;"),LEFT(M106,1),"數值")))))</f>
        <v/>
      </c>
      <c r="O106" s="92">
        <f>IF(OR(N106="",N106="ND",N106="NA"),"",IF(N106="數值",M106,TRIM(MID(M106,LEN(N106)+1,99))))</f>
        <v/>
      </c>
      <c r="P106" s="92">
        <f>IF(O106="","",IFERROR(IF(OR(OR(ISNUMBER(SEARCH("%",O106)),ISNUMBER(SEARCH(" ",O106)),ISNUMBER(SEARCH(",",O106))),OR(SUBSTITUTE(SUBSTITUTE(SUBSTITUTE(SUBSTITUTE(SUBSTITUTE(SUBSTITUTE(SUBSTITUTE(SUBSTITUTE(SUBSTITUTE(SUBSTITUTE(SUBSTITUTE(SUBSTITUTE(SUBSTITUTE(SUBSTITUTE(SUBSTITUTE(SUBSTITUTE(SUBSTITUTE(SUBSTITUTE("x"&amp;O106,"0",""),"1",""),"2",""),"3",""),"4",""),"5",""),"6",""),"7",""),"8",""),"9",""),".",""),"E",""),"+",""),"-",""),"&lt;",""),"&gt;",""),"=","")," ","")&lt;&gt;"x",ISNUMBER(SEARCH("-",SUBSTITUTE(SUBSTITUTE("x"&amp;MID(O106,2,99),"E-","E"),"E+","E"))),ISNUMBER(SEARCH("+",SUBSTITUTE(SUBSTITUTE("x"&amp;MID(O106,2,99),"E-","E"),"E+","E"))))),"",IF(ISNUMBER(AH106),AH106,NA())),""))</f>
        <v/>
      </c>
      <c r="Q106" s="92">
        <f>IF(AND(ISNUMBER(L106),ISNUMBER(P106)),L106*P106,"")</f>
        <v/>
      </c>
      <c r="R106" s="92">
        <f>IF(OR(COUNTA($A106:$D106)=0,U106=0),"",IF(INDEX(DB_05[管制設定值],U106)="","",INDEX(DB_05[管制設定值],U106)))</f>
        <v/>
      </c>
      <c r="S106" s="92">
        <f>IF(OR(COUNTA($A106:$D106)=0,U106=0),"",IF(INDEX(DB_05[監測設定值],U106)="","",INDEX(DB_05[監測設定值],U106)))</f>
        <v/>
      </c>
      <c r="T106" s="92">
        <f>IF(COUNTA($A106:$D106)=0,"",IF(COUNTIFS(DB_04[測項鍵],V106)=1,MATCH(V106,DB_04[測項鍵],0),0))</f>
        <v/>
      </c>
      <c r="U106" s="92">
        <f>IF(COUNTA($A106:$D106)=0,"",IF(COUNTIFS(DB_05[標準鍵],W106)=1,MATCH(W106,DB_05[標準鍵],0),0))</f>
        <v/>
      </c>
      <c r="V106" s="92">
        <f>IF(OR(J106="",A106=""),"",J106&amp;"|"&amp;A106)</f>
        <v/>
      </c>
      <c r="W106" s="92">
        <f>IF(OR('07_QAQC'!$C$3="",V106=""),"",'07_QAQC'!$C$3&amp;"|"&amp;V106)</f>
        <v/>
      </c>
      <c r="X106" s="92">
        <f>IF(OR(H106="",A106=""),"",LEN(H106)&amp;":"&amp;H106&amp;LEN(A106)&amp;":"&amp;A106)</f>
        <v/>
      </c>
      <c r="Y106" s="93">
        <f>IF(COUNTA($A106:$D106)=0,"",IF(I106=0,"樣品未建或重複",IF(INDEX(Samples[樣品檢查],I106)="","OK",INDEX(Samples[樣品檢查],I106))))</f>
        <v/>
      </c>
      <c r="Z106" s="93">
        <f>IF(COUNTA($A106:$D106)=0,"",IF(B106="","缺原始值",IF(OR(B106="-",B106="--"),"無資料",IF(N106="NA","不適用",IF(N106="ND","OK",IF(NOT(ISNUMBER(P106)),"格式待核",IF(AND(N106&lt;&gt;"數值",P106&lt;0),"界限不得為負","OK")))))))</f>
        <v/>
      </c>
      <c r="AA106" s="93">
        <f>IF(COUNTA(A106:D106)=0,"",IF(OR(A106="",H106=""),"缺識別欄位",IF(IF(LEN("="&amp;SUBSTITUTE(SUBSTITUTE(SUBSTITUTE(X106,"~","~~"),"*","~*"),"?","~?"))&lt;=255,COUNTIF(Results[結果識別鍵],"="&amp;SUBSTITUTE(SUBSTITUTE(SUBSTITUTE(X106,"~","~~"),"*","~*"),"?","~?")),COUNTIFS(Results[關聯鍵],"="&amp;SUBSTITUTE(SUBSTITUTE(SUBSTITUTE(H106,"~","~~"),"*","~*"),"?","~?"),Results[分析項目],"="&amp;SUBSTITUTE(SUBSTITUTE(SUBSTITUTE(A106,"~","~~"),"*","~*"),"?","~?")))&gt;1,"同關聯鍵測項重複","OK")))</f>
        <v/>
      </c>
      <c r="AB106" s="93">
        <f>IF(COUNTA($A106:$D106)=0,"",IF(OR(C106="",K106=""),"缺單位",IF(NOT(ISNUMBER(L106)),"單位不相容",IF(L106=1,"OK","已換算"))))</f>
        <v/>
      </c>
      <c r="AC106" s="93">
        <f>IF(COUNTA($A106:$D106)=0,"",IF('07_QAQC'!$C$3="","未選比較版本",IF(U106=0,IF(COUNTIFS(DB_05[標準鍵],W106)&gt;1,"標準鍵重複","未訂此介質／測項門檻"),IF(INDEX(DB_05[版本檢查],U106)&lt;&gt;"OK","標準主檔待核",IF(INDEX(DB_05[標準單位],U106)&lt;&gt;K106,"標準單位不符",IF(INDEX(DB_05[核對狀態],U106)="停用","停用",IF(F106="","缺採樣日期",IF(OR(AND(INDEX(DB_05[生效日],U106)&lt;&gt;"",F106&lt;INDEX(DB_05[生效日],U106)),AND(INDEX(DB_05[失效日],U106)&lt;&gt;"",F106&gt;INDEX(DB_05[失效日],U106))),"日期不適用",INDEX(DB_05[核對狀態],U106)))))))))</f>
        <v/>
      </c>
      <c r="AD106" s="93">
        <f>IF(COUNTA($A106:$D106)=0,"",IF(AC106="未訂此介質／測項門檻",AC106,IF(AC106&lt;&gt;"已核對","標準待核",IF(R106="","未訂管制值",IF(NOT(ISNUMBER(L106)),"單位待核",IF(N106="ND","無法判定（ND無界限）",IF(N106="NA","不適用",IF(Z106&lt;&gt;"OK",Z106,IF(N106="數值",IF(Q106&gt;=R106,"達管制值","未達管制值"),IF(OR(N106="&lt;",N106="&lt;="),IF(OR(Q106&lt;R106,AND(N106="&lt;",Q106=R106)),"未達管制值","無法判定"),IF(OR(N106="&gt;",N106="&gt;="),IF(Q106&gt;=R106,"達管制值","無法判定"),"格式待核")))))))))))</f>
        <v/>
      </c>
      <c r="AE106" s="93">
        <f>IF(COUNTA($A106:$D106)=0,"",IF(AC106="未訂此介質／測項門檻",AC106,IF(AC106&lt;&gt;"已核對","標準待核",IF(S106="","未訂監測值",IF(NOT(ISNUMBER(L106)),"單位待核",IF(N106="ND","無法判定（ND無界限）",IF(N106="NA","不適用",IF(Z106&lt;&gt;"OK",Z106,IF(N106="數值",IF(Q106&gt;=S106,"達監測值","未達監測值"),IF(OR(N106="&lt;",N106="&lt;="),IF(OR(Q106&lt;S106,AND(N106="&lt;",Q106=S106)),"未達監測值","無法判定"),IF(OR(N106="&gt;",N106="&gt;="),IF(Q106&gt;=S106,"達監測值","無法判定"),"格式待核")))))))))))</f>
        <v/>
      </c>
      <c r="AF106" s="93">
        <f>IF(COUNTA($A106:$D106)=0,"",IF(OR(E106="",A106="",B106="",C106=""),"缺必要欄位",IF(Y106&lt;&gt;"OK","樣品資料待補",IF(T106=0,"測項未建或重複",IF(INDEX(DB_04[啟用],T106)&lt;&gt;"是","測項停用",IF(AND(Z106&lt;&gt;"OK",Z106&lt;&gt;"不適用"),Z106,IF(AND(AB106&lt;&gt;"OK",AB106&lt;&gt;"已換算"),"單位待核",IF(AA106&lt;&gt;"OK",AA106,"OK"))))))))</f>
        <v/>
      </c>
      <c r="AG106" s="93">
        <f>IF(COUNTA($A106:$D106)=0,"",IF(N106="ND","ND取0",IF(OR(N106="&lt;",N106="&lt;="),"界限除以2",IF(N106="NA","不適用",IF(OR(N106="&gt;",N106="&gt;="),"保留界限數值","保留原數值")))))</f>
        <v/>
      </c>
      <c r="AH106" s="92">
        <f>IF(O106="","",IFERROR(_xlfn.NUMBERVALUE(O106,".",","),""))</f>
        <v/>
      </c>
      <c r="AI106" s="92">
        <f>IF(H106="","",IFERROR(MATCH(H106,Samples[樣品編號],0),0))</f>
        <v/>
      </c>
    </row>
    <row r="107">
      <c r="A107" s="27" t="inlineStr">
        <is>
          <t>總有機碳</t>
        </is>
      </c>
      <c r="B107" s="28" t="inlineStr">
        <is>
          <t>0.41</t>
        </is>
      </c>
      <c r="C107" s="27" t="inlineStr">
        <is>
          <t>%</t>
        </is>
      </c>
      <c r="D107" s="39" t="inlineStr">
        <is>
          <t>合成資料，非實測；method=lab; basis=dry</t>
        </is>
      </c>
      <c r="E107" s="29">
        <f>IF(OR(I107="",I107=0),"",IF(INDEX(Samples[監測點],I107)="","",INDEX(Samples[監測點],I107)))</f>
        <v/>
      </c>
      <c r="F107" s="90">
        <f>IF(OR(I107="",I107=0),"",IF(INDEX(Samples[採樣日期],I107)="","",INDEX(Samples[採樣日期],I107)))</f>
        <v/>
      </c>
      <c r="G107" s="91">
        <f>IF(OR(M107="",M107="NA",M107="N/A"),"",IF(OR(M107="ND",M107="N.D."),0,IFERROR(IF(OR(OR(ISNUMBER(SEARCH("%",O107)),ISNUMBER(SEARCH(" ",O107)),ISNUMBER(SEARCH(",",O107))),OR(SUBSTITUTE(SUBSTITUTE(SUBSTITUTE(SUBSTITUTE(SUBSTITUTE(SUBSTITUTE(SUBSTITUTE(SUBSTITUTE(SUBSTITUTE(SUBSTITUTE(SUBSTITUTE(SUBSTITUTE(SUBSTITUTE(SUBSTITUTE(SUBSTITUTE(SUBSTITUTE(SUBSTITUTE(SUBSTITUTE("x"&amp;M107,"0",""),"1",""),"2",""),"3",""),"4",""),"5",""),"6",""),"7",""),"8",""),"9",""),".",""),"E",""),"+",""),"-",""),"&lt;",""),"&gt;",""),"=","")," ","")&lt;&gt;"x",ISNUMBER(SEARCH("-",SUBSTITUTE(SUBSTITUTE("x"&amp;MID(M107,2,99),"E-","E"),"E+","E"))),ISNUMBER(SEARCH("+",SUBSTITUTE(SUBSTITUTE("x"&amp;MID(M107,2,99),"E-","E"),"E+","E"))))),"",IF(AND(OR(LEFT(M107,1)="&lt;",LEFT(M107,1)="&gt;"),IF(O107="",0,IF(ISNUMBER(AH107),AH107,NA()))&lt;0),"",IF(O107="",0,IF(ISNUMBER(AH107),AH107,NA()))/IF(LEFT(M107,1)="&lt;",2,1))),"")))</f>
        <v/>
      </c>
      <c r="H107" s="57" t="inlineStr">
        <is>
          <t>BH03-S_20260115_02</t>
        </is>
      </c>
      <c r="I107" s="92">
        <f>IF(OR(H107="",AI107=0),0,IF(INDEX(Samples[樣品重複筆數],AI107)=1,AI107,0))</f>
        <v/>
      </c>
      <c r="J107" s="92">
        <f>IF(OR(COUNTA($A107:$D107)=0,I107=0),"",IF(INDEX(Samples[介質],I107)="","",INDEX(Samples[介質],I107)))</f>
        <v/>
      </c>
      <c r="K107" s="92">
        <f>IF(OR(COUNTA($A107:$D107)=0,T107=0),"",IF(INDEX(DB_04[標準單位],T107)="","",INDEX(DB_04[標準單位],T107)))</f>
        <v/>
      </c>
      <c r="L107" s="92">
        <f>IF(COUNTA($A107:$D107)=0,"",IF(OR(C107="",K107=""),"",IF(C107=K107,1,IF(COUNTIFS(DB_06[換算鍵],C107&amp;"|"&amp;K107,DB_06[換算檢查],"OK")=1,INDEX(DB_06[乘數],MATCH(C107&amp;"|"&amp;K107,DB_06[換算鍵],0)),""))))</f>
        <v/>
      </c>
      <c r="M107" s="92">
        <f>UPPER(SUBSTITUTE(SUBSTITUTE(SUBSTITUTE(SUBSTITUTE(TRIM(B107&amp;""),"＜","&lt;"),"＞","&gt;"),"≤","&lt;="),"≥","&gt;="))</f>
        <v/>
      </c>
      <c r="N107" s="92">
        <f>IF(M107="","",IF(OR(M107="ND",M107="N.D."),"ND",IF(OR(M107="NA",M107="N/A",M107="N.A."),"NA",IF(OR(LEFT(M107,2)="&lt;=",LEFT(M107,2)="&gt;="),LEFT(M107,2),IF(OR(LEFT(M107,1)="&lt;",LEFT(M107,1)="&gt;"),LEFT(M107,1),"數值")))))</f>
        <v/>
      </c>
      <c r="O107" s="92">
        <f>IF(OR(N107="",N107="ND",N107="NA"),"",IF(N107="數值",M107,TRIM(MID(M107,LEN(N107)+1,99))))</f>
        <v/>
      </c>
      <c r="P107" s="92">
        <f>IF(O107="","",IFERROR(IF(OR(OR(ISNUMBER(SEARCH("%",O107)),ISNUMBER(SEARCH(" ",O107)),ISNUMBER(SEARCH(",",O107))),OR(SUBSTITUTE(SUBSTITUTE(SUBSTITUTE(SUBSTITUTE(SUBSTITUTE(SUBSTITUTE(SUBSTITUTE(SUBSTITUTE(SUBSTITUTE(SUBSTITUTE(SUBSTITUTE(SUBSTITUTE(SUBSTITUTE(SUBSTITUTE(SUBSTITUTE(SUBSTITUTE(SUBSTITUTE(SUBSTITUTE("x"&amp;O107,"0",""),"1",""),"2",""),"3",""),"4",""),"5",""),"6",""),"7",""),"8",""),"9",""),".",""),"E",""),"+",""),"-",""),"&lt;",""),"&gt;",""),"=","")," ","")&lt;&gt;"x",ISNUMBER(SEARCH("-",SUBSTITUTE(SUBSTITUTE("x"&amp;MID(O107,2,99),"E-","E"),"E+","E"))),ISNUMBER(SEARCH("+",SUBSTITUTE(SUBSTITUTE("x"&amp;MID(O107,2,99),"E-","E"),"E+","E"))))),"",IF(ISNUMBER(AH107),AH107,NA())),""))</f>
        <v/>
      </c>
      <c r="Q107" s="92">
        <f>IF(AND(ISNUMBER(L107),ISNUMBER(P107)),L107*P107,"")</f>
        <v/>
      </c>
      <c r="R107" s="92">
        <f>IF(OR(COUNTA($A107:$D107)=0,U107=0),"",IF(INDEX(DB_05[管制設定值],U107)="","",INDEX(DB_05[管制設定值],U107)))</f>
        <v/>
      </c>
      <c r="S107" s="92">
        <f>IF(OR(COUNTA($A107:$D107)=0,U107=0),"",IF(INDEX(DB_05[監測設定值],U107)="","",INDEX(DB_05[監測設定值],U107)))</f>
        <v/>
      </c>
      <c r="T107" s="92">
        <f>IF(COUNTA($A107:$D107)=0,"",IF(COUNTIFS(DB_04[測項鍵],V107)=1,MATCH(V107,DB_04[測項鍵],0),0))</f>
        <v/>
      </c>
      <c r="U107" s="92">
        <f>IF(COUNTA($A107:$D107)=0,"",IF(COUNTIFS(DB_05[標準鍵],W107)=1,MATCH(W107,DB_05[標準鍵],0),0))</f>
        <v/>
      </c>
      <c r="V107" s="92">
        <f>IF(OR(J107="",A107=""),"",J107&amp;"|"&amp;A107)</f>
        <v/>
      </c>
      <c r="W107" s="92">
        <f>IF(OR('07_QAQC'!$C$3="",V107=""),"",'07_QAQC'!$C$3&amp;"|"&amp;V107)</f>
        <v/>
      </c>
      <c r="X107" s="92">
        <f>IF(OR(H107="",A107=""),"",LEN(H107)&amp;":"&amp;H107&amp;LEN(A107)&amp;":"&amp;A107)</f>
        <v/>
      </c>
      <c r="Y107" s="93">
        <f>IF(COUNTA($A107:$D107)=0,"",IF(I107=0,"樣品未建或重複",IF(INDEX(Samples[樣品檢查],I107)="","OK",INDEX(Samples[樣品檢查],I107))))</f>
        <v/>
      </c>
      <c r="Z107" s="93">
        <f>IF(COUNTA($A107:$D107)=0,"",IF(B107="","缺原始值",IF(OR(B107="-",B107="--"),"無資料",IF(N107="NA","不適用",IF(N107="ND","OK",IF(NOT(ISNUMBER(P107)),"格式待核",IF(AND(N107&lt;&gt;"數值",P107&lt;0),"界限不得為負","OK")))))))</f>
        <v/>
      </c>
      <c r="AA107" s="93">
        <f>IF(COUNTA(A107:D107)=0,"",IF(OR(A107="",H107=""),"缺識別欄位",IF(IF(LEN("="&amp;SUBSTITUTE(SUBSTITUTE(SUBSTITUTE(X107,"~","~~"),"*","~*"),"?","~?"))&lt;=255,COUNTIF(Results[結果識別鍵],"="&amp;SUBSTITUTE(SUBSTITUTE(SUBSTITUTE(X107,"~","~~"),"*","~*"),"?","~?")),COUNTIFS(Results[關聯鍵],"="&amp;SUBSTITUTE(SUBSTITUTE(SUBSTITUTE(H107,"~","~~"),"*","~*"),"?","~?"),Results[分析項目],"="&amp;SUBSTITUTE(SUBSTITUTE(SUBSTITUTE(A107,"~","~~"),"*","~*"),"?","~?")))&gt;1,"同關聯鍵測項重複","OK")))</f>
        <v/>
      </c>
      <c r="AB107" s="93">
        <f>IF(COUNTA($A107:$D107)=0,"",IF(OR(C107="",K107=""),"缺單位",IF(NOT(ISNUMBER(L107)),"單位不相容",IF(L107=1,"OK","已換算"))))</f>
        <v/>
      </c>
      <c r="AC107" s="93">
        <f>IF(COUNTA($A107:$D107)=0,"",IF('07_QAQC'!$C$3="","未選比較版本",IF(U107=0,IF(COUNTIFS(DB_05[標準鍵],W107)&gt;1,"標準鍵重複","未訂此介質／測項門檻"),IF(INDEX(DB_05[版本檢查],U107)&lt;&gt;"OK","標準主檔待核",IF(INDEX(DB_05[標準單位],U107)&lt;&gt;K107,"標準單位不符",IF(INDEX(DB_05[核對狀態],U107)="停用","停用",IF(F107="","缺採樣日期",IF(OR(AND(INDEX(DB_05[生效日],U107)&lt;&gt;"",F107&lt;INDEX(DB_05[生效日],U107)),AND(INDEX(DB_05[失效日],U107)&lt;&gt;"",F107&gt;INDEX(DB_05[失效日],U107))),"日期不適用",INDEX(DB_05[核對狀態],U107)))))))))</f>
        <v/>
      </c>
      <c r="AD107" s="93">
        <f>IF(COUNTA($A107:$D107)=0,"",IF(AC107="未訂此介質／測項門檻",AC107,IF(AC107&lt;&gt;"已核對","標準待核",IF(R107="","未訂管制值",IF(NOT(ISNUMBER(L107)),"單位待核",IF(N107="ND","無法判定（ND無界限）",IF(N107="NA","不適用",IF(Z107&lt;&gt;"OK",Z107,IF(N107="數值",IF(Q107&gt;=R107,"達管制值","未達管制值"),IF(OR(N107="&lt;",N107="&lt;="),IF(OR(Q107&lt;R107,AND(N107="&lt;",Q107=R107)),"未達管制值","無法判定"),IF(OR(N107="&gt;",N107="&gt;="),IF(Q107&gt;=R107,"達管制值","無法判定"),"格式待核")))))))))))</f>
        <v/>
      </c>
      <c r="AE107" s="93">
        <f>IF(COUNTA($A107:$D107)=0,"",IF(AC107="未訂此介質／測項門檻",AC107,IF(AC107&lt;&gt;"已核對","標準待核",IF(S107="","未訂監測值",IF(NOT(ISNUMBER(L107)),"單位待核",IF(N107="ND","無法判定（ND無界限）",IF(N107="NA","不適用",IF(Z107&lt;&gt;"OK",Z107,IF(N107="數值",IF(Q107&gt;=S107,"達監測值","未達監測值"),IF(OR(N107="&lt;",N107="&lt;="),IF(OR(Q107&lt;S107,AND(N107="&lt;",Q107=S107)),"未達監測值","無法判定"),IF(OR(N107="&gt;",N107="&gt;="),IF(Q107&gt;=S107,"達監測值","無法判定"),"格式待核")))))))))))</f>
        <v/>
      </c>
      <c r="AF107" s="93">
        <f>IF(COUNTA($A107:$D107)=0,"",IF(OR(E107="",A107="",B107="",C107=""),"缺必要欄位",IF(Y107&lt;&gt;"OK","樣品資料待補",IF(T107=0,"測項未建或重複",IF(INDEX(DB_04[啟用],T107)&lt;&gt;"是","測項停用",IF(AND(Z107&lt;&gt;"OK",Z107&lt;&gt;"不適用"),Z107,IF(AND(AB107&lt;&gt;"OK",AB107&lt;&gt;"已換算"),"單位待核",IF(AA107&lt;&gt;"OK",AA107,"OK"))))))))</f>
        <v/>
      </c>
      <c r="AG107" s="93">
        <f>IF(COUNTA($A107:$D107)=0,"",IF(N107="ND","ND取0",IF(OR(N107="&lt;",N107="&lt;="),"界限除以2",IF(N107="NA","不適用",IF(OR(N107="&gt;",N107="&gt;="),"保留界限數值","保留原數值")))))</f>
        <v/>
      </c>
      <c r="AH107" s="92">
        <f>IF(O107="","",IFERROR(_xlfn.NUMBERVALUE(O107,".",","),""))</f>
        <v/>
      </c>
      <c r="AI107" s="92">
        <f>IF(H107="","",IFERROR(MATCH(H107,Samples[樣品編號],0),0))</f>
        <v/>
      </c>
    </row>
    <row r="108">
      <c r="A108" s="27" t="inlineStr">
        <is>
          <t>pH</t>
        </is>
      </c>
      <c r="B108" s="28" t="inlineStr">
        <is>
          <t>6.71</t>
        </is>
      </c>
      <c r="C108" s="27" t="inlineStr">
        <is>
          <t>無因次</t>
        </is>
      </c>
      <c r="D108" s="39" t="inlineStr">
        <is>
          <t>合成資料，非實測；method=field</t>
        </is>
      </c>
      <c r="E108" s="29">
        <f>IF(OR(I108="",I108=0),"",IF(INDEX(Samples[監測點],I108)="","",INDEX(Samples[監測點],I108)))</f>
        <v/>
      </c>
      <c r="F108" s="90">
        <f>IF(OR(I108="",I108=0),"",IF(INDEX(Samples[採樣日期],I108)="","",INDEX(Samples[採樣日期],I108)))</f>
        <v/>
      </c>
      <c r="G108" s="91">
        <f>IF(OR(M108="",M108="NA",M108="N/A"),"",IF(OR(M108="ND",M108="N.D."),0,IFERROR(IF(OR(OR(ISNUMBER(SEARCH("%",O108)),ISNUMBER(SEARCH(" ",O108)),ISNUMBER(SEARCH(",",O108))),OR(SUBSTITUTE(SUBSTITUTE(SUBSTITUTE(SUBSTITUTE(SUBSTITUTE(SUBSTITUTE(SUBSTITUTE(SUBSTITUTE(SUBSTITUTE(SUBSTITUTE(SUBSTITUTE(SUBSTITUTE(SUBSTITUTE(SUBSTITUTE(SUBSTITUTE(SUBSTITUTE(SUBSTITUTE(SUBSTITUTE("x"&amp;M108,"0",""),"1",""),"2",""),"3",""),"4",""),"5",""),"6",""),"7",""),"8",""),"9",""),".",""),"E",""),"+",""),"-",""),"&lt;",""),"&gt;",""),"=","")," ","")&lt;&gt;"x",ISNUMBER(SEARCH("-",SUBSTITUTE(SUBSTITUTE("x"&amp;MID(M108,2,99),"E-","E"),"E+","E"))),ISNUMBER(SEARCH("+",SUBSTITUTE(SUBSTITUTE("x"&amp;MID(M108,2,99),"E-","E"),"E+","E"))))),"",IF(AND(OR(LEFT(M108,1)="&lt;",LEFT(M108,1)="&gt;"),IF(O108="",0,IF(ISNUMBER(AH108),AH108,NA()))&lt;0),"",IF(O108="",0,IF(ISNUMBER(AH108),AH108,NA()))/IF(LEFT(M108,1)="&lt;",2,1))),"")))</f>
        <v/>
      </c>
      <c r="H108" s="57" t="inlineStr">
        <is>
          <t>BH03-W_20260115_02</t>
        </is>
      </c>
      <c r="I108" s="92">
        <f>IF(OR(H108="",AI108=0),0,IF(INDEX(Samples[樣品重複筆數],AI108)=1,AI108,0))</f>
        <v/>
      </c>
      <c r="J108" s="92">
        <f>IF(OR(COUNTA($A108:$D108)=0,I108=0),"",IF(INDEX(Samples[介質],I108)="","",INDEX(Samples[介質],I108)))</f>
        <v/>
      </c>
      <c r="K108" s="92">
        <f>IF(OR(COUNTA($A108:$D108)=0,T108=0),"",IF(INDEX(DB_04[標準單位],T108)="","",INDEX(DB_04[標準單位],T108)))</f>
        <v/>
      </c>
      <c r="L108" s="92">
        <f>IF(COUNTA($A108:$D108)=0,"",IF(OR(C108="",K108=""),"",IF(C108=K108,1,IF(COUNTIFS(DB_06[換算鍵],C108&amp;"|"&amp;K108,DB_06[換算檢查],"OK")=1,INDEX(DB_06[乘數],MATCH(C108&amp;"|"&amp;K108,DB_06[換算鍵],0)),""))))</f>
        <v/>
      </c>
      <c r="M108" s="92">
        <f>UPPER(SUBSTITUTE(SUBSTITUTE(SUBSTITUTE(SUBSTITUTE(TRIM(B108&amp;""),"＜","&lt;"),"＞","&gt;"),"≤","&lt;="),"≥","&gt;="))</f>
        <v/>
      </c>
      <c r="N108" s="92">
        <f>IF(M108="","",IF(OR(M108="ND",M108="N.D."),"ND",IF(OR(M108="NA",M108="N/A",M108="N.A."),"NA",IF(OR(LEFT(M108,2)="&lt;=",LEFT(M108,2)="&gt;="),LEFT(M108,2),IF(OR(LEFT(M108,1)="&lt;",LEFT(M108,1)="&gt;"),LEFT(M108,1),"數值")))))</f>
        <v/>
      </c>
      <c r="O108" s="92">
        <f>IF(OR(N108="",N108="ND",N108="NA"),"",IF(N108="數值",M108,TRIM(MID(M108,LEN(N108)+1,99))))</f>
        <v/>
      </c>
      <c r="P108" s="92">
        <f>IF(O108="","",IFERROR(IF(OR(OR(ISNUMBER(SEARCH("%",O108)),ISNUMBER(SEARCH(" ",O108)),ISNUMBER(SEARCH(",",O108))),OR(SUBSTITUTE(SUBSTITUTE(SUBSTITUTE(SUBSTITUTE(SUBSTITUTE(SUBSTITUTE(SUBSTITUTE(SUBSTITUTE(SUBSTITUTE(SUBSTITUTE(SUBSTITUTE(SUBSTITUTE(SUBSTITUTE(SUBSTITUTE(SUBSTITUTE(SUBSTITUTE(SUBSTITUTE(SUBSTITUTE("x"&amp;O108,"0",""),"1",""),"2",""),"3",""),"4",""),"5",""),"6",""),"7",""),"8",""),"9",""),".",""),"E",""),"+",""),"-",""),"&lt;",""),"&gt;",""),"=","")," ","")&lt;&gt;"x",ISNUMBER(SEARCH("-",SUBSTITUTE(SUBSTITUTE("x"&amp;MID(O108,2,99),"E-","E"),"E+","E"))),ISNUMBER(SEARCH("+",SUBSTITUTE(SUBSTITUTE("x"&amp;MID(O108,2,99),"E-","E"),"E+","E"))))),"",IF(ISNUMBER(AH108),AH108,NA())),""))</f>
        <v/>
      </c>
      <c r="Q108" s="92">
        <f>IF(AND(ISNUMBER(L108),ISNUMBER(P108)),L108*P108,"")</f>
        <v/>
      </c>
      <c r="R108" s="92">
        <f>IF(OR(COUNTA($A108:$D108)=0,U108=0),"",IF(INDEX(DB_05[管制設定值],U108)="","",INDEX(DB_05[管制設定值],U108)))</f>
        <v/>
      </c>
      <c r="S108" s="92">
        <f>IF(OR(COUNTA($A108:$D108)=0,U108=0),"",IF(INDEX(DB_05[監測設定值],U108)="","",INDEX(DB_05[監測設定值],U108)))</f>
        <v/>
      </c>
      <c r="T108" s="92">
        <f>IF(COUNTA($A108:$D108)=0,"",IF(COUNTIFS(DB_04[測項鍵],V108)=1,MATCH(V108,DB_04[測項鍵],0),0))</f>
        <v/>
      </c>
      <c r="U108" s="92">
        <f>IF(COUNTA($A108:$D108)=0,"",IF(COUNTIFS(DB_05[標準鍵],W108)=1,MATCH(W108,DB_05[標準鍵],0),0))</f>
        <v/>
      </c>
      <c r="V108" s="92">
        <f>IF(OR(J108="",A108=""),"",J108&amp;"|"&amp;A108)</f>
        <v/>
      </c>
      <c r="W108" s="92">
        <f>IF(OR('07_QAQC'!$C$3="",V108=""),"",'07_QAQC'!$C$3&amp;"|"&amp;V108)</f>
        <v/>
      </c>
      <c r="X108" s="92">
        <f>IF(OR(H108="",A108=""),"",LEN(H108)&amp;":"&amp;H108&amp;LEN(A108)&amp;":"&amp;A108)</f>
        <v/>
      </c>
      <c r="Y108" s="93">
        <f>IF(COUNTA($A108:$D108)=0,"",IF(I108=0,"樣品未建或重複",IF(INDEX(Samples[樣品檢查],I108)="","OK",INDEX(Samples[樣品檢查],I108))))</f>
        <v/>
      </c>
      <c r="Z108" s="93">
        <f>IF(COUNTA($A108:$D108)=0,"",IF(B108="","缺原始值",IF(OR(B108="-",B108="--"),"無資料",IF(N108="NA","不適用",IF(N108="ND","OK",IF(NOT(ISNUMBER(P108)),"格式待核",IF(AND(N108&lt;&gt;"數值",P108&lt;0),"界限不得為負","OK")))))))</f>
        <v/>
      </c>
      <c r="AA108" s="93">
        <f>IF(COUNTA(A108:D108)=0,"",IF(OR(A108="",H108=""),"缺識別欄位",IF(IF(LEN("="&amp;SUBSTITUTE(SUBSTITUTE(SUBSTITUTE(X108,"~","~~"),"*","~*"),"?","~?"))&lt;=255,COUNTIF(Results[結果識別鍵],"="&amp;SUBSTITUTE(SUBSTITUTE(SUBSTITUTE(X108,"~","~~"),"*","~*"),"?","~?")),COUNTIFS(Results[關聯鍵],"="&amp;SUBSTITUTE(SUBSTITUTE(SUBSTITUTE(H108,"~","~~"),"*","~*"),"?","~?"),Results[分析項目],"="&amp;SUBSTITUTE(SUBSTITUTE(SUBSTITUTE(A108,"~","~~"),"*","~*"),"?","~?")))&gt;1,"同關聯鍵測項重複","OK")))</f>
        <v/>
      </c>
      <c r="AB108" s="93">
        <f>IF(COUNTA($A108:$D108)=0,"",IF(OR(C108="",K108=""),"缺單位",IF(NOT(ISNUMBER(L108)),"單位不相容",IF(L108=1,"OK","已換算"))))</f>
        <v/>
      </c>
      <c r="AC108" s="93">
        <f>IF(COUNTA($A108:$D108)=0,"",IF('07_QAQC'!$C$3="","未選比較版本",IF(U108=0,IF(COUNTIFS(DB_05[標準鍵],W108)&gt;1,"標準鍵重複","未訂此介質／測項門檻"),IF(INDEX(DB_05[版本檢查],U108)&lt;&gt;"OK","標準主檔待核",IF(INDEX(DB_05[標準單位],U108)&lt;&gt;K108,"標準單位不符",IF(INDEX(DB_05[核對狀態],U108)="停用","停用",IF(F108="","缺採樣日期",IF(OR(AND(INDEX(DB_05[生效日],U108)&lt;&gt;"",F108&lt;INDEX(DB_05[生效日],U108)),AND(INDEX(DB_05[失效日],U108)&lt;&gt;"",F108&gt;INDEX(DB_05[失效日],U108))),"日期不適用",INDEX(DB_05[核對狀態],U108)))))))))</f>
        <v/>
      </c>
      <c r="AD108" s="93">
        <f>IF(COUNTA($A108:$D108)=0,"",IF(AC108="未訂此介質／測項門檻",AC108,IF(AC108&lt;&gt;"已核對","標準待核",IF(R108="","未訂管制值",IF(NOT(ISNUMBER(L108)),"單位待核",IF(N108="ND","無法判定（ND無界限）",IF(N108="NA","不適用",IF(Z108&lt;&gt;"OK",Z108,IF(N108="數值",IF(Q108&gt;=R108,"達管制值","未達管制值"),IF(OR(N108="&lt;",N108="&lt;="),IF(OR(Q108&lt;R108,AND(N108="&lt;",Q108=R108)),"未達管制值","無法判定"),IF(OR(N108="&gt;",N108="&gt;="),IF(Q108&gt;=R108,"達管制值","無法判定"),"格式待核")))))))))))</f>
        <v/>
      </c>
      <c r="AE108" s="93">
        <f>IF(COUNTA($A108:$D108)=0,"",IF(AC108="未訂此介質／測項門檻",AC108,IF(AC108&lt;&gt;"已核對","標準待核",IF(S108="","未訂監測值",IF(NOT(ISNUMBER(L108)),"單位待核",IF(N108="ND","無法判定（ND無界限）",IF(N108="NA","不適用",IF(Z108&lt;&gt;"OK",Z108,IF(N108="數值",IF(Q108&gt;=S108,"達監測值","未達監測值"),IF(OR(N108="&lt;",N108="&lt;="),IF(OR(Q108&lt;S108,AND(N108="&lt;",Q108=S108)),"未達監測值","無法判定"),IF(OR(N108="&gt;",N108="&gt;="),IF(Q108&gt;=S108,"達監測值","無法判定"),"格式待核")))))))))))</f>
        <v/>
      </c>
      <c r="AF108" s="93">
        <f>IF(COUNTA($A108:$D108)=0,"",IF(OR(E108="",A108="",B108="",C108=""),"缺必要欄位",IF(Y108&lt;&gt;"OK","樣品資料待補",IF(T108=0,"測項未建或重複",IF(INDEX(DB_04[啟用],T108)&lt;&gt;"是","測項停用",IF(AND(Z108&lt;&gt;"OK",Z108&lt;&gt;"不適用"),Z108,IF(AND(AB108&lt;&gt;"OK",AB108&lt;&gt;"已換算"),"單位待核",IF(AA108&lt;&gt;"OK",AA108,"OK"))))))))</f>
        <v/>
      </c>
      <c r="AG108" s="93">
        <f>IF(COUNTA($A108:$D108)=0,"",IF(N108="ND","ND取0",IF(OR(N108="&lt;",N108="&lt;="),"界限除以2",IF(N108="NA","不適用",IF(OR(N108="&gt;",N108="&gt;="),"保留界限數值","保留原數值")))))</f>
        <v/>
      </c>
      <c r="AH108" s="92">
        <f>IF(O108="","",IFERROR(_xlfn.NUMBERVALUE(O108,".",","),""))</f>
        <v/>
      </c>
      <c r="AI108" s="92">
        <f>IF(H108="","",IFERROR(MATCH(H108,Samples[樣品編號],0),0))</f>
        <v/>
      </c>
    </row>
    <row r="109">
      <c r="A109" s="27" t="inlineStr">
        <is>
          <t>EC</t>
        </is>
      </c>
      <c r="B109" s="28" t="inlineStr">
        <is>
          <t>0.59</t>
        </is>
      </c>
      <c r="C109" s="27" t="inlineStr">
        <is>
          <t>mS/cm</t>
        </is>
      </c>
      <c r="D109" s="39" t="inlineStr">
        <is>
          <t>合成資料，非實測；method=field; temperature=25; temperature_compensated=25C; reference_temperature=25</t>
        </is>
      </c>
      <c r="E109" s="29">
        <f>IF(OR(I109="",I109=0),"",IF(INDEX(Samples[監測點],I109)="","",INDEX(Samples[監測點],I109)))</f>
        <v/>
      </c>
      <c r="F109" s="90">
        <f>IF(OR(I109="",I109=0),"",IF(INDEX(Samples[採樣日期],I109)="","",INDEX(Samples[採樣日期],I109)))</f>
        <v/>
      </c>
      <c r="G109" s="91">
        <f>IF(OR(M109="",M109="NA",M109="N/A"),"",IF(OR(M109="ND",M109="N.D."),0,IFERROR(IF(OR(OR(ISNUMBER(SEARCH("%",O109)),ISNUMBER(SEARCH(" ",O109)),ISNUMBER(SEARCH(",",O109))),OR(SUBSTITUTE(SUBSTITUTE(SUBSTITUTE(SUBSTITUTE(SUBSTITUTE(SUBSTITUTE(SUBSTITUTE(SUBSTITUTE(SUBSTITUTE(SUBSTITUTE(SUBSTITUTE(SUBSTITUTE(SUBSTITUTE(SUBSTITUTE(SUBSTITUTE(SUBSTITUTE(SUBSTITUTE(SUBSTITUTE("x"&amp;M109,"0",""),"1",""),"2",""),"3",""),"4",""),"5",""),"6",""),"7",""),"8",""),"9",""),".",""),"E",""),"+",""),"-",""),"&lt;",""),"&gt;",""),"=","")," ","")&lt;&gt;"x",ISNUMBER(SEARCH("-",SUBSTITUTE(SUBSTITUTE("x"&amp;MID(M109,2,99),"E-","E"),"E+","E"))),ISNUMBER(SEARCH("+",SUBSTITUTE(SUBSTITUTE("x"&amp;MID(M109,2,99),"E-","E"),"E+","E"))))),"",IF(AND(OR(LEFT(M109,1)="&lt;",LEFT(M109,1)="&gt;"),IF(O109="",0,IF(ISNUMBER(AH109),AH109,NA()))&lt;0),"",IF(O109="",0,IF(ISNUMBER(AH109),AH109,NA()))/IF(LEFT(M109,1)="&lt;",2,1))),"")))</f>
        <v/>
      </c>
      <c r="H109" s="57" t="inlineStr">
        <is>
          <t>BH03-W_20260115_02</t>
        </is>
      </c>
      <c r="I109" s="92">
        <f>IF(OR(H109="",AI109=0),0,IF(INDEX(Samples[樣品重複筆數],AI109)=1,AI109,0))</f>
        <v/>
      </c>
      <c r="J109" s="92">
        <f>IF(OR(COUNTA($A109:$D109)=0,I109=0),"",IF(INDEX(Samples[介質],I109)="","",INDEX(Samples[介質],I109)))</f>
        <v/>
      </c>
      <c r="K109" s="92">
        <f>IF(OR(COUNTA($A109:$D109)=0,T109=0),"",IF(INDEX(DB_04[標準單位],T109)="","",INDEX(DB_04[標準單位],T109)))</f>
        <v/>
      </c>
      <c r="L109" s="92">
        <f>IF(COUNTA($A109:$D109)=0,"",IF(OR(C109="",K109=""),"",IF(C109=K109,1,IF(COUNTIFS(DB_06[換算鍵],C109&amp;"|"&amp;K109,DB_06[換算檢查],"OK")=1,INDEX(DB_06[乘數],MATCH(C109&amp;"|"&amp;K109,DB_06[換算鍵],0)),""))))</f>
        <v/>
      </c>
      <c r="M109" s="92">
        <f>UPPER(SUBSTITUTE(SUBSTITUTE(SUBSTITUTE(SUBSTITUTE(TRIM(B109&amp;""),"＜","&lt;"),"＞","&gt;"),"≤","&lt;="),"≥","&gt;="))</f>
        <v/>
      </c>
      <c r="N109" s="92">
        <f>IF(M109="","",IF(OR(M109="ND",M109="N.D."),"ND",IF(OR(M109="NA",M109="N/A",M109="N.A."),"NA",IF(OR(LEFT(M109,2)="&lt;=",LEFT(M109,2)="&gt;="),LEFT(M109,2),IF(OR(LEFT(M109,1)="&lt;",LEFT(M109,1)="&gt;"),LEFT(M109,1),"數值")))))</f>
        <v/>
      </c>
      <c r="O109" s="92">
        <f>IF(OR(N109="",N109="ND",N109="NA"),"",IF(N109="數值",M109,TRIM(MID(M109,LEN(N109)+1,99))))</f>
        <v/>
      </c>
      <c r="P109" s="92">
        <f>IF(O109="","",IFERROR(IF(OR(OR(ISNUMBER(SEARCH("%",O109)),ISNUMBER(SEARCH(" ",O109)),ISNUMBER(SEARCH(",",O109))),OR(SUBSTITUTE(SUBSTITUTE(SUBSTITUTE(SUBSTITUTE(SUBSTITUTE(SUBSTITUTE(SUBSTITUTE(SUBSTITUTE(SUBSTITUTE(SUBSTITUTE(SUBSTITUTE(SUBSTITUTE(SUBSTITUTE(SUBSTITUTE(SUBSTITUTE(SUBSTITUTE(SUBSTITUTE(SUBSTITUTE("x"&amp;O109,"0",""),"1",""),"2",""),"3",""),"4",""),"5",""),"6",""),"7",""),"8",""),"9",""),".",""),"E",""),"+",""),"-",""),"&lt;",""),"&gt;",""),"=","")," ","")&lt;&gt;"x",ISNUMBER(SEARCH("-",SUBSTITUTE(SUBSTITUTE("x"&amp;MID(O109,2,99),"E-","E"),"E+","E"))),ISNUMBER(SEARCH("+",SUBSTITUTE(SUBSTITUTE("x"&amp;MID(O109,2,99),"E-","E"),"E+","E"))))),"",IF(ISNUMBER(AH109),AH109,NA())),""))</f>
        <v/>
      </c>
      <c r="Q109" s="92">
        <f>IF(AND(ISNUMBER(L109),ISNUMBER(P109)),L109*P109,"")</f>
        <v/>
      </c>
      <c r="R109" s="92">
        <f>IF(OR(COUNTA($A109:$D109)=0,U109=0),"",IF(INDEX(DB_05[管制設定值],U109)="","",INDEX(DB_05[管制設定值],U109)))</f>
        <v/>
      </c>
      <c r="S109" s="92">
        <f>IF(OR(COUNTA($A109:$D109)=0,U109=0),"",IF(INDEX(DB_05[監測設定值],U109)="","",INDEX(DB_05[監測設定值],U109)))</f>
        <v/>
      </c>
      <c r="T109" s="92">
        <f>IF(COUNTA($A109:$D109)=0,"",IF(COUNTIFS(DB_04[測項鍵],V109)=1,MATCH(V109,DB_04[測項鍵],0),0))</f>
        <v/>
      </c>
      <c r="U109" s="92">
        <f>IF(COUNTA($A109:$D109)=0,"",IF(COUNTIFS(DB_05[標準鍵],W109)=1,MATCH(W109,DB_05[標準鍵],0),0))</f>
        <v/>
      </c>
      <c r="V109" s="92">
        <f>IF(OR(J109="",A109=""),"",J109&amp;"|"&amp;A109)</f>
        <v/>
      </c>
      <c r="W109" s="92">
        <f>IF(OR('07_QAQC'!$C$3="",V109=""),"",'07_QAQC'!$C$3&amp;"|"&amp;V109)</f>
        <v/>
      </c>
      <c r="X109" s="92">
        <f>IF(OR(H109="",A109=""),"",LEN(H109)&amp;":"&amp;H109&amp;LEN(A109)&amp;":"&amp;A109)</f>
        <v/>
      </c>
      <c r="Y109" s="93">
        <f>IF(COUNTA($A109:$D109)=0,"",IF(I109=0,"樣品未建或重複",IF(INDEX(Samples[樣品檢查],I109)="","OK",INDEX(Samples[樣品檢查],I109))))</f>
        <v/>
      </c>
      <c r="Z109" s="93">
        <f>IF(COUNTA($A109:$D109)=0,"",IF(B109="","缺原始值",IF(OR(B109="-",B109="--"),"無資料",IF(N109="NA","不適用",IF(N109="ND","OK",IF(NOT(ISNUMBER(P109)),"格式待核",IF(AND(N109&lt;&gt;"數值",P109&lt;0),"界限不得為負","OK")))))))</f>
        <v/>
      </c>
      <c r="AA109" s="93">
        <f>IF(COUNTA(A109:D109)=0,"",IF(OR(A109="",H109=""),"缺識別欄位",IF(IF(LEN("="&amp;SUBSTITUTE(SUBSTITUTE(SUBSTITUTE(X109,"~","~~"),"*","~*"),"?","~?"))&lt;=255,COUNTIF(Results[結果識別鍵],"="&amp;SUBSTITUTE(SUBSTITUTE(SUBSTITUTE(X109,"~","~~"),"*","~*"),"?","~?")),COUNTIFS(Results[關聯鍵],"="&amp;SUBSTITUTE(SUBSTITUTE(SUBSTITUTE(H109,"~","~~"),"*","~*"),"?","~?"),Results[分析項目],"="&amp;SUBSTITUTE(SUBSTITUTE(SUBSTITUTE(A109,"~","~~"),"*","~*"),"?","~?")))&gt;1,"同關聯鍵測項重複","OK")))</f>
        <v/>
      </c>
      <c r="AB109" s="93">
        <f>IF(COUNTA($A109:$D109)=0,"",IF(OR(C109="",K109=""),"缺單位",IF(NOT(ISNUMBER(L109)),"單位不相容",IF(L109=1,"OK","已換算"))))</f>
        <v/>
      </c>
      <c r="AC109" s="93">
        <f>IF(COUNTA($A109:$D109)=0,"",IF('07_QAQC'!$C$3="","未選比較版本",IF(U109=0,IF(COUNTIFS(DB_05[標準鍵],W109)&gt;1,"標準鍵重複","未訂此介質／測項門檻"),IF(INDEX(DB_05[版本檢查],U109)&lt;&gt;"OK","標準主檔待核",IF(INDEX(DB_05[標準單位],U109)&lt;&gt;K109,"標準單位不符",IF(INDEX(DB_05[核對狀態],U109)="停用","停用",IF(F109="","缺採樣日期",IF(OR(AND(INDEX(DB_05[生效日],U109)&lt;&gt;"",F109&lt;INDEX(DB_05[生效日],U109)),AND(INDEX(DB_05[失效日],U109)&lt;&gt;"",F109&gt;INDEX(DB_05[失效日],U109))),"日期不適用",INDEX(DB_05[核對狀態],U109)))))))))</f>
        <v/>
      </c>
      <c r="AD109" s="93">
        <f>IF(COUNTA($A109:$D109)=0,"",IF(AC109="未訂此介質／測項門檻",AC109,IF(AC109&lt;&gt;"已核對","標準待核",IF(R109="","未訂管制值",IF(NOT(ISNUMBER(L109)),"單位待核",IF(N109="ND","無法判定（ND無界限）",IF(N109="NA","不適用",IF(Z109&lt;&gt;"OK",Z109,IF(N109="數值",IF(Q109&gt;=R109,"達管制值","未達管制值"),IF(OR(N109="&lt;",N109="&lt;="),IF(OR(Q109&lt;R109,AND(N109="&lt;",Q109=R109)),"未達管制值","無法判定"),IF(OR(N109="&gt;",N109="&gt;="),IF(Q109&gt;=R109,"達管制值","無法判定"),"格式待核")))))))))))</f>
        <v/>
      </c>
      <c r="AE109" s="93">
        <f>IF(COUNTA($A109:$D109)=0,"",IF(AC109="未訂此介質／測項門檻",AC109,IF(AC109&lt;&gt;"已核對","標準待核",IF(S109="","未訂監測值",IF(NOT(ISNUMBER(L109)),"單位待核",IF(N109="ND","無法判定（ND無界限）",IF(N109="NA","不適用",IF(Z109&lt;&gt;"OK",Z109,IF(N109="數值",IF(Q109&gt;=S109,"達監測值","未達監測值"),IF(OR(N109="&lt;",N109="&lt;="),IF(OR(Q109&lt;S109,AND(N109="&lt;",Q109=S109)),"未達監測值","無法判定"),IF(OR(N109="&gt;",N109="&gt;="),IF(Q109&gt;=S109,"達監測值","無法判定"),"格式待核")))))))))))</f>
        <v/>
      </c>
      <c r="AF109" s="93">
        <f>IF(COUNTA($A109:$D109)=0,"",IF(OR(E109="",A109="",B109="",C109=""),"缺必要欄位",IF(Y109&lt;&gt;"OK","樣品資料待補",IF(T109=0,"測項未建或重複",IF(INDEX(DB_04[啟用],T109)&lt;&gt;"是","測項停用",IF(AND(Z109&lt;&gt;"OK",Z109&lt;&gt;"不適用"),Z109,IF(AND(AB109&lt;&gt;"OK",AB109&lt;&gt;"已換算"),"單位待核",IF(AA109&lt;&gt;"OK",AA109,"OK"))))))))</f>
        <v/>
      </c>
      <c r="AG109" s="93">
        <f>IF(COUNTA($A109:$D109)=0,"",IF(N109="ND","ND取0",IF(OR(N109="&lt;",N109="&lt;="),"界限除以2",IF(N109="NA","不適用",IF(OR(N109="&gt;",N109="&gt;="),"保留界限數值","保留原數值")))))</f>
        <v/>
      </c>
      <c r="AH109" s="92">
        <f>IF(O109="","",IFERROR(_xlfn.NUMBERVALUE(O109,".",","),""))</f>
        <v/>
      </c>
      <c r="AI109" s="92">
        <f>IF(H109="","",IFERROR(MATCH(H109,Samples[樣品編號],0),0))</f>
        <v/>
      </c>
    </row>
    <row r="110">
      <c r="A110" s="27" t="inlineStr">
        <is>
          <t>DO</t>
        </is>
      </c>
      <c r="B110" s="28" t="inlineStr">
        <is>
          <t>5.1</t>
        </is>
      </c>
      <c r="C110" s="27" t="inlineStr">
        <is>
          <t>mg/L</t>
        </is>
      </c>
      <c r="D110" s="39" t="inlineStr">
        <is>
          <t>合成資料，非實測；method=field</t>
        </is>
      </c>
      <c r="E110" s="29">
        <f>IF(OR(I110="",I110=0),"",IF(INDEX(Samples[監測點],I110)="","",INDEX(Samples[監測點],I110)))</f>
        <v/>
      </c>
      <c r="F110" s="90">
        <f>IF(OR(I110="",I110=0),"",IF(INDEX(Samples[採樣日期],I110)="","",INDEX(Samples[採樣日期],I110)))</f>
        <v/>
      </c>
      <c r="G110" s="91">
        <f>IF(OR(M110="",M110="NA",M110="N/A"),"",IF(OR(M110="ND",M110="N.D."),0,IFERROR(IF(OR(OR(ISNUMBER(SEARCH("%",O110)),ISNUMBER(SEARCH(" ",O110)),ISNUMBER(SEARCH(",",O110))),OR(SUBSTITUTE(SUBSTITUTE(SUBSTITUTE(SUBSTITUTE(SUBSTITUTE(SUBSTITUTE(SUBSTITUTE(SUBSTITUTE(SUBSTITUTE(SUBSTITUTE(SUBSTITUTE(SUBSTITUTE(SUBSTITUTE(SUBSTITUTE(SUBSTITUTE(SUBSTITUTE(SUBSTITUTE(SUBSTITUTE("x"&amp;M110,"0",""),"1",""),"2",""),"3",""),"4",""),"5",""),"6",""),"7",""),"8",""),"9",""),".",""),"E",""),"+",""),"-",""),"&lt;",""),"&gt;",""),"=","")," ","")&lt;&gt;"x",ISNUMBER(SEARCH("-",SUBSTITUTE(SUBSTITUTE("x"&amp;MID(M110,2,99),"E-","E"),"E+","E"))),ISNUMBER(SEARCH("+",SUBSTITUTE(SUBSTITUTE("x"&amp;MID(M110,2,99),"E-","E"),"E+","E"))))),"",IF(AND(OR(LEFT(M110,1)="&lt;",LEFT(M110,1)="&gt;"),IF(O110="",0,IF(ISNUMBER(AH110),AH110,NA()))&lt;0),"",IF(O110="",0,IF(ISNUMBER(AH110),AH110,NA()))/IF(LEFT(M110,1)="&lt;",2,1))),"")))</f>
        <v/>
      </c>
      <c r="H110" s="57" t="inlineStr">
        <is>
          <t>BH03-W_20260115_02</t>
        </is>
      </c>
      <c r="I110" s="92">
        <f>IF(OR(H110="",AI110=0),0,IF(INDEX(Samples[樣品重複筆數],AI110)=1,AI110,0))</f>
        <v/>
      </c>
      <c r="J110" s="92">
        <f>IF(OR(COUNTA($A110:$D110)=0,I110=0),"",IF(INDEX(Samples[介質],I110)="","",INDEX(Samples[介質],I110)))</f>
        <v/>
      </c>
      <c r="K110" s="92">
        <f>IF(OR(COUNTA($A110:$D110)=0,T110=0),"",IF(INDEX(DB_04[標準單位],T110)="","",INDEX(DB_04[標準單位],T110)))</f>
        <v/>
      </c>
      <c r="L110" s="92">
        <f>IF(COUNTA($A110:$D110)=0,"",IF(OR(C110="",K110=""),"",IF(C110=K110,1,IF(COUNTIFS(DB_06[換算鍵],C110&amp;"|"&amp;K110,DB_06[換算檢查],"OK")=1,INDEX(DB_06[乘數],MATCH(C110&amp;"|"&amp;K110,DB_06[換算鍵],0)),""))))</f>
        <v/>
      </c>
      <c r="M110" s="92">
        <f>UPPER(SUBSTITUTE(SUBSTITUTE(SUBSTITUTE(SUBSTITUTE(TRIM(B110&amp;""),"＜","&lt;"),"＞","&gt;"),"≤","&lt;="),"≥","&gt;="))</f>
        <v/>
      </c>
      <c r="N110" s="92">
        <f>IF(M110="","",IF(OR(M110="ND",M110="N.D."),"ND",IF(OR(M110="NA",M110="N/A",M110="N.A."),"NA",IF(OR(LEFT(M110,2)="&lt;=",LEFT(M110,2)="&gt;="),LEFT(M110,2),IF(OR(LEFT(M110,1)="&lt;",LEFT(M110,1)="&gt;"),LEFT(M110,1),"數值")))))</f>
        <v/>
      </c>
      <c r="O110" s="92">
        <f>IF(OR(N110="",N110="ND",N110="NA"),"",IF(N110="數值",M110,TRIM(MID(M110,LEN(N110)+1,99))))</f>
        <v/>
      </c>
      <c r="P110" s="92">
        <f>IF(O110="","",IFERROR(IF(OR(OR(ISNUMBER(SEARCH("%",O110)),ISNUMBER(SEARCH(" ",O110)),ISNUMBER(SEARCH(",",O110))),OR(SUBSTITUTE(SUBSTITUTE(SUBSTITUTE(SUBSTITUTE(SUBSTITUTE(SUBSTITUTE(SUBSTITUTE(SUBSTITUTE(SUBSTITUTE(SUBSTITUTE(SUBSTITUTE(SUBSTITUTE(SUBSTITUTE(SUBSTITUTE(SUBSTITUTE(SUBSTITUTE(SUBSTITUTE(SUBSTITUTE("x"&amp;O110,"0",""),"1",""),"2",""),"3",""),"4",""),"5",""),"6",""),"7",""),"8",""),"9",""),".",""),"E",""),"+",""),"-",""),"&lt;",""),"&gt;",""),"=","")," ","")&lt;&gt;"x",ISNUMBER(SEARCH("-",SUBSTITUTE(SUBSTITUTE("x"&amp;MID(O110,2,99),"E-","E"),"E+","E"))),ISNUMBER(SEARCH("+",SUBSTITUTE(SUBSTITUTE("x"&amp;MID(O110,2,99),"E-","E"),"E+","E"))))),"",IF(ISNUMBER(AH110),AH110,NA())),""))</f>
        <v/>
      </c>
      <c r="Q110" s="92">
        <f>IF(AND(ISNUMBER(L110),ISNUMBER(P110)),L110*P110,"")</f>
        <v/>
      </c>
      <c r="R110" s="92">
        <f>IF(OR(COUNTA($A110:$D110)=0,U110=0),"",IF(INDEX(DB_05[管制設定值],U110)="","",INDEX(DB_05[管制設定值],U110)))</f>
        <v/>
      </c>
      <c r="S110" s="92">
        <f>IF(OR(COUNTA($A110:$D110)=0,U110=0),"",IF(INDEX(DB_05[監測設定值],U110)="","",INDEX(DB_05[監測設定值],U110)))</f>
        <v/>
      </c>
      <c r="T110" s="92">
        <f>IF(COUNTA($A110:$D110)=0,"",IF(COUNTIFS(DB_04[測項鍵],V110)=1,MATCH(V110,DB_04[測項鍵],0),0))</f>
        <v/>
      </c>
      <c r="U110" s="92">
        <f>IF(COUNTA($A110:$D110)=0,"",IF(COUNTIFS(DB_05[標準鍵],W110)=1,MATCH(W110,DB_05[標準鍵],0),0))</f>
        <v/>
      </c>
      <c r="V110" s="92">
        <f>IF(OR(J110="",A110=""),"",J110&amp;"|"&amp;A110)</f>
        <v/>
      </c>
      <c r="W110" s="92">
        <f>IF(OR('07_QAQC'!$C$3="",V110=""),"",'07_QAQC'!$C$3&amp;"|"&amp;V110)</f>
        <v/>
      </c>
      <c r="X110" s="92">
        <f>IF(OR(H110="",A110=""),"",LEN(H110)&amp;":"&amp;H110&amp;LEN(A110)&amp;":"&amp;A110)</f>
        <v/>
      </c>
      <c r="Y110" s="93">
        <f>IF(COUNTA($A110:$D110)=0,"",IF(I110=0,"樣品未建或重複",IF(INDEX(Samples[樣品檢查],I110)="","OK",INDEX(Samples[樣品檢查],I110))))</f>
        <v/>
      </c>
      <c r="Z110" s="93">
        <f>IF(COUNTA($A110:$D110)=0,"",IF(B110="","缺原始值",IF(OR(B110="-",B110="--"),"無資料",IF(N110="NA","不適用",IF(N110="ND","OK",IF(NOT(ISNUMBER(P110)),"格式待核",IF(AND(N110&lt;&gt;"數值",P110&lt;0),"界限不得為負","OK")))))))</f>
        <v/>
      </c>
      <c r="AA110" s="93">
        <f>IF(COUNTA(A110:D110)=0,"",IF(OR(A110="",H110=""),"缺識別欄位",IF(IF(LEN("="&amp;SUBSTITUTE(SUBSTITUTE(SUBSTITUTE(X110,"~","~~"),"*","~*"),"?","~?"))&lt;=255,COUNTIF(Results[結果識別鍵],"="&amp;SUBSTITUTE(SUBSTITUTE(SUBSTITUTE(X110,"~","~~"),"*","~*"),"?","~?")),COUNTIFS(Results[關聯鍵],"="&amp;SUBSTITUTE(SUBSTITUTE(SUBSTITUTE(H110,"~","~~"),"*","~*"),"?","~?"),Results[分析項目],"="&amp;SUBSTITUTE(SUBSTITUTE(SUBSTITUTE(A110,"~","~~"),"*","~*"),"?","~?")))&gt;1,"同關聯鍵測項重複","OK")))</f>
        <v/>
      </c>
      <c r="AB110" s="93">
        <f>IF(COUNTA($A110:$D110)=0,"",IF(OR(C110="",K110=""),"缺單位",IF(NOT(ISNUMBER(L110)),"單位不相容",IF(L110=1,"OK","已換算"))))</f>
        <v/>
      </c>
      <c r="AC110" s="93">
        <f>IF(COUNTA($A110:$D110)=0,"",IF('07_QAQC'!$C$3="","未選比較版本",IF(U110=0,IF(COUNTIFS(DB_05[標準鍵],W110)&gt;1,"標準鍵重複","未訂此介質／測項門檻"),IF(INDEX(DB_05[版本檢查],U110)&lt;&gt;"OK","標準主檔待核",IF(INDEX(DB_05[標準單位],U110)&lt;&gt;K110,"標準單位不符",IF(INDEX(DB_05[核對狀態],U110)="停用","停用",IF(F110="","缺採樣日期",IF(OR(AND(INDEX(DB_05[生效日],U110)&lt;&gt;"",F110&lt;INDEX(DB_05[生效日],U110)),AND(INDEX(DB_05[失效日],U110)&lt;&gt;"",F110&gt;INDEX(DB_05[失效日],U110))),"日期不適用",INDEX(DB_05[核對狀態],U110)))))))))</f>
        <v/>
      </c>
      <c r="AD110" s="93">
        <f>IF(COUNTA($A110:$D110)=0,"",IF(AC110="未訂此介質／測項門檻",AC110,IF(AC110&lt;&gt;"已核對","標準待核",IF(R110="","未訂管制值",IF(NOT(ISNUMBER(L110)),"單位待核",IF(N110="ND","無法判定（ND無界限）",IF(N110="NA","不適用",IF(Z110&lt;&gt;"OK",Z110,IF(N110="數值",IF(Q110&gt;=R110,"達管制值","未達管制值"),IF(OR(N110="&lt;",N110="&lt;="),IF(OR(Q110&lt;R110,AND(N110="&lt;",Q110=R110)),"未達管制值","無法判定"),IF(OR(N110="&gt;",N110="&gt;="),IF(Q110&gt;=R110,"達管制值","無法判定"),"格式待核")))))))))))</f>
        <v/>
      </c>
      <c r="AE110" s="93">
        <f>IF(COUNTA($A110:$D110)=0,"",IF(AC110="未訂此介質／測項門檻",AC110,IF(AC110&lt;&gt;"已核對","標準待核",IF(S110="","未訂監測值",IF(NOT(ISNUMBER(L110)),"單位待核",IF(N110="ND","無法判定（ND無界限）",IF(N110="NA","不適用",IF(Z110&lt;&gt;"OK",Z110,IF(N110="數值",IF(Q110&gt;=S110,"達監測值","未達監測值"),IF(OR(N110="&lt;",N110="&lt;="),IF(OR(Q110&lt;S110,AND(N110="&lt;",Q110=S110)),"未達監測值","無法判定"),IF(OR(N110="&gt;",N110="&gt;="),IF(Q110&gt;=S110,"達監測值","無法判定"),"格式待核")))))))))))</f>
        <v/>
      </c>
      <c r="AF110" s="93">
        <f>IF(COUNTA($A110:$D110)=0,"",IF(OR(E110="",A110="",B110="",C110=""),"缺必要欄位",IF(Y110&lt;&gt;"OK","樣品資料待補",IF(T110=0,"測項未建或重複",IF(INDEX(DB_04[啟用],T110)&lt;&gt;"是","測項停用",IF(AND(Z110&lt;&gt;"OK",Z110&lt;&gt;"不適用"),Z110,IF(AND(AB110&lt;&gt;"OK",AB110&lt;&gt;"已換算"),"單位待核",IF(AA110&lt;&gt;"OK",AA110,"OK"))))))))</f>
        <v/>
      </c>
      <c r="AG110" s="93">
        <f>IF(COUNTA($A110:$D110)=0,"",IF(N110="ND","ND取0",IF(OR(N110="&lt;",N110="&lt;="),"界限除以2",IF(N110="NA","不適用",IF(OR(N110="&gt;",N110="&gt;="),"保留界限數值","保留原數值")))))</f>
        <v/>
      </c>
      <c r="AH110" s="92">
        <f>IF(O110="","",IFERROR(_xlfn.NUMBERVALUE(O110,".",","),""))</f>
        <v/>
      </c>
      <c r="AI110" s="92">
        <f>IF(H110="","",IFERROR(MATCH(H110,Samples[樣品編號],0),0))</f>
        <v/>
      </c>
    </row>
    <row r="111">
      <c r="A111" s="27" t="inlineStr">
        <is>
          <t>溶氧飽和度</t>
        </is>
      </c>
      <c r="B111" s="28" t="inlineStr">
        <is>
          <t>63</t>
        </is>
      </c>
      <c r="C111" s="27" t="inlineStr">
        <is>
          <t>%</t>
        </is>
      </c>
      <c r="D111" s="39" t="inlineStr">
        <is>
          <t>合成資料，非實測；method=field</t>
        </is>
      </c>
      <c r="E111" s="29">
        <f>IF(OR(I111="",I111=0),"",IF(INDEX(Samples[監測點],I111)="","",INDEX(Samples[監測點],I111)))</f>
        <v/>
      </c>
      <c r="F111" s="90">
        <f>IF(OR(I111="",I111=0),"",IF(INDEX(Samples[採樣日期],I111)="","",INDEX(Samples[採樣日期],I111)))</f>
        <v/>
      </c>
      <c r="G111" s="91">
        <f>IF(OR(M111="",M111="NA",M111="N/A"),"",IF(OR(M111="ND",M111="N.D."),0,IFERROR(IF(OR(OR(ISNUMBER(SEARCH("%",O111)),ISNUMBER(SEARCH(" ",O111)),ISNUMBER(SEARCH(",",O111))),OR(SUBSTITUTE(SUBSTITUTE(SUBSTITUTE(SUBSTITUTE(SUBSTITUTE(SUBSTITUTE(SUBSTITUTE(SUBSTITUTE(SUBSTITUTE(SUBSTITUTE(SUBSTITUTE(SUBSTITUTE(SUBSTITUTE(SUBSTITUTE(SUBSTITUTE(SUBSTITUTE(SUBSTITUTE(SUBSTITUTE("x"&amp;M111,"0",""),"1",""),"2",""),"3",""),"4",""),"5",""),"6",""),"7",""),"8",""),"9",""),".",""),"E",""),"+",""),"-",""),"&lt;",""),"&gt;",""),"=","")," ","")&lt;&gt;"x",ISNUMBER(SEARCH("-",SUBSTITUTE(SUBSTITUTE("x"&amp;MID(M111,2,99),"E-","E"),"E+","E"))),ISNUMBER(SEARCH("+",SUBSTITUTE(SUBSTITUTE("x"&amp;MID(M111,2,99),"E-","E"),"E+","E"))))),"",IF(AND(OR(LEFT(M111,1)="&lt;",LEFT(M111,1)="&gt;"),IF(O111="",0,IF(ISNUMBER(AH111),AH111,NA()))&lt;0),"",IF(O111="",0,IF(ISNUMBER(AH111),AH111,NA()))/IF(LEFT(M111,1)="&lt;",2,1))),"")))</f>
        <v/>
      </c>
      <c r="H111" s="57" t="inlineStr">
        <is>
          <t>BH03-W_20260115_02</t>
        </is>
      </c>
      <c r="I111" s="92">
        <f>IF(OR(H111="",AI111=0),0,IF(INDEX(Samples[樣品重複筆數],AI111)=1,AI111,0))</f>
        <v/>
      </c>
      <c r="J111" s="92">
        <f>IF(OR(COUNTA($A111:$D111)=0,I111=0),"",IF(INDEX(Samples[介質],I111)="","",INDEX(Samples[介質],I111)))</f>
        <v/>
      </c>
      <c r="K111" s="92">
        <f>IF(OR(COUNTA($A111:$D111)=0,T111=0),"",IF(INDEX(DB_04[標準單位],T111)="","",INDEX(DB_04[標準單位],T111)))</f>
        <v/>
      </c>
      <c r="L111" s="92">
        <f>IF(COUNTA($A111:$D111)=0,"",IF(OR(C111="",K111=""),"",IF(C111=K111,1,IF(COUNTIFS(DB_06[換算鍵],C111&amp;"|"&amp;K111,DB_06[換算檢查],"OK")=1,INDEX(DB_06[乘數],MATCH(C111&amp;"|"&amp;K111,DB_06[換算鍵],0)),""))))</f>
        <v/>
      </c>
      <c r="M111" s="92">
        <f>UPPER(SUBSTITUTE(SUBSTITUTE(SUBSTITUTE(SUBSTITUTE(TRIM(B111&amp;""),"＜","&lt;"),"＞","&gt;"),"≤","&lt;="),"≥","&gt;="))</f>
        <v/>
      </c>
      <c r="N111" s="92">
        <f>IF(M111="","",IF(OR(M111="ND",M111="N.D."),"ND",IF(OR(M111="NA",M111="N/A",M111="N.A."),"NA",IF(OR(LEFT(M111,2)="&lt;=",LEFT(M111,2)="&gt;="),LEFT(M111,2),IF(OR(LEFT(M111,1)="&lt;",LEFT(M111,1)="&gt;"),LEFT(M111,1),"數值")))))</f>
        <v/>
      </c>
      <c r="O111" s="92">
        <f>IF(OR(N111="",N111="ND",N111="NA"),"",IF(N111="數值",M111,TRIM(MID(M111,LEN(N111)+1,99))))</f>
        <v/>
      </c>
      <c r="P111" s="92">
        <f>IF(O111="","",IFERROR(IF(OR(OR(ISNUMBER(SEARCH("%",O111)),ISNUMBER(SEARCH(" ",O111)),ISNUMBER(SEARCH(",",O111))),OR(SUBSTITUTE(SUBSTITUTE(SUBSTITUTE(SUBSTITUTE(SUBSTITUTE(SUBSTITUTE(SUBSTITUTE(SUBSTITUTE(SUBSTITUTE(SUBSTITUTE(SUBSTITUTE(SUBSTITUTE(SUBSTITUTE(SUBSTITUTE(SUBSTITUTE(SUBSTITUTE(SUBSTITUTE(SUBSTITUTE("x"&amp;O111,"0",""),"1",""),"2",""),"3",""),"4",""),"5",""),"6",""),"7",""),"8",""),"9",""),".",""),"E",""),"+",""),"-",""),"&lt;",""),"&gt;",""),"=","")," ","")&lt;&gt;"x",ISNUMBER(SEARCH("-",SUBSTITUTE(SUBSTITUTE("x"&amp;MID(O111,2,99),"E-","E"),"E+","E"))),ISNUMBER(SEARCH("+",SUBSTITUTE(SUBSTITUTE("x"&amp;MID(O111,2,99),"E-","E"),"E+","E"))))),"",IF(ISNUMBER(AH111),AH111,NA())),""))</f>
        <v/>
      </c>
      <c r="Q111" s="92">
        <f>IF(AND(ISNUMBER(L111),ISNUMBER(P111)),L111*P111,"")</f>
        <v/>
      </c>
      <c r="R111" s="92">
        <f>IF(OR(COUNTA($A111:$D111)=0,U111=0),"",IF(INDEX(DB_05[管制設定值],U111)="","",INDEX(DB_05[管制設定值],U111)))</f>
        <v/>
      </c>
      <c r="S111" s="92">
        <f>IF(OR(COUNTA($A111:$D111)=0,U111=0),"",IF(INDEX(DB_05[監測設定值],U111)="","",INDEX(DB_05[監測設定值],U111)))</f>
        <v/>
      </c>
      <c r="T111" s="92">
        <f>IF(COUNTA($A111:$D111)=0,"",IF(COUNTIFS(DB_04[測項鍵],V111)=1,MATCH(V111,DB_04[測項鍵],0),0))</f>
        <v/>
      </c>
      <c r="U111" s="92">
        <f>IF(COUNTA($A111:$D111)=0,"",IF(COUNTIFS(DB_05[標準鍵],W111)=1,MATCH(W111,DB_05[標準鍵],0),0))</f>
        <v/>
      </c>
      <c r="V111" s="92">
        <f>IF(OR(J111="",A111=""),"",J111&amp;"|"&amp;A111)</f>
        <v/>
      </c>
      <c r="W111" s="92">
        <f>IF(OR('07_QAQC'!$C$3="",V111=""),"",'07_QAQC'!$C$3&amp;"|"&amp;V111)</f>
        <v/>
      </c>
      <c r="X111" s="92">
        <f>IF(OR(H111="",A111=""),"",LEN(H111)&amp;":"&amp;H111&amp;LEN(A111)&amp;":"&amp;A111)</f>
        <v/>
      </c>
      <c r="Y111" s="93">
        <f>IF(COUNTA($A111:$D111)=0,"",IF(I111=0,"樣品未建或重複",IF(INDEX(Samples[樣品檢查],I111)="","OK",INDEX(Samples[樣品檢查],I111))))</f>
        <v/>
      </c>
      <c r="Z111" s="93">
        <f>IF(COUNTA($A111:$D111)=0,"",IF(B111="","缺原始值",IF(OR(B111="-",B111="--"),"無資料",IF(N111="NA","不適用",IF(N111="ND","OK",IF(NOT(ISNUMBER(P111)),"格式待核",IF(AND(N111&lt;&gt;"數值",P111&lt;0),"界限不得為負","OK")))))))</f>
        <v/>
      </c>
      <c r="AA111" s="93">
        <f>IF(COUNTA(A111:D111)=0,"",IF(OR(A111="",H111=""),"缺識別欄位",IF(IF(LEN("="&amp;SUBSTITUTE(SUBSTITUTE(SUBSTITUTE(X111,"~","~~"),"*","~*"),"?","~?"))&lt;=255,COUNTIF(Results[結果識別鍵],"="&amp;SUBSTITUTE(SUBSTITUTE(SUBSTITUTE(X111,"~","~~"),"*","~*"),"?","~?")),COUNTIFS(Results[關聯鍵],"="&amp;SUBSTITUTE(SUBSTITUTE(SUBSTITUTE(H111,"~","~~"),"*","~*"),"?","~?"),Results[分析項目],"="&amp;SUBSTITUTE(SUBSTITUTE(SUBSTITUTE(A111,"~","~~"),"*","~*"),"?","~?")))&gt;1,"同關聯鍵測項重複","OK")))</f>
        <v/>
      </c>
      <c r="AB111" s="93">
        <f>IF(COUNTA($A111:$D111)=0,"",IF(OR(C111="",K111=""),"缺單位",IF(NOT(ISNUMBER(L111)),"單位不相容",IF(L111=1,"OK","已換算"))))</f>
        <v/>
      </c>
      <c r="AC111" s="93">
        <f>IF(COUNTA($A111:$D111)=0,"",IF('07_QAQC'!$C$3="","未選比較版本",IF(U111=0,IF(COUNTIFS(DB_05[標準鍵],W111)&gt;1,"標準鍵重複","未訂此介質／測項門檻"),IF(INDEX(DB_05[版本檢查],U111)&lt;&gt;"OK","標準主檔待核",IF(INDEX(DB_05[標準單位],U111)&lt;&gt;K111,"標準單位不符",IF(INDEX(DB_05[核對狀態],U111)="停用","停用",IF(F111="","缺採樣日期",IF(OR(AND(INDEX(DB_05[生效日],U111)&lt;&gt;"",F111&lt;INDEX(DB_05[生效日],U111)),AND(INDEX(DB_05[失效日],U111)&lt;&gt;"",F111&gt;INDEX(DB_05[失效日],U111))),"日期不適用",INDEX(DB_05[核對狀態],U111)))))))))</f>
        <v/>
      </c>
      <c r="AD111" s="93">
        <f>IF(COUNTA($A111:$D111)=0,"",IF(AC111="未訂此介質／測項門檻",AC111,IF(AC111&lt;&gt;"已核對","標準待核",IF(R111="","未訂管制值",IF(NOT(ISNUMBER(L111)),"單位待核",IF(N111="ND","無法判定（ND無界限）",IF(N111="NA","不適用",IF(Z111&lt;&gt;"OK",Z111,IF(N111="數值",IF(Q111&gt;=R111,"達管制值","未達管制值"),IF(OR(N111="&lt;",N111="&lt;="),IF(OR(Q111&lt;R111,AND(N111="&lt;",Q111=R111)),"未達管制值","無法判定"),IF(OR(N111="&gt;",N111="&gt;="),IF(Q111&gt;=R111,"達管制值","無法判定"),"格式待核")))))))))))</f>
        <v/>
      </c>
      <c r="AE111" s="93">
        <f>IF(COUNTA($A111:$D111)=0,"",IF(AC111="未訂此介質／測項門檻",AC111,IF(AC111&lt;&gt;"已核對","標準待核",IF(S111="","未訂監測值",IF(NOT(ISNUMBER(L111)),"單位待核",IF(N111="ND","無法判定（ND無界限）",IF(N111="NA","不適用",IF(Z111&lt;&gt;"OK",Z111,IF(N111="數值",IF(Q111&gt;=S111,"達監測值","未達監測值"),IF(OR(N111="&lt;",N111="&lt;="),IF(OR(Q111&lt;S111,AND(N111="&lt;",Q111=S111)),"未達監測值","無法判定"),IF(OR(N111="&gt;",N111="&gt;="),IF(Q111&gt;=S111,"達監測值","無法判定"),"格式待核")))))))))))</f>
        <v/>
      </c>
      <c r="AF111" s="93">
        <f>IF(COUNTA($A111:$D111)=0,"",IF(OR(E111="",A111="",B111="",C111=""),"缺必要欄位",IF(Y111&lt;&gt;"OK","樣品資料待補",IF(T111=0,"測項未建或重複",IF(INDEX(DB_04[啟用],T111)&lt;&gt;"是","測項停用",IF(AND(Z111&lt;&gt;"OK",Z111&lt;&gt;"不適用"),Z111,IF(AND(AB111&lt;&gt;"OK",AB111&lt;&gt;"已換算"),"單位待核",IF(AA111&lt;&gt;"OK",AA111,"OK"))))))))</f>
        <v/>
      </c>
      <c r="AG111" s="93">
        <f>IF(COUNTA($A111:$D111)=0,"",IF(N111="ND","ND取0",IF(OR(N111="&lt;",N111="&lt;="),"界限除以2",IF(N111="NA","不適用",IF(OR(N111="&gt;",N111="&gt;="),"保留界限數值","保留原數值")))))</f>
        <v/>
      </c>
      <c r="AH111" s="92">
        <f>IF(O111="","",IFERROR(_xlfn.NUMBERVALUE(O111,".",","),""))</f>
        <v/>
      </c>
      <c r="AI111" s="92">
        <f>IF(H111="","",IFERROR(MATCH(H111,Samples[樣品編號],0),0))</f>
        <v/>
      </c>
    </row>
    <row r="112">
      <c r="A112" s="27" t="inlineStr">
        <is>
          <t>ORP</t>
        </is>
      </c>
      <c r="B112" s="28" t="inlineStr">
        <is>
          <t>-25</t>
        </is>
      </c>
      <c r="C112" s="27" t="inlineStr">
        <is>
          <t>mV</t>
        </is>
      </c>
      <c r="D112" s="39" t="inlineStr">
        <is>
          <t>合成資料，非實測；method=field; reference_electrode=Ag/AgCl; calibration=verified</t>
        </is>
      </c>
      <c r="E112" s="29">
        <f>IF(OR(I112="",I112=0),"",IF(INDEX(Samples[監測點],I112)="","",INDEX(Samples[監測點],I112)))</f>
        <v/>
      </c>
      <c r="F112" s="90">
        <f>IF(OR(I112="",I112=0),"",IF(INDEX(Samples[採樣日期],I112)="","",INDEX(Samples[採樣日期],I112)))</f>
        <v/>
      </c>
      <c r="G112" s="91">
        <f>IF(OR(M112="",M112="NA",M112="N/A"),"",IF(OR(M112="ND",M112="N.D."),0,IFERROR(IF(OR(OR(ISNUMBER(SEARCH("%",O112)),ISNUMBER(SEARCH(" ",O112)),ISNUMBER(SEARCH(",",O112))),OR(SUBSTITUTE(SUBSTITUTE(SUBSTITUTE(SUBSTITUTE(SUBSTITUTE(SUBSTITUTE(SUBSTITUTE(SUBSTITUTE(SUBSTITUTE(SUBSTITUTE(SUBSTITUTE(SUBSTITUTE(SUBSTITUTE(SUBSTITUTE(SUBSTITUTE(SUBSTITUTE(SUBSTITUTE(SUBSTITUTE("x"&amp;M112,"0",""),"1",""),"2",""),"3",""),"4",""),"5",""),"6",""),"7",""),"8",""),"9",""),".",""),"E",""),"+",""),"-",""),"&lt;",""),"&gt;",""),"=","")," ","")&lt;&gt;"x",ISNUMBER(SEARCH("-",SUBSTITUTE(SUBSTITUTE("x"&amp;MID(M112,2,99),"E-","E"),"E+","E"))),ISNUMBER(SEARCH("+",SUBSTITUTE(SUBSTITUTE("x"&amp;MID(M112,2,99),"E-","E"),"E+","E"))))),"",IF(AND(OR(LEFT(M112,1)="&lt;",LEFT(M112,1)="&gt;"),IF(O112="",0,IF(ISNUMBER(AH112),AH112,NA()))&lt;0),"",IF(O112="",0,IF(ISNUMBER(AH112),AH112,NA()))/IF(LEFT(M112,1)="&lt;",2,1))),"")))</f>
        <v/>
      </c>
      <c r="H112" s="57" t="inlineStr">
        <is>
          <t>BH03-W_20260115_02</t>
        </is>
      </c>
      <c r="I112" s="92">
        <f>IF(OR(H112="",AI112=0),0,IF(INDEX(Samples[樣品重複筆數],AI112)=1,AI112,0))</f>
        <v/>
      </c>
      <c r="J112" s="92">
        <f>IF(OR(COUNTA($A112:$D112)=0,I112=0),"",IF(INDEX(Samples[介質],I112)="","",INDEX(Samples[介質],I112)))</f>
        <v/>
      </c>
      <c r="K112" s="92">
        <f>IF(OR(COUNTA($A112:$D112)=0,T112=0),"",IF(INDEX(DB_04[標準單位],T112)="","",INDEX(DB_04[標準單位],T112)))</f>
        <v/>
      </c>
      <c r="L112" s="92">
        <f>IF(COUNTA($A112:$D112)=0,"",IF(OR(C112="",K112=""),"",IF(C112=K112,1,IF(COUNTIFS(DB_06[換算鍵],C112&amp;"|"&amp;K112,DB_06[換算檢查],"OK")=1,INDEX(DB_06[乘數],MATCH(C112&amp;"|"&amp;K112,DB_06[換算鍵],0)),""))))</f>
        <v/>
      </c>
      <c r="M112" s="92">
        <f>UPPER(SUBSTITUTE(SUBSTITUTE(SUBSTITUTE(SUBSTITUTE(TRIM(B112&amp;""),"＜","&lt;"),"＞","&gt;"),"≤","&lt;="),"≥","&gt;="))</f>
        <v/>
      </c>
      <c r="N112" s="92">
        <f>IF(M112="","",IF(OR(M112="ND",M112="N.D."),"ND",IF(OR(M112="NA",M112="N/A",M112="N.A."),"NA",IF(OR(LEFT(M112,2)="&lt;=",LEFT(M112,2)="&gt;="),LEFT(M112,2),IF(OR(LEFT(M112,1)="&lt;",LEFT(M112,1)="&gt;"),LEFT(M112,1),"數值")))))</f>
        <v/>
      </c>
      <c r="O112" s="92">
        <f>IF(OR(N112="",N112="ND",N112="NA"),"",IF(N112="數值",M112,TRIM(MID(M112,LEN(N112)+1,99))))</f>
        <v/>
      </c>
      <c r="P112" s="92">
        <f>IF(O112="","",IFERROR(IF(OR(OR(ISNUMBER(SEARCH("%",O112)),ISNUMBER(SEARCH(" ",O112)),ISNUMBER(SEARCH(",",O112))),OR(SUBSTITUTE(SUBSTITUTE(SUBSTITUTE(SUBSTITUTE(SUBSTITUTE(SUBSTITUTE(SUBSTITUTE(SUBSTITUTE(SUBSTITUTE(SUBSTITUTE(SUBSTITUTE(SUBSTITUTE(SUBSTITUTE(SUBSTITUTE(SUBSTITUTE(SUBSTITUTE(SUBSTITUTE(SUBSTITUTE("x"&amp;O112,"0",""),"1",""),"2",""),"3",""),"4",""),"5",""),"6",""),"7",""),"8",""),"9",""),".",""),"E",""),"+",""),"-",""),"&lt;",""),"&gt;",""),"=","")," ","")&lt;&gt;"x",ISNUMBER(SEARCH("-",SUBSTITUTE(SUBSTITUTE("x"&amp;MID(O112,2,99),"E-","E"),"E+","E"))),ISNUMBER(SEARCH("+",SUBSTITUTE(SUBSTITUTE("x"&amp;MID(O112,2,99),"E-","E"),"E+","E"))))),"",IF(ISNUMBER(AH112),AH112,NA())),""))</f>
        <v/>
      </c>
      <c r="Q112" s="92">
        <f>IF(AND(ISNUMBER(L112),ISNUMBER(P112)),L112*P112,"")</f>
        <v/>
      </c>
      <c r="R112" s="92">
        <f>IF(OR(COUNTA($A112:$D112)=0,U112=0),"",IF(INDEX(DB_05[管制設定值],U112)="","",INDEX(DB_05[管制設定值],U112)))</f>
        <v/>
      </c>
      <c r="S112" s="92">
        <f>IF(OR(COUNTA($A112:$D112)=0,U112=0),"",IF(INDEX(DB_05[監測設定值],U112)="","",INDEX(DB_05[監測設定值],U112)))</f>
        <v/>
      </c>
      <c r="T112" s="92">
        <f>IF(COUNTA($A112:$D112)=0,"",IF(COUNTIFS(DB_04[測項鍵],V112)=1,MATCH(V112,DB_04[測項鍵],0),0))</f>
        <v/>
      </c>
      <c r="U112" s="92">
        <f>IF(COUNTA($A112:$D112)=0,"",IF(COUNTIFS(DB_05[標準鍵],W112)=1,MATCH(W112,DB_05[標準鍵],0),0))</f>
        <v/>
      </c>
      <c r="V112" s="92">
        <f>IF(OR(J112="",A112=""),"",J112&amp;"|"&amp;A112)</f>
        <v/>
      </c>
      <c r="W112" s="92">
        <f>IF(OR('07_QAQC'!$C$3="",V112=""),"",'07_QAQC'!$C$3&amp;"|"&amp;V112)</f>
        <v/>
      </c>
      <c r="X112" s="92">
        <f>IF(OR(H112="",A112=""),"",LEN(H112)&amp;":"&amp;H112&amp;LEN(A112)&amp;":"&amp;A112)</f>
        <v/>
      </c>
      <c r="Y112" s="93">
        <f>IF(COUNTA($A112:$D112)=0,"",IF(I112=0,"樣品未建或重複",IF(INDEX(Samples[樣品檢查],I112)="","OK",INDEX(Samples[樣品檢查],I112))))</f>
        <v/>
      </c>
      <c r="Z112" s="93">
        <f>IF(COUNTA($A112:$D112)=0,"",IF(B112="","缺原始值",IF(OR(B112="-",B112="--"),"無資料",IF(N112="NA","不適用",IF(N112="ND","OK",IF(NOT(ISNUMBER(P112)),"格式待核",IF(AND(N112&lt;&gt;"數值",P112&lt;0),"界限不得為負","OK")))))))</f>
        <v/>
      </c>
      <c r="AA112" s="93">
        <f>IF(COUNTA(A112:D112)=0,"",IF(OR(A112="",H112=""),"缺識別欄位",IF(IF(LEN("="&amp;SUBSTITUTE(SUBSTITUTE(SUBSTITUTE(X112,"~","~~"),"*","~*"),"?","~?"))&lt;=255,COUNTIF(Results[結果識別鍵],"="&amp;SUBSTITUTE(SUBSTITUTE(SUBSTITUTE(X112,"~","~~"),"*","~*"),"?","~?")),COUNTIFS(Results[關聯鍵],"="&amp;SUBSTITUTE(SUBSTITUTE(SUBSTITUTE(H112,"~","~~"),"*","~*"),"?","~?"),Results[分析項目],"="&amp;SUBSTITUTE(SUBSTITUTE(SUBSTITUTE(A112,"~","~~"),"*","~*"),"?","~?")))&gt;1,"同關聯鍵測項重複","OK")))</f>
        <v/>
      </c>
      <c r="AB112" s="93">
        <f>IF(COUNTA($A112:$D112)=0,"",IF(OR(C112="",K112=""),"缺單位",IF(NOT(ISNUMBER(L112)),"單位不相容",IF(L112=1,"OK","已換算"))))</f>
        <v/>
      </c>
      <c r="AC112" s="93">
        <f>IF(COUNTA($A112:$D112)=0,"",IF('07_QAQC'!$C$3="","未選比較版本",IF(U112=0,IF(COUNTIFS(DB_05[標準鍵],W112)&gt;1,"標準鍵重複","未訂此介質／測項門檻"),IF(INDEX(DB_05[版本檢查],U112)&lt;&gt;"OK","標準主檔待核",IF(INDEX(DB_05[標準單位],U112)&lt;&gt;K112,"標準單位不符",IF(INDEX(DB_05[核對狀態],U112)="停用","停用",IF(F112="","缺採樣日期",IF(OR(AND(INDEX(DB_05[生效日],U112)&lt;&gt;"",F112&lt;INDEX(DB_05[生效日],U112)),AND(INDEX(DB_05[失效日],U112)&lt;&gt;"",F112&gt;INDEX(DB_05[失效日],U112))),"日期不適用",INDEX(DB_05[核對狀態],U112)))))))))</f>
        <v/>
      </c>
      <c r="AD112" s="93">
        <f>IF(COUNTA($A112:$D112)=0,"",IF(AC112="未訂此介質／測項門檻",AC112,IF(AC112&lt;&gt;"已核對","標準待核",IF(R112="","未訂管制值",IF(NOT(ISNUMBER(L112)),"單位待核",IF(N112="ND","無法判定（ND無界限）",IF(N112="NA","不適用",IF(Z112&lt;&gt;"OK",Z112,IF(N112="數值",IF(Q112&gt;=R112,"達管制值","未達管制值"),IF(OR(N112="&lt;",N112="&lt;="),IF(OR(Q112&lt;R112,AND(N112="&lt;",Q112=R112)),"未達管制值","無法判定"),IF(OR(N112="&gt;",N112="&gt;="),IF(Q112&gt;=R112,"達管制值","無法判定"),"格式待核")))))))))))</f>
        <v/>
      </c>
      <c r="AE112" s="93">
        <f>IF(COUNTA($A112:$D112)=0,"",IF(AC112="未訂此介質／測項門檻",AC112,IF(AC112&lt;&gt;"已核對","標準待核",IF(S112="","未訂監測值",IF(NOT(ISNUMBER(L112)),"單位待核",IF(N112="ND","無法判定（ND無界限）",IF(N112="NA","不適用",IF(Z112&lt;&gt;"OK",Z112,IF(N112="數值",IF(Q112&gt;=S112,"達監測值","未達監測值"),IF(OR(N112="&lt;",N112="&lt;="),IF(OR(Q112&lt;S112,AND(N112="&lt;",Q112=S112)),"未達監測值","無法判定"),IF(OR(N112="&gt;",N112="&gt;="),IF(Q112&gt;=S112,"達監測值","無法判定"),"格式待核")))))))))))</f>
        <v/>
      </c>
      <c r="AF112" s="93">
        <f>IF(COUNTA($A112:$D112)=0,"",IF(OR(E112="",A112="",B112="",C112=""),"缺必要欄位",IF(Y112&lt;&gt;"OK","樣品資料待補",IF(T112=0,"測項未建或重複",IF(INDEX(DB_04[啟用],T112)&lt;&gt;"是","測項停用",IF(AND(Z112&lt;&gt;"OK",Z112&lt;&gt;"不適用"),Z112,IF(AND(AB112&lt;&gt;"OK",AB112&lt;&gt;"已換算"),"單位待核",IF(AA112&lt;&gt;"OK",AA112,"OK"))))))))</f>
        <v/>
      </c>
      <c r="AG112" s="93">
        <f>IF(COUNTA($A112:$D112)=0,"",IF(N112="ND","ND取0",IF(OR(N112="&lt;",N112="&lt;="),"界限除以2",IF(N112="NA","不適用",IF(OR(N112="&gt;",N112="&gt;="),"保留界限數值","保留原數值")))))</f>
        <v/>
      </c>
      <c r="AH112" s="92">
        <f>IF(O112="","",IFERROR(_xlfn.NUMBERVALUE(O112,".",","),""))</f>
        <v/>
      </c>
      <c r="AI112" s="92">
        <f>IF(H112="","",IFERROR(MATCH(H112,Samples[樣品編號],0),0))</f>
        <v/>
      </c>
    </row>
    <row r="113">
      <c r="A113" s="27" t="inlineStr">
        <is>
          <t>總有機碳</t>
        </is>
      </c>
      <c r="B113" s="28" t="inlineStr">
        <is>
          <t>2.9</t>
        </is>
      </c>
      <c r="C113" s="27" t="inlineStr">
        <is>
          <t>mg/L</t>
        </is>
      </c>
      <c r="D113" s="39" t="inlineStr">
        <is>
          <t>合成資料，非實測；method=lab</t>
        </is>
      </c>
      <c r="E113" s="29">
        <f>IF(OR(I113="",I113=0),"",IF(INDEX(Samples[監測點],I113)="","",INDEX(Samples[監測點],I113)))</f>
        <v/>
      </c>
      <c r="F113" s="90">
        <f>IF(OR(I113="",I113=0),"",IF(INDEX(Samples[採樣日期],I113)="","",INDEX(Samples[採樣日期],I113)))</f>
        <v/>
      </c>
      <c r="G113" s="91">
        <f>IF(OR(M113="",M113="NA",M113="N/A"),"",IF(OR(M113="ND",M113="N.D."),0,IFERROR(IF(OR(OR(ISNUMBER(SEARCH("%",O113)),ISNUMBER(SEARCH(" ",O113)),ISNUMBER(SEARCH(",",O113))),OR(SUBSTITUTE(SUBSTITUTE(SUBSTITUTE(SUBSTITUTE(SUBSTITUTE(SUBSTITUTE(SUBSTITUTE(SUBSTITUTE(SUBSTITUTE(SUBSTITUTE(SUBSTITUTE(SUBSTITUTE(SUBSTITUTE(SUBSTITUTE(SUBSTITUTE(SUBSTITUTE(SUBSTITUTE(SUBSTITUTE("x"&amp;M113,"0",""),"1",""),"2",""),"3",""),"4",""),"5",""),"6",""),"7",""),"8",""),"9",""),".",""),"E",""),"+",""),"-",""),"&lt;",""),"&gt;",""),"=","")," ","")&lt;&gt;"x",ISNUMBER(SEARCH("-",SUBSTITUTE(SUBSTITUTE("x"&amp;MID(M113,2,99),"E-","E"),"E+","E"))),ISNUMBER(SEARCH("+",SUBSTITUTE(SUBSTITUTE("x"&amp;MID(M113,2,99),"E-","E"),"E+","E"))))),"",IF(AND(OR(LEFT(M113,1)="&lt;",LEFT(M113,1)="&gt;"),IF(O113="",0,IF(ISNUMBER(AH113),AH113,NA()))&lt;0),"",IF(O113="",0,IF(ISNUMBER(AH113),AH113,NA()))/IF(LEFT(M113,1)="&lt;",2,1))),"")))</f>
        <v/>
      </c>
      <c r="H113" s="57" t="inlineStr">
        <is>
          <t>BH03-W_20260115_02</t>
        </is>
      </c>
      <c r="I113" s="92">
        <f>IF(OR(H113="",AI113=0),0,IF(INDEX(Samples[樣品重複筆數],AI113)=1,AI113,0))</f>
        <v/>
      </c>
      <c r="J113" s="92">
        <f>IF(OR(COUNTA($A113:$D113)=0,I113=0),"",IF(INDEX(Samples[介質],I113)="","",INDEX(Samples[介質],I113)))</f>
        <v/>
      </c>
      <c r="K113" s="92">
        <f>IF(OR(COUNTA($A113:$D113)=0,T113=0),"",IF(INDEX(DB_04[標準單位],T113)="","",INDEX(DB_04[標準單位],T113)))</f>
        <v/>
      </c>
      <c r="L113" s="92">
        <f>IF(COUNTA($A113:$D113)=0,"",IF(OR(C113="",K113=""),"",IF(C113=K113,1,IF(COUNTIFS(DB_06[換算鍵],C113&amp;"|"&amp;K113,DB_06[換算檢查],"OK")=1,INDEX(DB_06[乘數],MATCH(C113&amp;"|"&amp;K113,DB_06[換算鍵],0)),""))))</f>
        <v/>
      </c>
      <c r="M113" s="92">
        <f>UPPER(SUBSTITUTE(SUBSTITUTE(SUBSTITUTE(SUBSTITUTE(TRIM(B113&amp;""),"＜","&lt;"),"＞","&gt;"),"≤","&lt;="),"≥","&gt;="))</f>
        <v/>
      </c>
      <c r="N113" s="92">
        <f>IF(M113="","",IF(OR(M113="ND",M113="N.D."),"ND",IF(OR(M113="NA",M113="N/A",M113="N.A."),"NA",IF(OR(LEFT(M113,2)="&lt;=",LEFT(M113,2)="&gt;="),LEFT(M113,2),IF(OR(LEFT(M113,1)="&lt;",LEFT(M113,1)="&gt;"),LEFT(M113,1),"數值")))))</f>
        <v/>
      </c>
      <c r="O113" s="92">
        <f>IF(OR(N113="",N113="ND",N113="NA"),"",IF(N113="數值",M113,TRIM(MID(M113,LEN(N113)+1,99))))</f>
        <v/>
      </c>
      <c r="P113" s="92">
        <f>IF(O113="","",IFERROR(IF(OR(OR(ISNUMBER(SEARCH("%",O113)),ISNUMBER(SEARCH(" ",O113)),ISNUMBER(SEARCH(",",O113))),OR(SUBSTITUTE(SUBSTITUTE(SUBSTITUTE(SUBSTITUTE(SUBSTITUTE(SUBSTITUTE(SUBSTITUTE(SUBSTITUTE(SUBSTITUTE(SUBSTITUTE(SUBSTITUTE(SUBSTITUTE(SUBSTITUTE(SUBSTITUTE(SUBSTITUTE(SUBSTITUTE(SUBSTITUTE(SUBSTITUTE("x"&amp;O113,"0",""),"1",""),"2",""),"3",""),"4",""),"5",""),"6",""),"7",""),"8",""),"9",""),".",""),"E",""),"+",""),"-",""),"&lt;",""),"&gt;",""),"=","")," ","")&lt;&gt;"x",ISNUMBER(SEARCH("-",SUBSTITUTE(SUBSTITUTE("x"&amp;MID(O113,2,99),"E-","E"),"E+","E"))),ISNUMBER(SEARCH("+",SUBSTITUTE(SUBSTITUTE("x"&amp;MID(O113,2,99),"E-","E"),"E+","E"))))),"",IF(ISNUMBER(AH113),AH113,NA())),""))</f>
        <v/>
      </c>
      <c r="Q113" s="92">
        <f>IF(AND(ISNUMBER(L113),ISNUMBER(P113)),L113*P113,"")</f>
        <v/>
      </c>
      <c r="R113" s="92">
        <f>IF(OR(COUNTA($A113:$D113)=0,U113=0),"",IF(INDEX(DB_05[管制設定值],U113)="","",INDEX(DB_05[管制設定值],U113)))</f>
        <v/>
      </c>
      <c r="S113" s="92">
        <f>IF(OR(COUNTA($A113:$D113)=0,U113=0),"",IF(INDEX(DB_05[監測設定值],U113)="","",INDEX(DB_05[監測設定值],U113)))</f>
        <v/>
      </c>
      <c r="T113" s="92">
        <f>IF(COUNTA($A113:$D113)=0,"",IF(COUNTIFS(DB_04[測項鍵],V113)=1,MATCH(V113,DB_04[測項鍵],0),0))</f>
        <v/>
      </c>
      <c r="U113" s="92">
        <f>IF(COUNTA($A113:$D113)=0,"",IF(COUNTIFS(DB_05[標準鍵],W113)=1,MATCH(W113,DB_05[標準鍵],0),0))</f>
        <v/>
      </c>
      <c r="V113" s="92">
        <f>IF(OR(J113="",A113=""),"",J113&amp;"|"&amp;A113)</f>
        <v/>
      </c>
      <c r="W113" s="92">
        <f>IF(OR('07_QAQC'!$C$3="",V113=""),"",'07_QAQC'!$C$3&amp;"|"&amp;V113)</f>
        <v/>
      </c>
      <c r="X113" s="92">
        <f>IF(OR(H113="",A113=""),"",LEN(H113)&amp;":"&amp;H113&amp;LEN(A113)&amp;":"&amp;A113)</f>
        <v/>
      </c>
      <c r="Y113" s="93">
        <f>IF(COUNTA($A113:$D113)=0,"",IF(I113=0,"樣品未建或重複",IF(INDEX(Samples[樣品檢查],I113)="","OK",INDEX(Samples[樣品檢查],I113))))</f>
        <v/>
      </c>
      <c r="Z113" s="93">
        <f>IF(COUNTA($A113:$D113)=0,"",IF(B113="","缺原始值",IF(OR(B113="-",B113="--"),"無資料",IF(N113="NA","不適用",IF(N113="ND","OK",IF(NOT(ISNUMBER(P113)),"格式待核",IF(AND(N113&lt;&gt;"數值",P113&lt;0),"界限不得為負","OK")))))))</f>
        <v/>
      </c>
      <c r="AA113" s="93">
        <f>IF(COUNTA(A113:D113)=0,"",IF(OR(A113="",H113=""),"缺識別欄位",IF(IF(LEN("="&amp;SUBSTITUTE(SUBSTITUTE(SUBSTITUTE(X113,"~","~~"),"*","~*"),"?","~?"))&lt;=255,COUNTIF(Results[結果識別鍵],"="&amp;SUBSTITUTE(SUBSTITUTE(SUBSTITUTE(X113,"~","~~"),"*","~*"),"?","~?")),COUNTIFS(Results[關聯鍵],"="&amp;SUBSTITUTE(SUBSTITUTE(SUBSTITUTE(H113,"~","~~"),"*","~*"),"?","~?"),Results[分析項目],"="&amp;SUBSTITUTE(SUBSTITUTE(SUBSTITUTE(A113,"~","~~"),"*","~*"),"?","~?")))&gt;1,"同關聯鍵測項重複","OK")))</f>
        <v/>
      </c>
      <c r="AB113" s="93">
        <f>IF(COUNTA($A113:$D113)=0,"",IF(OR(C113="",K113=""),"缺單位",IF(NOT(ISNUMBER(L113)),"單位不相容",IF(L113=1,"OK","已換算"))))</f>
        <v/>
      </c>
      <c r="AC113" s="93">
        <f>IF(COUNTA($A113:$D113)=0,"",IF('07_QAQC'!$C$3="","未選比較版本",IF(U113=0,IF(COUNTIFS(DB_05[標準鍵],W113)&gt;1,"標準鍵重複","未訂此介質／測項門檻"),IF(INDEX(DB_05[版本檢查],U113)&lt;&gt;"OK","標準主檔待核",IF(INDEX(DB_05[標準單位],U113)&lt;&gt;K113,"標準單位不符",IF(INDEX(DB_05[核對狀態],U113)="停用","停用",IF(F113="","缺採樣日期",IF(OR(AND(INDEX(DB_05[生效日],U113)&lt;&gt;"",F113&lt;INDEX(DB_05[生效日],U113)),AND(INDEX(DB_05[失效日],U113)&lt;&gt;"",F113&gt;INDEX(DB_05[失效日],U113))),"日期不適用",INDEX(DB_05[核對狀態],U113)))))))))</f>
        <v/>
      </c>
      <c r="AD113" s="93">
        <f>IF(COUNTA($A113:$D113)=0,"",IF(AC113="未訂此介質／測項門檻",AC113,IF(AC113&lt;&gt;"已核對","標準待核",IF(R113="","未訂管制值",IF(NOT(ISNUMBER(L113)),"單位待核",IF(N113="ND","無法判定（ND無界限）",IF(N113="NA","不適用",IF(Z113&lt;&gt;"OK",Z113,IF(N113="數值",IF(Q113&gt;=R113,"達管制值","未達管制值"),IF(OR(N113="&lt;",N113="&lt;="),IF(OR(Q113&lt;R113,AND(N113="&lt;",Q113=R113)),"未達管制值","無法判定"),IF(OR(N113="&gt;",N113="&gt;="),IF(Q113&gt;=R113,"達管制值","無法判定"),"格式待核")))))))))))</f>
        <v/>
      </c>
      <c r="AE113" s="93">
        <f>IF(COUNTA($A113:$D113)=0,"",IF(AC113="未訂此介質／測項門檻",AC113,IF(AC113&lt;&gt;"已核對","標準待核",IF(S113="","未訂監測值",IF(NOT(ISNUMBER(L113)),"單位待核",IF(N113="ND","無法判定（ND無界限）",IF(N113="NA","不適用",IF(Z113&lt;&gt;"OK",Z113,IF(N113="數值",IF(Q113&gt;=S113,"達監測值","未達監測值"),IF(OR(N113="&lt;",N113="&lt;="),IF(OR(Q113&lt;S113,AND(N113="&lt;",Q113=S113)),"未達監測值","無法判定"),IF(OR(N113="&gt;",N113="&gt;="),IF(Q113&gt;=S113,"達監測值","無法判定"),"格式待核")))))))))))</f>
        <v/>
      </c>
      <c r="AF113" s="93">
        <f>IF(COUNTA($A113:$D113)=0,"",IF(OR(E113="",A113="",B113="",C113=""),"缺必要欄位",IF(Y113&lt;&gt;"OK","樣品資料待補",IF(T113=0,"測項未建或重複",IF(INDEX(DB_04[啟用],T113)&lt;&gt;"是","測項停用",IF(AND(Z113&lt;&gt;"OK",Z113&lt;&gt;"不適用"),Z113,IF(AND(AB113&lt;&gt;"OK",AB113&lt;&gt;"已換算"),"單位待核",IF(AA113&lt;&gt;"OK",AA113,"OK"))))))))</f>
        <v/>
      </c>
      <c r="AG113" s="93">
        <f>IF(COUNTA($A113:$D113)=0,"",IF(N113="ND","ND取0",IF(OR(N113="&lt;",N113="&lt;="),"界限除以2",IF(N113="NA","不適用",IF(OR(N113="&gt;",N113="&gt;="),"保留界限數值","保留原數值")))))</f>
        <v/>
      </c>
      <c r="AH113" s="92">
        <f>IF(O113="","",IFERROR(_xlfn.NUMBERVALUE(O113,".",","),""))</f>
        <v/>
      </c>
      <c r="AI113" s="92">
        <f>IF(H113="","",IFERROR(MATCH(H113,Samples[樣品編號],0),0))</f>
        <v/>
      </c>
    </row>
    <row r="114">
      <c r="A114" s="27" t="inlineStr">
        <is>
          <t>鋅</t>
        </is>
      </c>
      <c r="B114" s="28" t="inlineStr">
        <is>
          <t>146</t>
        </is>
      </c>
      <c r="C114" s="27" t="inlineStr">
        <is>
          <t>mg/kg</t>
        </is>
      </c>
      <c r="D114" s="39" t="inlineStr">
        <is>
          <t>合成資料，非實測；method=XRF; basis=dry</t>
        </is>
      </c>
      <c r="E114" s="29">
        <f>IF(OR(I114="",I114=0),"",IF(INDEX(Samples[監測點],I114)="","",INDEX(Samples[監測點],I114)))</f>
        <v/>
      </c>
      <c r="F114" s="90">
        <f>IF(OR(I114="",I114=0),"",IF(INDEX(Samples[採樣日期],I114)="","",INDEX(Samples[採樣日期],I114)))</f>
        <v/>
      </c>
      <c r="G114" s="91">
        <f>IF(OR(M114="",M114="NA",M114="N/A"),"",IF(OR(M114="ND",M114="N.D."),0,IFERROR(IF(OR(OR(ISNUMBER(SEARCH("%",O114)),ISNUMBER(SEARCH(" ",O114)),ISNUMBER(SEARCH(",",O114))),OR(SUBSTITUTE(SUBSTITUTE(SUBSTITUTE(SUBSTITUTE(SUBSTITUTE(SUBSTITUTE(SUBSTITUTE(SUBSTITUTE(SUBSTITUTE(SUBSTITUTE(SUBSTITUTE(SUBSTITUTE(SUBSTITUTE(SUBSTITUTE(SUBSTITUTE(SUBSTITUTE(SUBSTITUTE(SUBSTITUTE("x"&amp;M114,"0",""),"1",""),"2",""),"3",""),"4",""),"5",""),"6",""),"7",""),"8",""),"9",""),".",""),"E",""),"+",""),"-",""),"&lt;",""),"&gt;",""),"=","")," ","")&lt;&gt;"x",ISNUMBER(SEARCH("-",SUBSTITUTE(SUBSTITUTE("x"&amp;MID(M114,2,99),"E-","E"),"E+","E"))),ISNUMBER(SEARCH("+",SUBSTITUTE(SUBSTITUTE("x"&amp;MID(M114,2,99),"E-","E"),"E+","E"))))),"",IF(AND(OR(LEFT(M114,1)="&lt;",LEFT(M114,1)="&gt;"),IF(O114="",0,IF(ISNUMBER(AH114),AH114,NA()))&lt;0),"",IF(O114="",0,IF(ISNUMBER(AH114),AH114,NA()))/IF(LEFT(M114,1)="&lt;",2,1))),"")))</f>
        <v/>
      </c>
      <c r="H114" s="57" t="inlineStr">
        <is>
          <t>BH03-S_20260115_03</t>
        </is>
      </c>
      <c r="I114" s="92">
        <f>IF(OR(H114="",AI114=0),0,IF(INDEX(Samples[樣品重複筆數],AI114)=1,AI114,0))</f>
        <v/>
      </c>
      <c r="J114" s="92">
        <f>IF(OR(COUNTA($A114:$D114)=0,I114=0),"",IF(INDEX(Samples[介質],I114)="","",INDEX(Samples[介質],I114)))</f>
        <v/>
      </c>
      <c r="K114" s="92">
        <f>IF(OR(COUNTA($A114:$D114)=0,T114=0),"",IF(INDEX(DB_04[標準單位],T114)="","",INDEX(DB_04[標準單位],T114)))</f>
        <v/>
      </c>
      <c r="L114" s="92">
        <f>IF(COUNTA($A114:$D114)=0,"",IF(OR(C114="",K114=""),"",IF(C114=K114,1,IF(COUNTIFS(DB_06[換算鍵],C114&amp;"|"&amp;K114,DB_06[換算檢查],"OK")=1,INDEX(DB_06[乘數],MATCH(C114&amp;"|"&amp;K114,DB_06[換算鍵],0)),""))))</f>
        <v/>
      </c>
      <c r="M114" s="92">
        <f>UPPER(SUBSTITUTE(SUBSTITUTE(SUBSTITUTE(SUBSTITUTE(TRIM(B114&amp;""),"＜","&lt;"),"＞","&gt;"),"≤","&lt;="),"≥","&gt;="))</f>
        <v/>
      </c>
      <c r="N114" s="92">
        <f>IF(M114="","",IF(OR(M114="ND",M114="N.D."),"ND",IF(OR(M114="NA",M114="N/A",M114="N.A."),"NA",IF(OR(LEFT(M114,2)="&lt;=",LEFT(M114,2)="&gt;="),LEFT(M114,2),IF(OR(LEFT(M114,1)="&lt;",LEFT(M114,1)="&gt;"),LEFT(M114,1),"數值")))))</f>
        <v/>
      </c>
      <c r="O114" s="92">
        <f>IF(OR(N114="",N114="ND",N114="NA"),"",IF(N114="數值",M114,TRIM(MID(M114,LEN(N114)+1,99))))</f>
        <v/>
      </c>
      <c r="P114" s="92">
        <f>IF(O114="","",IFERROR(IF(OR(OR(ISNUMBER(SEARCH("%",O114)),ISNUMBER(SEARCH(" ",O114)),ISNUMBER(SEARCH(",",O114))),OR(SUBSTITUTE(SUBSTITUTE(SUBSTITUTE(SUBSTITUTE(SUBSTITUTE(SUBSTITUTE(SUBSTITUTE(SUBSTITUTE(SUBSTITUTE(SUBSTITUTE(SUBSTITUTE(SUBSTITUTE(SUBSTITUTE(SUBSTITUTE(SUBSTITUTE(SUBSTITUTE(SUBSTITUTE(SUBSTITUTE("x"&amp;O114,"0",""),"1",""),"2",""),"3",""),"4",""),"5",""),"6",""),"7",""),"8",""),"9",""),".",""),"E",""),"+",""),"-",""),"&lt;",""),"&gt;",""),"=","")," ","")&lt;&gt;"x",ISNUMBER(SEARCH("-",SUBSTITUTE(SUBSTITUTE("x"&amp;MID(O114,2,99),"E-","E"),"E+","E"))),ISNUMBER(SEARCH("+",SUBSTITUTE(SUBSTITUTE("x"&amp;MID(O114,2,99),"E-","E"),"E+","E"))))),"",IF(ISNUMBER(AH114),AH114,NA())),""))</f>
        <v/>
      </c>
      <c r="Q114" s="92">
        <f>IF(AND(ISNUMBER(L114),ISNUMBER(P114)),L114*P114,"")</f>
        <v/>
      </c>
      <c r="R114" s="92">
        <f>IF(OR(COUNTA($A114:$D114)=0,U114=0),"",IF(INDEX(DB_05[管制設定值],U114)="","",INDEX(DB_05[管制設定值],U114)))</f>
        <v/>
      </c>
      <c r="S114" s="92">
        <f>IF(OR(COUNTA($A114:$D114)=0,U114=0),"",IF(INDEX(DB_05[監測設定值],U114)="","",INDEX(DB_05[監測設定值],U114)))</f>
        <v/>
      </c>
      <c r="T114" s="92">
        <f>IF(COUNTA($A114:$D114)=0,"",IF(COUNTIFS(DB_04[測項鍵],V114)=1,MATCH(V114,DB_04[測項鍵],0),0))</f>
        <v/>
      </c>
      <c r="U114" s="92">
        <f>IF(COUNTA($A114:$D114)=0,"",IF(COUNTIFS(DB_05[標準鍵],W114)=1,MATCH(W114,DB_05[標準鍵],0),0))</f>
        <v/>
      </c>
      <c r="V114" s="92">
        <f>IF(OR(J114="",A114=""),"",J114&amp;"|"&amp;A114)</f>
        <v/>
      </c>
      <c r="W114" s="92">
        <f>IF(OR('07_QAQC'!$C$3="",V114=""),"",'07_QAQC'!$C$3&amp;"|"&amp;V114)</f>
        <v/>
      </c>
      <c r="X114" s="92">
        <f>IF(OR(H114="",A114=""),"",LEN(H114)&amp;":"&amp;H114&amp;LEN(A114)&amp;":"&amp;A114)</f>
        <v/>
      </c>
      <c r="Y114" s="93">
        <f>IF(COUNTA($A114:$D114)=0,"",IF(I114=0,"樣品未建或重複",IF(INDEX(Samples[樣品檢查],I114)="","OK",INDEX(Samples[樣品檢查],I114))))</f>
        <v/>
      </c>
      <c r="Z114" s="93">
        <f>IF(COUNTA($A114:$D114)=0,"",IF(B114="","缺原始值",IF(OR(B114="-",B114="--"),"無資料",IF(N114="NA","不適用",IF(N114="ND","OK",IF(NOT(ISNUMBER(P114)),"格式待核",IF(AND(N114&lt;&gt;"數值",P114&lt;0),"界限不得為負","OK")))))))</f>
        <v/>
      </c>
      <c r="AA114" s="93">
        <f>IF(COUNTA(A114:D114)=0,"",IF(OR(A114="",H114=""),"缺識別欄位",IF(IF(LEN("="&amp;SUBSTITUTE(SUBSTITUTE(SUBSTITUTE(X114,"~","~~"),"*","~*"),"?","~?"))&lt;=255,COUNTIF(Results[結果識別鍵],"="&amp;SUBSTITUTE(SUBSTITUTE(SUBSTITUTE(X114,"~","~~"),"*","~*"),"?","~?")),COUNTIFS(Results[關聯鍵],"="&amp;SUBSTITUTE(SUBSTITUTE(SUBSTITUTE(H114,"~","~~"),"*","~*"),"?","~?"),Results[分析項目],"="&amp;SUBSTITUTE(SUBSTITUTE(SUBSTITUTE(A114,"~","~~"),"*","~*"),"?","~?")))&gt;1,"同關聯鍵測項重複","OK")))</f>
        <v/>
      </c>
      <c r="AB114" s="93">
        <f>IF(COUNTA($A114:$D114)=0,"",IF(OR(C114="",K114=""),"缺單位",IF(NOT(ISNUMBER(L114)),"單位不相容",IF(L114=1,"OK","已換算"))))</f>
        <v/>
      </c>
      <c r="AC114" s="93">
        <f>IF(COUNTA($A114:$D114)=0,"",IF('07_QAQC'!$C$3="","未選比較版本",IF(U114=0,IF(COUNTIFS(DB_05[標準鍵],W114)&gt;1,"標準鍵重複","未訂此介質／測項門檻"),IF(INDEX(DB_05[版本檢查],U114)&lt;&gt;"OK","標準主檔待核",IF(INDEX(DB_05[標準單位],U114)&lt;&gt;K114,"標準單位不符",IF(INDEX(DB_05[核對狀態],U114)="停用","停用",IF(F114="","缺採樣日期",IF(OR(AND(INDEX(DB_05[生效日],U114)&lt;&gt;"",F114&lt;INDEX(DB_05[生效日],U114)),AND(INDEX(DB_05[失效日],U114)&lt;&gt;"",F114&gt;INDEX(DB_05[失效日],U114))),"日期不適用",INDEX(DB_05[核對狀態],U114)))))))))</f>
        <v/>
      </c>
      <c r="AD114" s="93">
        <f>IF(COUNTA($A114:$D114)=0,"",IF(AC114="未訂此介質／測項門檻",AC114,IF(AC114&lt;&gt;"已核對","標準待核",IF(R114="","未訂管制值",IF(NOT(ISNUMBER(L114)),"單位待核",IF(N114="ND","無法判定（ND無界限）",IF(N114="NA","不適用",IF(Z114&lt;&gt;"OK",Z114,IF(N114="數值",IF(Q114&gt;=R114,"達管制值","未達管制值"),IF(OR(N114="&lt;",N114="&lt;="),IF(OR(Q114&lt;R114,AND(N114="&lt;",Q114=R114)),"未達管制值","無法判定"),IF(OR(N114="&gt;",N114="&gt;="),IF(Q114&gt;=R114,"達管制值","無法判定"),"格式待核")))))))))))</f>
        <v/>
      </c>
      <c r="AE114" s="93">
        <f>IF(COUNTA($A114:$D114)=0,"",IF(AC114="未訂此介質／測項門檻",AC114,IF(AC114&lt;&gt;"已核對","標準待核",IF(S114="","未訂監測值",IF(NOT(ISNUMBER(L114)),"單位待核",IF(N114="ND","無法判定（ND無界限）",IF(N114="NA","不適用",IF(Z114&lt;&gt;"OK",Z114,IF(N114="數值",IF(Q114&gt;=S114,"達監測值","未達監測值"),IF(OR(N114="&lt;",N114="&lt;="),IF(OR(Q114&lt;S114,AND(N114="&lt;",Q114=S114)),"未達監測值","無法判定"),IF(OR(N114="&gt;",N114="&gt;="),IF(Q114&gt;=S114,"達監測值","無法判定"),"格式待核")))))))))))</f>
        <v/>
      </c>
      <c r="AF114" s="93">
        <f>IF(COUNTA($A114:$D114)=0,"",IF(OR(E114="",A114="",B114="",C114=""),"缺必要欄位",IF(Y114&lt;&gt;"OK","樣品資料待補",IF(T114=0,"測項未建或重複",IF(INDEX(DB_04[啟用],T114)&lt;&gt;"是","測項停用",IF(AND(Z114&lt;&gt;"OK",Z114&lt;&gt;"不適用"),Z114,IF(AND(AB114&lt;&gt;"OK",AB114&lt;&gt;"已換算"),"單位待核",IF(AA114&lt;&gt;"OK",AA114,"OK"))))))))</f>
        <v/>
      </c>
      <c r="AG114" s="93">
        <f>IF(COUNTA($A114:$D114)=0,"",IF(N114="ND","ND取0",IF(OR(N114="&lt;",N114="&lt;="),"界限除以2",IF(N114="NA","不適用",IF(OR(N114="&gt;",N114="&gt;="),"保留界限數值","保留原數值")))))</f>
        <v/>
      </c>
      <c r="AH114" s="92">
        <f>IF(O114="","",IFERROR(_xlfn.NUMBERVALUE(O114,".",","),""))</f>
        <v/>
      </c>
      <c r="AI114" s="92">
        <f>IF(H114="","",IFERROR(MATCH(H114,Samples[樣品編號],0),0))</f>
        <v/>
      </c>
    </row>
    <row r="115">
      <c r="A115" s="27" t="inlineStr">
        <is>
          <t>總有機碳</t>
        </is>
      </c>
      <c r="B115" s="28" t="inlineStr">
        <is>
          <t>0.44</t>
        </is>
      </c>
      <c r="C115" s="27" t="inlineStr">
        <is>
          <t>%</t>
        </is>
      </c>
      <c r="D115" s="39" t="inlineStr">
        <is>
          <t>合成資料，非實測；method=lab; basis=dry</t>
        </is>
      </c>
      <c r="E115" s="29">
        <f>IF(OR(I115="",I115=0),"",IF(INDEX(Samples[監測點],I115)="","",INDEX(Samples[監測點],I115)))</f>
        <v/>
      </c>
      <c r="F115" s="90">
        <f>IF(OR(I115="",I115=0),"",IF(INDEX(Samples[採樣日期],I115)="","",INDEX(Samples[採樣日期],I115)))</f>
        <v/>
      </c>
      <c r="G115" s="91">
        <f>IF(OR(M115="",M115="NA",M115="N/A"),"",IF(OR(M115="ND",M115="N.D."),0,IFERROR(IF(OR(OR(ISNUMBER(SEARCH("%",O115)),ISNUMBER(SEARCH(" ",O115)),ISNUMBER(SEARCH(",",O115))),OR(SUBSTITUTE(SUBSTITUTE(SUBSTITUTE(SUBSTITUTE(SUBSTITUTE(SUBSTITUTE(SUBSTITUTE(SUBSTITUTE(SUBSTITUTE(SUBSTITUTE(SUBSTITUTE(SUBSTITUTE(SUBSTITUTE(SUBSTITUTE(SUBSTITUTE(SUBSTITUTE(SUBSTITUTE(SUBSTITUTE("x"&amp;M115,"0",""),"1",""),"2",""),"3",""),"4",""),"5",""),"6",""),"7",""),"8",""),"9",""),".",""),"E",""),"+",""),"-",""),"&lt;",""),"&gt;",""),"=","")," ","")&lt;&gt;"x",ISNUMBER(SEARCH("-",SUBSTITUTE(SUBSTITUTE("x"&amp;MID(M115,2,99),"E-","E"),"E+","E"))),ISNUMBER(SEARCH("+",SUBSTITUTE(SUBSTITUTE("x"&amp;MID(M115,2,99),"E-","E"),"E+","E"))))),"",IF(AND(OR(LEFT(M115,1)="&lt;",LEFT(M115,1)="&gt;"),IF(O115="",0,IF(ISNUMBER(AH115),AH115,NA()))&lt;0),"",IF(O115="",0,IF(ISNUMBER(AH115),AH115,NA()))/IF(LEFT(M115,1)="&lt;",2,1))),"")))</f>
        <v/>
      </c>
      <c r="H115" s="57" t="inlineStr">
        <is>
          <t>BH03-S_20260115_03</t>
        </is>
      </c>
      <c r="I115" s="92">
        <f>IF(OR(H115="",AI115=0),0,IF(INDEX(Samples[樣品重複筆數],AI115)=1,AI115,0))</f>
        <v/>
      </c>
      <c r="J115" s="92">
        <f>IF(OR(COUNTA($A115:$D115)=0,I115=0),"",IF(INDEX(Samples[介質],I115)="","",INDEX(Samples[介質],I115)))</f>
        <v/>
      </c>
      <c r="K115" s="92">
        <f>IF(OR(COUNTA($A115:$D115)=0,T115=0),"",IF(INDEX(DB_04[標準單位],T115)="","",INDEX(DB_04[標準單位],T115)))</f>
        <v/>
      </c>
      <c r="L115" s="92">
        <f>IF(COUNTA($A115:$D115)=0,"",IF(OR(C115="",K115=""),"",IF(C115=K115,1,IF(COUNTIFS(DB_06[換算鍵],C115&amp;"|"&amp;K115,DB_06[換算檢查],"OK")=1,INDEX(DB_06[乘數],MATCH(C115&amp;"|"&amp;K115,DB_06[換算鍵],0)),""))))</f>
        <v/>
      </c>
      <c r="M115" s="92">
        <f>UPPER(SUBSTITUTE(SUBSTITUTE(SUBSTITUTE(SUBSTITUTE(TRIM(B115&amp;""),"＜","&lt;"),"＞","&gt;"),"≤","&lt;="),"≥","&gt;="))</f>
        <v/>
      </c>
      <c r="N115" s="92">
        <f>IF(M115="","",IF(OR(M115="ND",M115="N.D."),"ND",IF(OR(M115="NA",M115="N/A",M115="N.A."),"NA",IF(OR(LEFT(M115,2)="&lt;=",LEFT(M115,2)="&gt;="),LEFT(M115,2),IF(OR(LEFT(M115,1)="&lt;",LEFT(M115,1)="&gt;"),LEFT(M115,1),"數值")))))</f>
        <v/>
      </c>
      <c r="O115" s="92">
        <f>IF(OR(N115="",N115="ND",N115="NA"),"",IF(N115="數值",M115,TRIM(MID(M115,LEN(N115)+1,99))))</f>
        <v/>
      </c>
      <c r="P115" s="92">
        <f>IF(O115="","",IFERROR(IF(OR(OR(ISNUMBER(SEARCH("%",O115)),ISNUMBER(SEARCH(" ",O115)),ISNUMBER(SEARCH(",",O115))),OR(SUBSTITUTE(SUBSTITUTE(SUBSTITUTE(SUBSTITUTE(SUBSTITUTE(SUBSTITUTE(SUBSTITUTE(SUBSTITUTE(SUBSTITUTE(SUBSTITUTE(SUBSTITUTE(SUBSTITUTE(SUBSTITUTE(SUBSTITUTE(SUBSTITUTE(SUBSTITUTE(SUBSTITUTE(SUBSTITUTE("x"&amp;O115,"0",""),"1",""),"2",""),"3",""),"4",""),"5",""),"6",""),"7",""),"8",""),"9",""),".",""),"E",""),"+",""),"-",""),"&lt;",""),"&gt;",""),"=","")," ","")&lt;&gt;"x",ISNUMBER(SEARCH("-",SUBSTITUTE(SUBSTITUTE("x"&amp;MID(O115,2,99),"E-","E"),"E+","E"))),ISNUMBER(SEARCH("+",SUBSTITUTE(SUBSTITUTE("x"&amp;MID(O115,2,99),"E-","E"),"E+","E"))))),"",IF(ISNUMBER(AH115),AH115,NA())),""))</f>
        <v/>
      </c>
      <c r="Q115" s="92">
        <f>IF(AND(ISNUMBER(L115),ISNUMBER(P115)),L115*P115,"")</f>
        <v/>
      </c>
      <c r="R115" s="92">
        <f>IF(OR(COUNTA($A115:$D115)=0,U115=0),"",IF(INDEX(DB_05[管制設定值],U115)="","",INDEX(DB_05[管制設定值],U115)))</f>
        <v/>
      </c>
      <c r="S115" s="92">
        <f>IF(OR(COUNTA($A115:$D115)=0,U115=0),"",IF(INDEX(DB_05[監測設定值],U115)="","",INDEX(DB_05[監測設定值],U115)))</f>
        <v/>
      </c>
      <c r="T115" s="92">
        <f>IF(COUNTA($A115:$D115)=0,"",IF(COUNTIFS(DB_04[測項鍵],V115)=1,MATCH(V115,DB_04[測項鍵],0),0))</f>
        <v/>
      </c>
      <c r="U115" s="92">
        <f>IF(COUNTA($A115:$D115)=0,"",IF(COUNTIFS(DB_05[標準鍵],W115)=1,MATCH(W115,DB_05[標準鍵],0),0))</f>
        <v/>
      </c>
      <c r="V115" s="92">
        <f>IF(OR(J115="",A115=""),"",J115&amp;"|"&amp;A115)</f>
        <v/>
      </c>
      <c r="W115" s="92">
        <f>IF(OR('07_QAQC'!$C$3="",V115=""),"",'07_QAQC'!$C$3&amp;"|"&amp;V115)</f>
        <v/>
      </c>
      <c r="X115" s="92">
        <f>IF(OR(H115="",A115=""),"",LEN(H115)&amp;":"&amp;H115&amp;LEN(A115)&amp;":"&amp;A115)</f>
        <v/>
      </c>
      <c r="Y115" s="93">
        <f>IF(COUNTA($A115:$D115)=0,"",IF(I115=0,"樣品未建或重複",IF(INDEX(Samples[樣品檢查],I115)="","OK",INDEX(Samples[樣品檢查],I115))))</f>
        <v/>
      </c>
      <c r="Z115" s="93">
        <f>IF(COUNTA($A115:$D115)=0,"",IF(B115="","缺原始值",IF(OR(B115="-",B115="--"),"無資料",IF(N115="NA","不適用",IF(N115="ND","OK",IF(NOT(ISNUMBER(P115)),"格式待核",IF(AND(N115&lt;&gt;"數值",P115&lt;0),"界限不得為負","OK")))))))</f>
        <v/>
      </c>
      <c r="AA115" s="93">
        <f>IF(COUNTA(A115:D115)=0,"",IF(OR(A115="",H115=""),"缺識別欄位",IF(IF(LEN("="&amp;SUBSTITUTE(SUBSTITUTE(SUBSTITUTE(X115,"~","~~"),"*","~*"),"?","~?"))&lt;=255,COUNTIF(Results[結果識別鍵],"="&amp;SUBSTITUTE(SUBSTITUTE(SUBSTITUTE(X115,"~","~~"),"*","~*"),"?","~?")),COUNTIFS(Results[關聯鍵],"="&amp;SUBSTITUTE(SUBSTITUTE(SUBSTITUTE(H115,"~","~~"),"*","~*"),"?","~?"),Results[分析項目],"="&amp;SUBSTITUTE(SUBSTITUTE(SUBSTITUTE(A115,"~","~~"),"*","~*"),"?","~?")))&gt;1,"同關聯鍵測項重複","OK")))</f>
        <v/>
      </c>
      <c r="AB115" s="93">
        <f>IF(COUNTA($A115:$D115)=0,"",IF(OR(C115="",K115=""),"缺單位",IF(NOT(ISNUMBER(L115)),"單位不相容",IF(L115=1,"OK","已換算"))))</f>
        <v/>
      </c>
      <c r="AC115" s="93">
        <f>IF(COUNTA($A115:$D115)=0,"",IF('07_QAQC'!$C$3="","未選比較版本",IF(U115=0,IF(COUNTIFS(DB_05[標準鍵],W115)&gt;1,"標準鍵重複","未訂此介質／測項門檻"),IF(INDEX(DB_05[版本檢查],U115)&lt;&gt;"OK","標準主檔待核",IF(INDEX(DB_05[標準單位],U115)&lt;&gt;K115,"標準單位不符",IF(INDEX(DB_05[核對狀態],U115)="停用","停用",IF(F115="","缺採樣日期",IF(OR(AND(INDEX(DB_05[生效日],U115)&lt;&gt;"",F115&lt;INDEX(DB_05[生效日],U115)),AND(INDEX(DB_05[失效日],U115)&lt;&gt;"",F115&gt;INDEX(DB_05[失效日],U115))),"日期不適用",INDEX(DB_05[核對狀態],U115)))))))))</f>
        <v/>
      </c>
      <c r="AD115" s="93">
        <f>IF(COUNTA($A115:$D115)=0,"",IF(AC115="未訂此介質／測項門檻",AC115,IF(AC115&lt;&gt;"已核對","標準待核",IF(R115="","未訂管制值",IF(NOT(ISNUMBER(L115)),"單位待核",IF(N115="ND","無法判定（ND無界限）",IF(N115="NA","不適用",IF(Z115&lt;&gt;"OK",Z115,IF(N115="數值",IF(Q115&gt;=R115,"達管制值","未達管制值"),IF(OR(N115="&lt;",N115="&lt;="),IF(OR(Q115&lt;R115,AND(N115="&lt;",Q115=R115)),"未達管制值","無法判定"),IF(OR(N115="&gt;",N115="&gt;="),IF(Q115&gt;=R115,"達管制值","無法判定"),"格式待核")))))))))))</f>
        <v/>
      </c>
      <c r="AE115" s="93">
        <f>IF(COUNTA($A115:$D115)=0,"",IF(AC115="未訂此介質／測項門檻",AC115,IF(AC115&lt;&gt;"已核對","標準待核",IF(S115="","未訂監測值",IF(NOT(ISNUMBER(L115)),"單位待核",IF(N115="ND","無法判定（ND無界限）",IF(N115="NA","不適用",IF(Z115&lt;&gt;"OK",Z115,IF(N115="數值",IF(Q115&gt;=S115,"達監測值","未達監測值"),IF(OR(N115="&lt;",N115="&lt;="),IF(OR(Q115&lt;S115,AND(N115="&lt;",Q115=S115)),"未達監測值","無法判定"),IF(OR(N115="&gt;",N115="&gt;="),IF(Q115&gt;=S115,"達監測值","無法判定"),"格式待核")))))))))))</f>
        <v/>
      </c>
      <c r="AF115" s="93">
        <f>IF(COUNTA($A115:$D115)=0,"",IF(OR(E115="",A115="",B115="",C115=""),"缺必要欄位",IF(Y115&lt;&gt;"OK","樣品資料待補",IF(T115=0,"測項未建或重複",IF(INDEX(DB_04[啟用],T115)&lt;&gt;"是","測項停用",IF(AND(Z115&lt;&gt;"OK",Z115&lt;&gt;"不適用"),Z115,IF(AND(AB115&lt;&gt;"OK",AB115&lt;&gt;"已換算"),"單位待核",IF(AA115&lt;&gt;"OK",AA115,"OK"))))))))</f>
        <v/>
      </c>
      <c r="AG115" s="93">
        <f>IF(COUNTA($A115:$D115)=0,"",IF(N115="ND","ND取0",IF(OR(N115="&lt;",N115="&lt;="),"界限除以2",IF(N115="NA","不適用",IF(OR(N115="&gt;",N115="&gt;="),"保留界限數值","保留原數值")))))</f>
        <v/>
      </c>
      <c r="AH115" s="92">
        <f>IF(O115="","",IFERROR(_xlfn.NUMBERVALUE(O115,".",","),""))</f>
        <v/>
      </c>
      <c r="AI115" s="92">
        <f>IF(H115="","",IFERROR(MATCH(H115,Samples[樣品編號],0),0))</f>
        <v/>
      </c>
    </row>
    <row r="116">
      <c r="A116" s="27" t="inlineStr">
        <is>
          <t>pH</t>
        </is>
      </c>
      <c r="B116" s="28" t="inlineStr">
        <is>
          <t>6.75</t>
        </is>
      </c>
      <c r="C116" s="27" t="inlineStr">
        <is>
          <t>無因次</t>
        </is>
      </c>
      <c r="D116" s="39" t="inlineStr">
        <is>
          <t>合成資料，非實測；method=field</t>
        </is>
      </c>
      <c r="E116" s="29">
        <f>IF(OR(I116="",I116=0),"",IF(INDEX(Samples[監測點],I116)="","",INDEX(Samples[監測點],I116)))</f>
        <v/>
      </c>
      <c r="F116" s="90">
        <f>IF(OR(I116="",I116=0),"",IF(INDEX(Samples[採樣日期],I116)="","",INDEX(Samples[採樣日期],I116)))</f>
        <v/>
      </c>
      <c r="G116" s="91">
        <f>IF(OR(M116="",M116="NA",M116="N/A"),"",IF(OR(M116="ND",M116="N.D."),0,IFERROR(IF(OR(OR(ISNUMBER(SEARCH("%",O116)),ISNUMBER(SEARCH(" ",O116)),ISNUMBER(SEARCH(",",O116))),OR(SUBSTITUTE(SUBSTITUTE(SUBSTITUTE(SUBSTITUTE(SUBSTITUTE(SUBSTITUTE(SUBSTITUTE(SUBSTITUTE(SUBSTITUTE(SUBSTITUTE(SUBSTITUTE(SUBSTITUTE(SUBSTITUTE(SUBSTITUTE(SUBSTITUTE(SUBSTITUTE(SUBSTITUTE(SUBSTITUTE("x"&amp;M116,"0",""),"1",""),"2",""),"3",""),"4",""),"5",""),"6",""),"7",""),"8",""),"9",""),".",""),"E",""),"+",""),"-",""),"&lt;",""),"&gt;",""),"=","")," ","")&lt;&gt;"x",ISNUMBER(SEARCH("-",SUBSTITUTE(SUBSTITUTE("x"&amp;MID(M116,2,99),"E-","E"),"E+","E"))),ISNUMBER(SEARCH("+",SUBSTITUTE(SUBSTITUTE("x"&amp;MID(M116,2,99),"E-","E"),"E+","E"))))),"",IF(AND(OR(LEFT(M116,1)="&lt;",LEFT(M116,1)="&gt;"),IF(O116="",0,IF(ISNUMBER(AH116),AH116,NA()))&lt;0),"",IF(O116="",0,IF(ISNUMBER(AH116),AH116,NA()))/IF(LEFT(M116,1)="&lt;",2,1))),"")))</f>
        <v/>
      </c>
      <c r="H116" s="57" t="inlineStr">
        <is>
          <t>BH03-W_20260115_03</t>
        </is>
      </c>
      <c r="I116" s="92">
        <f>IF(OR(H116="",AI116=0),0,IF(INDEX(Samples[樣品重複筆數],AI116)=1,AI116,0))</f>
        <v/>
      </c>
      <c r="J116" s="92">
        <f>IF(OR(COUNTA($A116:$D116)=0,I116=0),"",IF(INDEX(Samples[介質],I116)="","",INDEX(Samples[介質],I116)))</f>
        <v/>
      </c>
      <c r="K116" s="92">
        <f>IF(OR(COUNTA($A116:$D116)=0,T116=0),"",IF(INDEX(DB_04[標準單位],T116)="","",INDEX(DB_04[標準單位],T116)))</f>
        <v/>
      </c>
      <c r="L116" s="92">
        <f>IF(COUNTA($A116:$D116)=0,"",IF(OR(C116="",K116=""),"",IF(C116=K116,1,IF(COUNTIFS(DB_06[換算鍵],C116&amp;"|"&amp;K116,DB_06[換算檢查],"OK")=1,INDEX(DB_06[乘數],MATCH(C116&amp;"|"&amp;K116,DB_06[換算鍵],0)),""))))</f>
        <v/>
      </c>
      <c r="M116" s="92">
        <f>UPPER(SUBSTITUTE(SUBSTITUTE(SUBSTITUTE(SUBSTITUTE(TRIM(B116&amp;""),"＜","&lt;"),"＞","&gt;"),"≤","&lt;="),"≥","&gt;="))</f>
        <v/>
      </c>
      <c r="N116" s="92">
        <f>IF(M116="","",IF(OR(M116="ND",M116="N.D."),"ND",IF(OR(M116="NA",M116="N/A",M116="N.A."),"NA",IF(OR(LEFT(M116,2)="&lt;=",LEFT(M116,2)="&gt;="),LEFT(M116,2),IF(OR(LEFT(M116,1)="&lt;",LEFT(M116,1)="&gt;"),LEFT(M116,1),"數值")))))</f>
        <v/>
      </c>
      <c r="O116" s="92">
        <f>IF(OR(N116="",N116="ND",N116="NA"),"",IF(N116="數值",M116,TRIM(MID(M116,LEN(N116)+1,99))))</f>
        <v/>
      </c>
      <c r="P116" s="92">
        <f>IF(O116="","",IFERROR(IF(OR(OR(ISNUMBER(SEARCH("%",O116)),ISNUMBER(SEARCH(" ",O116)),ISNUMBER(SEARCH(",",O116))),OR(SUBSTITUTE(SUBSTITUTE(SUBSTITUTE(SUBSTITUTE(SUBSTITUTE(SUBSTITUTE(SUBSTITUTE(SUBSTITUTE(SUBSTITUTE(SUBSTITUTE(SUBSTITUTE(SUBSTITUTE(SUBSTITUTE(SUBSTITUTE(SUBSTITUTE(SUBSTITUTE(SUBSTITUTE(SUBSTITUTE("x"&amp;O116,"0",""),"1",""),"2",""),"3",""),"4",""),"5",""),"6",""),"7",""),"8",""),"9",""),".",""),"E",""),"+",""),"-",""),"&lt;",""),"&gt;",""),"=","")," ","")&lt;&gt;"x",ISNUMBER(SEARCH("-",SUBSTITUTE(SUBSTITUTE("x"&amp;MID(O116,2,99),"E-","E"),"E+","E"))),ISNUMBER(SEARCH("+",SUBSTITUTE(SUBSTITUTE("x"&amp;MID(O116,2,99),"E-","E"),"E+","E"))))),"",IF(ISNUMBER(AH116),AH116,NA())),""))</f>
        <v/>
      </c>
      <c r="Q116" s="92">
        <f>IF(AND(ISNUMBER(L116),ISNUMBER(P116)),L116*P116,"")</f>
        <v/>
      </c>
      <c r="R116" s="92">
        <f>IF(OR(COUNTA($A116:$D116)=0,U116=0),"",IF(INDEX(DB_05[管制設定值],U116)="","",INDEX(DB_05[管制設定值],U116)))</f>
        <v/>
      </c>
      <c r="S116" s="92">
        <f>IF(OR(COUNTA($A116:$D116)=0,U116=0),"",IF(INDEX(DB_05[監測設定值],U116)="","",INDEX(DB_05[監測設定值],U116)))</f>
        <v/>
      </c>
      <c r="T116" s="92">
        <f>IF(COUNTA($A116:$D116)=0,"",IF(COUNTIFS(DB_04[測項鍵],V116)=1,MATCH(V116,DB_04[測項鍵],0),0))</f>
        <v/>
      </c>
      <c r="U116" s="92">
        <f>IF(COUNTA($A116:$D116)=0,"",IF(COUNTIFS(DB_05[標準鍵],W116)=1,MATCH(W116,DB_05[標準鍵],0),0))</f>
        <v/>
      </c>
      <c r="V116" s="92">
        <f>IF(OR(J116="",A116=""),"",J116&amp;"|"&amp;A116)</f>
        <v/>
      </c>
      <c r="W116" s="92">
        <f>IF(OR('07_QAQC'!$C$3="",V116=""),"",'07_QAQC'!$C$3&amp;"|"&amp;V116)</f>
        <v/>
      </c>
      <c r="X116" s="92">
        <f>IF(OR(H116="",A116=""),"",LEN(H116)&amp;":"&amp;H116&amp;LEN(A116)&amp;":"&amp;A116)</f>
        <v/>
      </c>
      <c r="Y116" s="93">
        <f>IF(COUNTA($A116:$D116)=0,"",IF(I116=0,"樣品未建或重複",IF(INDEX(Samples[樣品檢查],I116)="","OK",INDEX(Samples[樣品檢查],I116))))</f>
        <v/>
      </c>
      <c r="Z116" s="93">
        <f>IF(COUNTA($A116:$D116)=0,"",IF(B116="","缺原始值",IF(OR(B116="-",B116="--"),"無資料",IF(N116="NA","不適用",IF(N116="ND","OK",IF(NOT(ISNUMBER(P116)),"格式待核",IF(AND(N116&lt;&gt;"數值",P116&lt;0),"界限不得為負","OK")))))))</f>
        <v/>
      </c>
      <c r="AA116" s="93">
        <f>IF(COUNTA(A116:D116)=0,"",IF(OR(A116="",H116=""),"缺識別欄位",IF(IF(LEN("="&amp;SUBSTITUTE(SUBSTITUTE(SUBSTITUTE(X116,"~","~~"),"*","~*"),"?","~?"))&lt;=255,COUNTIF(Results[結果識別鍵],"="&amp;SUBSTITUTE(SUBSTITUTE(SUBSTITUTE(X116,"~","~~"),"*","~*"),"?","~?")),COUNTIFS(Results[關聯鍵],"="&amp;SUBSTITUTE(SUBSTITUTE(SUBSTITUTE(H116,"~","~~"),"*","~*"),"?","~?"),Results[分析項目],"="&amp;SUBSTITUTE(SUBSTITUTE(SUBSTITUTE(A116,"~","~~"),"*","~*"),"?","~?")))&gt;1,"同關聯鍵測項重複","OK")))</f>
        <v/>
      </c>
      <c r="AB116" s="93">
        <f>IF(COUNTA($A116:$D116)=0,"",IF(OR(C116="",K116=""),"缺單位",IF(NOT(ISNUMBER(L116)),"單位不相容",IF(L116=1,"OK","已換算"))))</f>
        <v/>
      </c>
      <c r="AC116" s="93">
        <f>IF(COUNTA($A116:$D116)=0,"",IF('07_QAQC'!$C$3="","未選比較版本",IF(U116=0,IF(COUNTIFS(DB_05[標準鍵],W116)&gt;1,"標準鍵重複","未訂此介質／測項門檻"),IF(INDEX(DB_05[版本檢查],U116)&lt;&gt;"OK","標準主檔待核",IF(INDEX(DB_05[標準單位],U116)&lt;&gt;K116,"標準單位不符",IF(INDEX(DB_05[核對狀態],U116)="停用","停用",IF(F116="","缺採樣日期",IF(OR(AND(INDEX(DB_05[生效日],U116)&lt;&gt;"",F116&lt;INDEX(DB_05[生效日],U116)),AND(INDEX(DB_05[失效日],U116)&lt;&gt;"",F116&gt;INDEX(DB_05[失效日],U116))),"日期不適用",INDEX(DB_05[核對狀態],U116)))))))))</f>
        <v/>
      </c>
      <c r="AD116" s="93">
        <f>IF(COUNTA($A116:$D116)=0,"",IF(AC116="未訂此介質／測項門檻",AC116,IF(AC116&lt;&gt;"已核對","標準待核",IF(R116="","未訂管制值",IF(NOT(ISNUMBER(L116)),"單位待核",IF(N116="ND","無法判定（ND無界限）",IF(N116="NA","不適用",IF(Z116&lt;&gt;"OK",Z116,IF(N116="數值",IF(Q116&gt;=R116,"達管制值","未達管制值"),IF(OR(N116="&lt;",N116="&lt;="),IF(OR(Q116&lt;R116,AND(N116="&lt;",Q116=R116)),"未達管制值","無法判定"),IF(OR(N116="&gt;",N116="&gt;="),IF(Q116&gt;=R116,"達管制值","無法判定"),"格式待核")))))))))))</f>
        <v/>
      </c>
      <c r="AE116" s="93">
        <f>IF(COUNTA($A116:$D116)=0,"",IF(AC116="未訂此介質／測項門檻",AC116,IF(AC116&lt;&gt;"已核對","標準待核",IF(S116="","未訂監測值",IF(NOT(ISNUMBER(L116)),"單位待核",IF(N116="ND","無法判定（ND無界限）",IF(N116="NA","不適用",IF(Z116&lt;&gt;"OK",Z116,IF(N116="數值",IF(Q116&gt;=S116,"達監測值","未達監測值"),IF(OR(N116="&lt;",N116="&lt;="),IF(OR(Q116&lt;S116,AND(N116="&lt;",Q116=S116)),"未達監測值","無法判定"),IF(OR(N116="&gt;",N116="&gt;="),IF(Q116&gt;=S116,"達監測值","無法判定"),"格式待核")))))))))))</f>
        <v/>
      </c>
      <c r="AF116" s="93">
        <f>IF(COUNTA($A116:$D116)=0,"",IF(OR(E116="",A116="",B116="",C116=""),"缺必要欄位",IF(Y116&lt;&gt;"OK","樣品資料待補",IF(T116=0,"測項未建或重複",IF(INDEX(DB_04[啟用],T116)&lt;&gt;"是","測項停用",IF(AND(Z116&lt;&gt;"OK",Z116&lt;&gt;"不適用"),Z116,IF(AND(AB116&lt;&gt;"OK",AB116&lt;&gt;"已換算"),"單位待核",IF(AA116&lt;&gt;"OK",AA116,"OK"))))))))</f>
        <v/>
      </c>
      <c r="AG116" s="93">
        <f>IF(COUNTA($A116:$D116)=0,"",IF(N116="ND","ND取0",IF(OR(N116="&lt;",N116="&lt;="),"界限除以2",IF(N116="NA","不適用",IF(OR(N116="&gt;",N116="&gt;="),"保留界限數值","保留原數值")))))</f>
        <v/>
      </c>
      <c r="AH116" s="92">
        <f>IF(O116="","",IFERROR(_xlfn.NUMBERVALUE(O116,".",","),""))</f>
        <v/>
      </c>
      <c r="AI116" s="92">
        <f>IF(H116="","",IFERROR(MATCH(H116,Samples[樣品編號],0),0))</f>
        <v/>
      </c>
    </row>
    <row r="117">
      <c r="A117" s="27" t="inlineStr">
        <is>
          <t>EC</t>
        </is>
      </c>
      <c r="B117" s="28" t="inlineStr">
        <is>
          <t>0.69</t>
        </is>
      </c>
      <c r="C117" s="27" t="inlineStr">
        <is>
          <t>mS/cm</t>
        </is>
      </c>
      <c r="D117" s="39" t="inlineStr">
        <is>
          <t>合成資料，非實測；method=field; temperature=25; temperature_compensated=25C; reference_temperature=25</t>
        </is>
      </c>
      <c r="E117" s="29">
        <f>IF(OR(I117="",I117=0),"",IF(INDEX(Samples[監測點],I117)="","",INDEX(Samples[監測點],I117)))</f>
        <v/>
      </c>
      <c r="F117" s="90">
        <f>IF(OR(I117="",I117=0),"",IF(INDEX(Samples[採樣日期],I117)="","",INDEX(Samples[採樣日期],I117)))</f>
        <v/>
      </c>
      <c r="G117" s="91">
        <f>IF(OR(M117="",M117="NA",M117="N/A"),"",IF(OR(M117="ND",M117="N.D."),0,IFERROR(IF(OR(OR(ISNUMBER(SEARCH("%",O117)),ISNUMBER(SEARCH(" ",O117)),ISNUMBER(SEARCH(",",O117))),OR(SUBSTITUTE(SUBSTITUTE(SUBSTITUTE(SUBSTITUTE(SUBSTITUTE(SUBSTITUTE(SUBSTITUTE(SUBSTITUTE(SUBSTITUTE(SUBSTITUTE(SUBSTITUTE(SUBSTITUTE(SUBSTITUTE(SUBSTITUTE(SUBSTITUTE(SUBSTITUTE(SUBSTITUTE(SUBSTITUTE("x"&amp;M117,"0",""),"1",""),"2",""),"3",""),"4",""),"5",""),"6",""),"7",""),"8",""),"9",""),".",""),"E",""),"+",""),"-",""),"&lt;",""),"&gt;",""),"=","")," ","")&lt;&gt;"x",ISNUMBER(SEARCH("-",SUBSTITUTE(SUBSTITUTE("x"&amp;MID(M117,2,99),"E-","E"),"E+","E"))),ISNUMBER(SEARCH("+",SUBSTITUTE(SUBSTITUTE("x"&amp;MID(M117,2,99),"E-","E"),"E+","E"))))),"",IF(AND(OR(LEFT(M117,1)="&lt;",LEFT(M117,1)="&gt;"),IF(O117="",0,IF(ISNUMBER(AH117),AH117,NA()))&lt;0),"",IF(O117="",0,IF(ISNUMBER(AH117),AH117,NA()))/IF(LEFT(M117,1)="&lt;",2,1))),"")))</f>
        <v/>
      </c>
      <c r="H117" s="57" t="inlineStr">
        <is>
          <t>BH03-W_20260115_03</t>
        </is>
      </c>
      <c r="I117" s="92">
        <f>IF(OR(H117="",AI117=0),0,IF(INDEX(Samples[樣品重複筆數],AI117)=1,AI117,0))</f>
        <v/>
      </c>
      <c r="J117" s="92">
        <f>IF(OR(COUNTA($A117:$D117)=0,I117=0),"",IF(INDEX(Samples[介質],I117)="","",INDEX(Samples[介質],I117)))</f>
        <v/>
      </c>
      <c r="K117" s="92">
        <f>IF(OR(COUNTA($A117:$D117)=0,T117=0),"",IF(INDEX(DB_04[標準單位],T117)="","",INDEX(DB_04[標準單位],T117)))</f>
        <v/>
      </c>
      <c r="L117" s="92">
        <f>IF(COUNTA($A117:$D117)=0,"",IF(OR(C117="",K117=""),"",IF(C117=K117,1,IF(COUNTIFS(DB_06[換算鍵],C117&amp;"|"&amp;K117,DB_06[換算檢查],"OK")=1,INDEX(DB_06[乘數],MATCH(C117&amp;"|"&amp;K117,DB_06[換算鍵],0)),""))))</f>
        <v/>
      </c>
      <c r="M117" s="92">
        <f>UPPER(SUBSTITUTE(SUBSTITUTE(SUBSTITUTE(SUBSTITUTE(TRIM(B117&amp;""),"＜","&lt;"),"＞","&gt;"),"≤","&lt;="),"≥","&gt;="))</f>
        <v/>
      </c>
      <c r="N117" s="92">
        <f>IF(M117="","",IF(OR(M117="ND",M117="N.D."),"ND",IF(OR(M117="NA",M117="N/A",M117="N.A."),"NA",IF(OR(LEFT(M117,2)="&lt;=",LEFT(M117,2)="&gt;="),LEFT(M117,2),IF(OR(LEFT(M117,1)="&lt;",LEFT(M117,1)="&gt;"),LEFT(M117,1),"數值")))))</f>
        <v/>
      </c>
      <c r="O117" s="92">
        <f>IF(OR(N117="",N117="ND",N117="NA"),"",IF(N117="數值",M117,TRIM(MID(M117,LEN(N117)+1,99))))</f>
        <v/>
      </c>
      <c r="P117" s="92">
        <f>IF(O117="","",IFERROR(IF(OR(OR(ISNUMBER(SEARCH("%",O117)),ISNUMBER(SEARCH(" ",O117)),ISNUMBER(SEARCH(",",O117))),OR(SUBSTITUTE(SUBSTITUTE(SUBSTITUTE(SUBSTITUTE(SUBSTITUTE(SUBSTITUTE(SUBSTITUTE(SUBSTITUTE(SUBSTITUTE(SUBSTITUTE(SUBSTITUTE(SUBSTITUTE(SUBSTITUTE(SUBSTITUTE(SUBSTITUTE(SUBSTITUTE(SUBSTITUTE(SUBSTITUTE("x"&amp;O117,"0",""),"1",""),"2",""),"3",""),"4",""),"5",""),"6",""),"7",""),"8",""),"9",""),".",""),"E",""),"+",""),"-",""),"&lt;",""),"&gt;",""),"=","")," ","")&lt;&gt;"x",ISNUMBER(SEARCH("-",SUBSTITUTE(SUBSTITUTE("x"&amp;MID(O117,2,99),"E-","E"),"E+","E"))),ISNUMBER(SEARCH("+",SUBSTITUTE(SUBSTITUTE("x"&amp;MID(O117,2,99),"E-","E"),"E+","E"))))),"",IF(ISNUMBER(AH117),AH117,NA())),""))</f>
        <v/>
      </c>
      <c r="Q117" s="92">
        <f>IF(AND(ISNUMBER(L117),ISNUMBER(P117)),L117*P117,"")</f>
        <v/>
      </c>
      <c r="R117" s="92">
        <f>IF(OR(COUNTA($A117:$D117)=0,U117=0),"",IF(INDEX(DB_05[管制設定值],U117)="","",INDEX(DB_05[管制設定值],U117)))</f>
        <v/>
      </c>
      <c r="S117" s="92">
        <f>IF(OR(COUNTA($A117:$D117)=0,U117=0),"",IF(INDEX(DB_05[監測設定值],U117)="","",INDEX(DB_05[監測設定值],U117)))</f>
        <v/>
      </c>
      <c r="T117" s="92">
        <f>IF(COUNTA($A117:$D117)=0,"",IF(COUNTIFS(DB_04[測項鍵],V117)=1,MATCH(V117,DB_04[測項鍵],0),0))</f>
        <v/>
      </c>
      <c r="U117" s="92">
        <f>IF(COUNTA($A117:$D117)=0,"",IF(COUNTIFS(DB_05[標準鍵],W117)=1,MATCH(W117,DB_05[標準鍵],0),0))</f>
        <v/>
      </c>
      <c r="V117" s="92">
        <f>IF(OR(J117="",A117=""),"",J117&amp;"|"&amp;A117)</f>
        <v/>
      </c>
      <c r="W117" s="92">
        <f>IF(OR('07_QAQC'!$C$3="",V117=""),"",'07_QAQC'!$C$3&amp;"|"&amp;V117)</f>
        <v/>
      </c>
      <c r="X117" s="92">
        <f>IF(OR(H117="",A117=""),"",LEN(H117)&amp;":"&amp;H117&amp;LEN(A117)&amp;":"&amp;A117)</f>
        <v/>
      </c>
      <c r="Y117" s="93">
        <f>IF(COUNTA($A117:$D117)=0,"",IF(I117=0,"樣品未建或重複",IF(INDEX(Samples[樣品檢查],I117)="","OK",INDEX(Samples[樣品檢查],I117))))</f>
        <v/>
      </c>
      <c r="Z117" s="93">
        <f>IF(COUNTA($A117:$D117)=0,"",IF(B117="","缺原始值",IF(OR(B117="-",B117="--"),"無資料",IF(N117="NA","不適用",IF(N117="ND","OK",IF(NOT(ISNUMBER(P117)),"格式待核",IF(AND(N117&lt;&gt;"數值",P117&lt;0),"界限不得為負","OK")))))))</f>
        <v/>
      </c>
      <c r="AA117" s="93">
        <f>IF(COUNTA(A117:D117)=0,"",IF(OR(A117="",H117=""),"缺識別欄位",IF(IF(LEN("="&amp;SUBSTITUTE(SUBSTITUTE(SUBSTITUTE(X117,"~","~~"),"*","~*"),"?","~?"))&lt;=255,COUNTIF(Results[結果識別鍵],"="&amp;SUBSTITUTE(SUBSTITUTE(SUBSTITUTE(X117,"~","~~"),"*","~*"),"?","~?")),COUNTIFS(Results[關聯鍵],"="&amp;SUBSTITUTE(SUBSTITUTE(SUBSTITUTE(H117,"~","~~"),"*","~*"),"?","~?"),Results[分析項目],"="&amp;SUBSTITUTE(SUBSTITUTE(SUBSTITUTE(A117,"~","~~"),"*","~*"),"?","~?")))&gt;1,"同關聯鍵測項重複","OK")))</f>
        <v/>
      </c>
      <c r="AB117" s="93">
        <f>IF(COUNTA($A117:$D117)=0,"",IF(OR(C117="",K117=""),"缺單位",IF(NOT(ISNUMBER(L117)),"單位不相容",IF(L117=1,"OK","已換算"))))</f>
        <v/>
      </c>
      <c r="AC117" s="93">
        <f>IF(COUNTA($A117:$D117)=0,"",IF('07_QAQC'!$C$3="","未選比較版本",IF(U117=0,IF(COUNTIFS(DB_05[標準鍵],W117)&gt;1,"標準鍵重複","未訂此介質／測項門檻"),IF(INDEX(DB_05[版本檢查],U117)&lt;&gt;"OK","標準主檔待核",IF(INDEX(DB_05[標準單位],U117)&lt;&gt;K117,"標準單位不符",IF(INDEX(DB_05[核對狀態],U117)="停用","停用",IF(F117="","缺採樣日期",IF(OR(AND(INDEX(DB_05[生效日],U117)&lt;&gt;"",F117&lt;INDEX(DB_05[生效日],U117)),AND(INDEX(DB_05[失效日],U117)&lt;&gt;"",F117&gt;INDEX(DB_05[失效日],U117))),"日期不適用",INDEX(DB_05[核對狀態],U117)))))))))</f>
        <v/>
      </c>
      <c r="AD117" s="93">
        <f>IF(COUNTA($A117:$D117)=0,"",IF(AC117="未訂此介質／測項門檻",AC117,IF(AC117&lt;&gt;"已核對","標準待核",IF(R117="","未訂管制值",IF(NOT(ISNUMBER(L117)),"單位待核",IF(N117="ND","無法判定（ND無界限）",IF(N117="NA","不適用",IF(Z117&lt;&gt;"OK",Z117,IF(N117="數值",IF(Q117&gt;=R117,"達管制值","未達管制值"),IF(OR(N117="&lt;",N117="&lt;="),IF(OR(Q117&lt;R117,AND(N117="&lt;",Q117=R117)),"未達管制值","無法判定"),IF(OR(N117="&gt;",N117="&gt;="),IF(Q117&gt;=R117,"達管制值","無法判定"),"格式待核")))))))))))</f>
        <v/>
      </c>
      <c r="AE117" s="93">
        <f>IF(COUNTA($A117:$D117)=0,"",IF(AC117="未訂此介質／測項門檻",AC117,IF(AC117&lt;&gt;"已核對","標準待核",IF(S117="","未訂監測值",IF(NOT(ISNUMBER(L117)),"單位待核",IF(N117="ND","無法判定（ND無界限）",IF(N117="NA","不適用",IF(Z117&lt;&gt;"OK",Z117,IF(N117="數值",IF(Q117&gt;=S117,"達監測值","未達監測值"),IF(OR(N117="&lt;",N117="&lt;="),IF(OR(Q117&lt;S117,AND(N117="&lt;",Q117=S117)),"未達監測值","無法判定"),IF(OR(N117="&gt;",N117="&gt;="),IF(Q117&gt;=S117,"達監測值","無法判定"),"格式待核")))))))))))</f>
        <v/>
      </c>
      <c r="AF117" s="93">
        <f>IF(COUNTA($A117:$D117)=0,"",IF(OR(E117="",A117="",B117="",C117=""),"缺必要欄位",IF(Y117&lt;&gt;"OK","樣品資料待補",IF(T117=0,"測項未建或重複",IF(INDEX(DB_04[啟用],T117)&lt;&gt;"是","測項停用",IF(AND(Z117&lt;&gt;"OK",Z117&lt;&gt;"不適用"),Z117,IF(AND(AB117&lt;&gt;"OK",AB117&lt;&gt;"已換算"),"單位待核",IF(AA117&lt;&gt;"OK",AA117,"OK"))))))))</f>
        <v/>
      </c>
      <c r="AG117" s="93">
        <f>IF(COUNTA($A117:$D117)=0,"",IF(N117="ND","ND取0",IF(OR(N117="&lt;",N117="&lt;="),"界限除以2",IF(N117="NA","不適用",IF(OR(N117="&gt;",N117="&gt;="),"保留界限數值","保留原數值")))))</f>
        <v/>
      </c>
      <c r="AH117" s="92">
        <f>IF(O117="","",IFERROR(_xlfn.NUMBERVALUE(O117,".",","),""))</f>
        <v/>
      </c>
      <c r="AI117" s="92">
        <f>IF(H117="","",IFERROR(MATCH(H117,Samples[樣品編號],0),0))</f>
        <v/>
      </c>
    </row>
    <row r="118">
      <c r="A118" s="27" t="inlineStr">
        <is>
          <t>DO</t>
        </is>
      </c>
      <c r="B118" s="28" t="inlineStr">
        <is>
          <t>4.3</t>
        </is>
      </c>
      <c r="C118" s="27" t="inlineStr">
        <is>
          <t>mg/L</t>
        </is>
      </c>
      <c r="D118" s="39" t="inlineStr">
        <is>
          <t>合成資料，非實測；method=field</t>
        </is>
      </c>
      <c r="E118" s="29">
        <f>IF(OR(I118="",I118=0),"",IF(INDEX(Samples[監測點],I118)="","",INDEX(Samples[監測點],I118)))</f>
        <v/>
      </c>
      <c r="F118" s="90">
        <f>IF(OR(I118="",I118=0),"",IF(INDEX(Samples[採樣日期],I118)="","",INDEX(Samples[採樣日期],I118)))</f>
        <v/>
      </c>
      <c r="G118" s="91">
        <f>IF(OR(M118="",M118="NA",M118="N/A"),"",IF(OR(M118="ND",M118="N.D."),0,IFERROR(IF(OR(OR(ISNUMBER(SEARCH("%",O118)),ISNUMBER(SEARCH(" ",O118)),ISNUMBER(SEARCH(",",O118))),OR(SUBSTITUTE(SUBSTITUTE(SUBSTITUTE(SUBSTITUTE(SUBSTITUTE(SUBSTITUTE(SUBSTITUTE(SUBSTITUTE(SUBSTITUTE(SUBSTITUTE(SUBSTITUTE(SUBSTITUTE(SUBSTITUTE(SUBSTITUTE(SUBSTITUTE(SUBSTITUTE(SUBSTITUTE(SUBSTITUTE("x"&amp;M118,"0",""),"1",""),"2",""),"3",""),"4",""),"5",""),"6",""),"7",""),"8",""),"9",""),".",""),"E",""),"+",""),"-",""),"&lt;",""),"&gt;",""),"=","")," ","")&lt;&gt;"x",ISNUMBER(SEARCH("-",SUBSTITUTE(SUBSTITUTE("x"&amp;MID(M118,2,99),"E-","E"),"E+","E"))),ISNUMBER(SEARCH("+",SUBSTITUTE(SUBSTITUTE("x"&amp;MID(M118,2,99),"E-","E"),"E+","E"))))),"",IF(AND(OR(LEFT(M118,1)="&lt;",LEFT(M118,1)="&gt;"),IF(O118="",0,IF(ISNUMBER(AH118),AH118,NA()))&lt;0),"",IF(O118="",0,IF(ISNUMBER(AH118),AH118,NA()))/IF(LEFT(M118,1)="&lt;",2,1))),"")))</f>
        <v/>
      </c>
      <c r="H118" s="57" t="inlineStr">
        <is>
          <t>BH03-W_20260115_03</t>
        </is>
      </c>
      <c r="I118" s="92">
        <f>IF(OR(H118="",AI118=0),0,IF(INDEX(Samples[樣品重複筆數],AI118)=1,AI118,0))</f>
        <v/>
      </c>
      <c r="J118" s="92">
        <f>IF(OR(COUNTA($A118:$D118)=0,I118=0),"",IF(INDEX(Samples[介質],I118)="","",INDEX(Samples[介質],I118)))</f>
        <v/>
      </c>
      <c r="K118" s="92">
        <f>IF(OR(COUNTA($A118:$D118)=0,T118=0),"",IF(INDEX(DB_04[標準單位],T118)="","",INDEX(DB_04[標準單位],T118)))</f>
        <v/>
      </c>
      <c r="L118" s="92">
        <f>IF(COUNTA($A118:$D118)=0,"",IF(OR(C118="",K118=""),"",IF(C118=K118,1,IF(COUNTIFS(DB_06[換算鍵],C118&amp;"|"&amp;K118,DB_06[換算檢查],"OK")=1,INDEX(DB_06[乘數],MATCH(C118&amp;"|"&amp;K118,DB_06[換算鍵],0)),""))))</f>
        <v/>
      </c>
      <c r="M118" s="92">
        <f>UPPER(SUBSTITUTE(SUBSTITUTE(SUBSTITUTE(SUBSTITUTE(TRIM(B118&amp;""),"＜","&lt;"),"＞","&gt;"),"≤","&lt;="),"≥","&gt;="))</f>
        <v/>
      </c>
      <c r="N118" s="92">
        <f>IF(M118="","",IF(OR(M118="ND",M118="N.D."),"ND",IF(OR(M118="NA",M118="N/A",M118="N.A."),"NA",IF(OR(LEFT(M118,2)="&lt;=",LEFT(M118,2)="&gt;="),LEFT(M118,2),IF(OR(LEFT(M118,1)="&lt;",LEFT(M118,1)="&gt;"),LEFT(M118,1),"數值")))))</f>
        <v/>
      </c>
      <c r="O118" s="92">
        <f>IF(OR(N118="",N118="ND",N118="NA"),"",IF(N118="數值",M118,TRIM(MID(M118,LEN(N118)+1,99))))</f>
        <v/>
      </c>
      <c r="P118" s="92">
        <f>IF(O118="","",IFERROR(IF(OR(OR(ISNUMBER(SEARCH("%",O118)),ISNUMBER(SEARCH(" ",O118)),ISNUMBER(SEARCH(",",O118))),OR(SUBSTITUTE(SUBSTITUTE(SUBSTITUTE(SUBSTITUTE(SUBSTITUTE(SUBSTITUTE(SUBSTITUTE(SUBSTITUTE(SUBSTITUTE(SUBSTITUTE(SUBSTITUTE(SUBSTITUTE(SUBSTITUTE(SUBSTITUTE(SUBSTITUTE(SUBSTITUTE(SUBSTITUTE(SUBSTITUTE("x"&amp;O118,"0",""),"1",""),"2",""),"3",""),"4",""),"5",""),"6",""),"7",""),"8",""),"9",""),".",""),"E",""),"+",""),"-",""),"&lt;",""),"&gt;",""),"=","")," ","")&lt;&gt;"x",ISNUMBER(SEARCH("-",SUBSTITUTE(SUBSTITUTE("x"&amp;MID(O118,2,99),"E-","E"),"E+","E"))),ISNUMBER(SEARCH("+",SUBSTITUTE(SUBSTITUTE("x"&amp;MID(O118,2,99),"E-","E"),"E+","E"))))),"",IF(ISNUMBER(AH118),AH118,NA())),""))</f>
        <v/>
      </c>
      <c r="Q118" s="92">
        <f>IF(AND(ISNUMBER(L118),ISNUMBER(P118)),L118*P118,"")</f>
        <v/>
      </c>
      <c r="R118" s="92">
        <f>IF(OR(COUNTA($A118:$D118)=0,U118=0),"",IF(INDEX(DB_05[管制設定值],U118)="","",INDEX(DB_05[管制設定值],U118)))</f>
        <v/>
      </c>
      <c r="S118" s="92">
        <f>IF(OR(COUNTA($A118:$D118)=0,U118=0),"",IF(INDEX(DB_05[監測設定值],U118)="","",INDEX(DB_05[監測設定值],U118)))</f>
        <v/>
      </c>
      <c r="T118" s="92">
        <f>IF(COUNTA($A118:$D118)=0,"",IF(COUNTIFS(DB_04[測項鍵],V118)=1,MATCH(V118,DB_04[測項鍵],0),0))</f>
        <v/>
      </c>
      <c r="U118" s="92">
        <f>IF(COUNTA($A118:$D118)=0,"",IF(COUNTIFS(DB_05[標準鍵],W118)=1,MATCH(W118,DB_05[標準鍵],0),0))</f>
        <v/>
      </c>
      <c r="V118" s="92">
        <f>IF(OR(J118="",A118=""),"",J118&amp;"|"&amp;A118)</f>
        <v/>
      </c>
      <c r="W118" s="92">
        <f>IF(OR('07_QAQC'!$C$3="",V118=""),"",'07_QAQC'!$C$3&amp;"|"&amp;V118)</f>
        <v/>
      </c>
      <c r="X118" s="92">
        <f>IF(OR(H118="",A118=""),"",LEN(H118)&amp;":"&amp;H118&amp;LEN(A118)&amp;":"&amp;A118)</f>
        <v/>
      </c>
      <c r="Y118" s="93">
        <f>IF(COUNTA($A118:$D118)=0,"",IF(I118=0,"樣品未建或重複",IF(INDEX(Samples[樣品檢查],I118)="","OK",INDEX(Samples[樣品檢查],I118))))</f>
        <v/>
      </c>
      <c r="Z118" s="93">
        <f>IF(COUNTA($A118:$D118)=0,"",IF(B118="","缺原始值",IF(OR(B118="-",B118="--"),"無資料",IF(N118="NA","不適用",IF(N118="ND","OK",IF(NOT(ISNUMBER(P118)),"格式待核",IF(AND(N118&lt;&gt;"數值",P118&lt;0),"界限不得為負","OK")))))))</f>
        <v/>
      </c>
      <c r="AA118" s="93">
        <f>IF(COUNTA(A118:D118)=0,"",IF(OR(A118="",H118=""),"缺識別欄位",IF(IF(LEN("="&amp;SUBSTITUTE(SUBSTITUTE(SUBSTITUTE(X118,"~","~~"),"*","~*"),"?","~?"))&lt;=255,COUNTIF(Results[結果識別鍵],"="&amp;SUBSTITUTE(SUBSTITUTE(SUBSTITUTE(X118,"~","~~"),"*","~*"),"?","~?")),COUNTIFS(Results[關聯鍵],"="&amp;SUBSTITUTE(SUBSTITUTE(SUBSTITUTE(H118,"~","~~"),"*","~*"),"?","~?"),Results[分析項目],"="&amp;SUBSTITUTE(SUBSTITUTE(SUBSTITUTE(A118,"~","~~"),"*","~*"),"?","~?")))&gt;1,"同關聯鍵測項重複","OK")))</f>
        <v/>
      </c>
      <c r="AB118" s="93">
        <f>IF(COUNTA($A118:$D118)=0,"",IF(OR(C118="",K118=""),"缺單位",IF(NOT(ISNUMBER(L118)),"單位不相容",IF(L118=1,"OK","已換算"))))</f>
        <v/>
      </c>
      <c r="AC118" s="93">
        <f>IF(COUNTA($A118:$D118)=0,"",IF('07_QAQC'!$C$3="","未選比較版本",IF(U118=0,IF(COUNTIFS(DB_05[標準鍵],W118)&gt;1,"標準鍵重複","未訂此介質／測項門檻"),IF(INDEX(DB_05[版本檢查],U118)&lt;&gt;"OK","標準主檔待核",IF(INDEX(DB_05[標準單位],U118)&lt;&gt;K118,"標準單位不符",IF(INDEX(DB_05[核對狀態],U118)="停用","停用",IF(F118="","缺採樣日期",IF(OR(AND(INDEX(DB_05[生效日],U118)&lt;&gt;"",F118&lt;INDEX(DB_05[生效日],U118)),AND(INDEX(DB_05[失效日],U118)&lt;&gt;"",F118&gt;INDEX(DB_05[失效日],U118))),"日期不適用",INDEX(DB_05[核對狀態],U118)))))))))</f>
        <v/>
      </c>
      <c r="AD118" s="93">
        <f>IF(COUNTA($A118:$D118)=0,"",IF(AC118="未訂此介質／測項門檻",AC118,IF(AC118&lt;&gt;"已核對","標準待核",IF(R118="","未訂管制值",IF(NOT(ISNUMBER(L118)),"單位待核",IF(N118="ND","無法判定（ND無界限）",IF(N118="NA","不適用",IF(Z118&lt;&gt;"OK",Z118,IF(N118="數值",IF(Q118&gt;=R118,"達管制值","未達管制值"),IF(OR(N118="&lt;",N118="&lt;="),IF(OR(Q118&lt;R118,AND(N118="&lt;",Q118=R118)),"未達管制值","無法判定"),IF(OR(N118="&gt;",N118="&gt;="),IF(Q118&gt;=R118,"達管制值","無法判定"),"格式待核")))))))))))</f>
        <v/>
      </c>
      <c r="AE118" s="93">
        <f>IF(COUNTA($A118:$D118)=0,"",IF(AC118="未訂此介質／測項門檻",AC118,IF(AC118&lt;&gt;"已核對","標準待核",IF(S118="","未訂監測值",IF(NOT(ISNUMBER(L118)),"單位待核",IF(N118="ND","無法判定（ND無界限）",IF(N118="NA","不適用",IF(Z118&lt;&gt;"OK",Z118,IF(N118="數值",IF(Q118&gt;=S118,"達監測值","未達監測值"),IF(OR(N118="&lt;",N118="&lt;="),IF(OR(Q118&lt;S118,AND(N118="&lt;",Q118=S118)),"未達監測值","無法判定"),IF(OR(N118="&gt;",N118="&gt;="),IF(Q118&gt;=S118,"達監測值","無法判定"),"格式待核")))))))))))</f>
        <v/>
      </c>
      <c r="AF118" s="93">
        <f>IF(COUNTA($A118:$D118)=0,"",IF(OR(E118="",A118="",B118="",C118=""),"缺必要欄位",IF(Y118&lt;&gt;"OK","樣品資料待補",IF(T118=0,"測項未建或重複",IF(INDEX(DB_04[啟用],T118)&lt;&gt;"是","測項停用",IF(AND(Z118&lt;&gt;"OK",Z118&lt;&gt;"不適用"),Z118,IF(AND(AB118&lt;&gt;"OK",AB118&lt;&gt;"已換算"),"單位待核",IF(AA118&lt;&gt;"OK",AA118,"OK"))))))))</f>
        <v/>
      </c>
      <c r="AG118" s="93">
        <f>IF(COUNTA($A118:$D118)=0,"",IF(N118="ND","ND取0",IF(OR(N118="&lt;",N118="&lt;="),"界限除以2",IF(N118="NA","不適用",IF(OR(N118="&gt;",N118="&gt;="),"保留界限數值","保留原數值")))))</f>
        <v/>
      </c>
      <c r="AH118" s="92">
        <f>IF(O118="","",IFERROR(_xlfn.NUMBERVALUE(O118,".",","),""))</f>
        <v/>
      </c>
      <c r="AI118" s="92">
        <f>IF(H118="","",IFERROR(MATCH(H118,Samples[樣品編號],0),0))</f>
        <v/>
      </c>
    </row>
    <row r="119">
      <c r="A119" s="27" t="inlineStr">
        <is>
          <t>溶氧飽和度</t>
        </is>
      </c>
      <c r="B119" s="28" t="inlineStr">
        <is>
          <t>55</t>
        </is>
      </c>
      <c r="C119" s="27" t="inlineStr">
        <is>
          <t>%</t>
        </is>
      </c>
      <c r="D119" s="39" t="inlineStr">
        <is>
          <t>合成資料，非實測；method=field</t>
        </is>
      </c>
      <c r="E119" s="29">
        <f>IF(OR(I119="",I119=0),"",IF(INDEX(Samples[監測點],I119)="","",INDEX(Samples[監測點],I119)))</f>
        <v/>
      </c>
      <c r="F119" s="90">
        <f>IF(OR(I119="",I119=0),"",IF(INDEX(Samples[採樣日期],I119)="","",INDEX(Samples[採樣日期],I119)))</f>
        <v/>
      </c>
      <c r="G119" s="91">
        <f>IF(OR(M119="",M119="NA",M119="N/A"),"",IF(OR(M119="ND",M119="N.D."),0,IFERROR(IF(OR(OR(ISNUMBER(SEARCH("%",O119)),ISNUMBER(SEARCH(" ",O119)),ISNUMBER(SEARCH(",",O119))),OR(SUBSTITUTE(SUBSTITUTE(SUBSTITUTE(SUBSTITUTE(SUBSTITUTE(SUBSTITUTE(SUBSTITUTE(SUBSTITUTE(SUBSTITUTE(SUBSTITUTE(SUBSTITUTE(SUBSTITUTE(SUBSTITUTE(SUBSTITUTE(SUBSTITUTE(SUBSTITUTE(SUBSTITUTE(SUBSTITUTE("x"&amp;M119,"0",""),"1",""),"2",""),"3",""),"4",""),"5",""),"6",""),"7",""),"8",""),"9",""),".",""),"E",""),"+",""),"-",""),"&lt;",""),"&gt;",""),"=","")," ","")&lt;&gt;"x",ISNUMBER(SEARCH("-",SUBSTITUTE(SUBSTITUTE("x"&amp;MID(M119,2,99),"E-","E"),"E+","E"))),ISNUMBER(SEARCH("+",SUBSTITUTE(SUBSTITUTE("x"&amp;MID(M119,2,99),"E-","E"),"E+","E"))))),"",IF(AND(OR(LEFT(M119,1)="&lt;",LEFT(M119,1)="&gt;"),IF(O119="",0,IF(ISNUMBER(AH119),AH119,NA()))&lt;0),"",IF(O119="",0,IF(ISNUMBER(AH119),AH119,NA()))/IF(LEFT(M119,1)="&lt;",2,1))),"")))</f>
        <v/>
      </c>
      <c r="H119" s="57" t="inlineStr">
        <is>
          <t>BH03-W_20260115_03</t>
        </is>
      </c>
      <c r="I119" s="92">
        <f>IF(OR(H119="",AI119=0),0,IF(INDEX(Samples[樣品重複筆數],AI119)=1,AI119,0))</f>
        <v/>
      </c>
      <c r="J119" s="92">
        <f>IF(OR(COUNTA($A119:$D119)=0,I119=0),"",IF(INDEX(Samples[介質],I119)="","",INDEX(Samples[介質],I119)))</f>
        <v/>
      </c>
      <c r="K119" s="92">
        <f>IF(OR(COUNTA($A119:$D119)=0,T119=0),"",IF(INDEX(DB_04[標準單位],T119)="","",INDEX(DB_04[標準單位],T119)))</f>
        <v/>
      </c>
      <c r="L119" s="92">
        <f>IF(COUNTA($A119:$D119)=0,"",IF(OR(C119="",K119=""),"",IF(C119=K119,1,IF(COUNTIFS(DB_06[換算鍵],C119&amp;"|"&amp;K119,DB_06[換算檢查],"OK")=1,INDEX(DB_06[乘數],MATCH(C119&amp;"|"&amp;K119,DB_06[換算鍵],0)),""))))</f>
        <v/>
      </c>
      <c r="M119" s="92">
        <f>UPPER(SUBSTITUTE(SUBSTITUTE(SUBSTITUTE(SUBSTITUTE(TRIM(B119&amp;""),"＜","&lt;"),"＞","&gt;"),"≤","&lt;="),"≥","&gt;="))</f>
        <v/>
      </c>
      <c r="N119" s="92">
        <f>IF(M119="","",IF(OR(M119="ND",M119="N.D."),"ND",IF(OR(M119="NA",M119="N/A",M119="N.A."),"NA",IF(OR(LEFT(M119,2)="&lt;=",LEFT(M119,2)="&gt;="),LEFT(M119,2),IF(OR(LEFT(M119,1)="&lt;",LEFT(M119,1)="&gt;"),LEFT(M119,1),"數值")))))</f>
        <v/>
      </c>
      <c r="O119" s="92">
        <f>IF(OR(N119="",N119="ND",N119="NA"),"",IF(N119="數值",M119,TRIM(MID(M119,LEN(N119)+1,99))))</f>
        <v/>
      </c>
      <c r="P119" s="92">
        <f>IF(O119="","",IFERROR(IF(OR(OR(ISNUMBER(SEARCH("%",O119)),ISNUMBER(SEARCH(" ",O119)),ISNUMBER(SEARCH(",",O119))),OR(SUBSTITUTE(SUBSTITUTE(SUBSTITUTE(SUBSTITUTE(SUBSTITUTE(SUBSTITUTE(SUBSTITUTE(SUBSTITUTE(SUBSTITUTE(SUBSTITUTE(SUBSTITUTE(SUBSTITUTE(SUBSTITUTE(SUBSTITUTE(SUBSTITUTE(SUBSTITUTE(SUBSTITUTE(SUBSTITUTE("x"&amp;O119,"0",""),"1",""),"2",""),"3",""),"4",""),"5",""),"6",""),"7",""),"8",""),"9",""),".",""),"E",""),"+",""),"-",""),"&lt;",""),"&gt;",""),"=","")," ","")&lt;&gt;"x",ISNUMBER(SEARCH("-",SUBSTITUTE(SUBSTITUTE("x"&amp;MID(O119,2,99),"E-","E"),"E+","E"))),ISNUMBER(SEARCH("+",SUBSTITUTE(SUBSTITUTE("x"&amp;MID(O119,2,99),"E-","E"),"E+","E"))))),"",IF(ISNUMBER(AH119),AH119,NA())),""))</f>
        <v/>
      </c>
      <c r="Q119" s="92">
        <f>IF(AND(ISNUMBER(L119),ISNUMBER(P119)),L119*P119,"")</f>
        <v/>
      </c>
      <c r="R119" s="92">
        <f>IF(OR(COUNTA($A119:$D119)=0,U119=0),"",IF(INDEX(DB_05[管制設定值],U119)="","",INDEX(DB_05[管制設定值],U119)))</f>
        <v/>
      </c>
      <c r="S119" s="92">
        <f>IF(OR(COUNTA($A119:$D119)=0,U119=0),"",IF(INDEX(DB_05[監測設定值],U119)="","",INDEX(DB_05[監測設定值],U119)))</f>
        <v/>
      </c>
      <c r="T119" s="92">
        <f>IF(COUNTA($A119:$D119)=0,"",IF(COUNTIFS(DB_04[測項鍵],V119)=1,MATCH(V119,DB_04[測項鍵],0),0))</f>
        <v/>
      </c>
      <c r="U119" s="92">
        <f>IF(COUNTA($A119:$D119)=0,"",IF(COUNTIFS(DB_05[標準鍵],W119)=1,MATCH(W119,DB_05[標準鍵],0),0))</f>
        <v/>
      </c>
      <c r="V119" s="92">
        <f>IF(OR(J119="",A119=""),"",J119&amp;"|"&amp;A119)</f>
        <v/>
      </c>
      <c r="W119" s="92">
        <f>IF(OR('07_QAQC'!$C$3="",V119=""),"",'07_QAQC'!$C$3&amp;"|"&amp;V119)</f>
        <v/>
      </c>
      <c r="X119" s="92">
        <f>IF(OR(H119="",A119=""),"",LEN(H119)&amp;":"&amp;H119&amp;LEN(A119)&amp;":"&amp;A119)</f>
        <v/>
      </c>
      <c r="Y119" s="93">
        <f>IF(COUNTA($A119:$D119)=0,"",IF(I119=0,"樣品未建或重複",IF(INDEX(Samples[樣品檢查],I119)="","OK",INDEX(Samples[樣品檢查],I119))))</f>
        <v/>
      </c>
      <c r="Z119" s="93">
        <f>IF(COUNTA($A119:$D119)=0,"",IF(B119="","缺原始值",IF(OR(B119="-",B119="--"),"無資料",IF(N119="NA","不適用",IF(N119="ND","OK",IF(NOT(ISNUMBER(P119)),"格式待核",IF(AND(N119&lt;&gt;"數值",P119&lt;0),"界限不得為負","OK")))))))</f>
        <v/>
      </c>
      <c r="AA119" s="93">
        <f>IF(COUNTA(A119:D119)=0,"",IF(OR(A119="",H119=""),"缺識別欄位",IF(IF(LEN("="&amp;SUBSTITUTE(SUBSTITUTE(SUBSTITUTE(X119,"~","~~"),"*","~*"),"?","~?"))&lt;=255,COUNTIF(Results[結果識別鍵],"="&amp;SUBSTITUTE(SUBSTITUTE(SUBSTITUTE(X119,"~","~~"),"*","~*"),"?","~?")),COUNTIFS(Results[關聯鍵],"="&amp;SUBSTITUTE(SUBSTITUTE(SUBSTITUTE(H119,"~","~~"),"*","~*"),"?","~?"),Results[分析項目],"="&amp;SUBSTITUTE(SUBSTITUTE(SUBSTITUTE(A119,"~","~~"),"*","~*"),"?","~?")))&gt;1,"同關聯鍵測項重複","OK")))</f>
        <v/>
      </c>
      <c r="AB119" s="93">
        <f>IF(COUNTA($A119:$D119)=0,"",IF(OR(C119="",K119=""),"缺單位",IF(NOT(ISNUMBER(L119)),"單位不相容",IF(L119=1,"OK","已換算"))))</f>
        <v/>
      </c>
      <c r="AC119" s="93">
        <f>IF(COUNTA($A119:$D119)=0,"",IF('07_QAQC'!$C$3="","未選比較版本",IF(U119=0,IF(COUNTIFS(DB_05[標準鍵],W119)&gt;1,"標準鍵重複","未訂此介質／測項門檻"),IF(INDEX(DB_05[版本檢查],U119)&lt;&gt;"OK","標準主檔待核",IF(INDEX(DB_05[標準單位],U119)&lt;&gt;K119,"標準單位不符",IF(INDEX(DB_05[核對狀態],U119)="停用","停用",IF(F119="","缺採樣日期",IF(OR(AND(INDEX(DB_05[生效日],U119)&lt;&gt;"",F119&lt;INDEX(DB_05[生效日],U119)),AND(INDEX(DB_05[失效日],U119)&lt;&gt;"",F119&gt;INDEX(DB_05[失效日],U119))),"日期不適用",INDEX(DB_05[核對狀態],U119)))))))))</f>
        <v/>
      </c>
      <c r="AD119" s="93">
        <f>IF(COUNTA($A119:$D119)=0,"",IF(AC119="未訂此介質／測項門檻",AC119,IF(AC119&lt;&gt;"已核對","標準待核",IF(R119="","未訂管制值",IF(NOT(ISNUMBER(L119)),"單位待核",IF(N119="ND","無法判定（ND無界限）",IF(N119="NA","不適用",IF(Z119&lt;&gt;"OK",Z119,IF(N119="數值",IF(Q119&gt;=R119,"達管制值","未達管制值"),IF(OR(N119="&lt;",N119="&lt;="),IF(OR(Q119&lt;R119,AND(N119="&lt;",Q119=R119)),"未達管制值","無法判定"),IF(OR(N119="&gt;",N119="&gt;="),IF(Q119&gt;=R119,"達管制值","無法判定"),"格式待核")))))))))))</f>
        <v/>
      </c>
      <c r="AE119" s="93">
        <f>IF(COUNTA($A119:$D119)=0,"",IF(AC119="未訂此介質／測項門檻",AC119,IF(AC119&lt;&gt;"已核對","標準待核",IF(S119="","未訂監測值",IF(NOT(ISNUMBER(L119)),"單位待核",IF(N119="ND","無法判定（ND無界限）",IF(N119="NA","不適用",IF(Z119&lt;&gt;"OK",Z119,IF(N119="數值",IF(Q119&gt;=S119,"達監測值","未達監測值"),IF(OR(N119="&lt;",N119="&lt;="),IF(OR(Q119&lt;S119,AND(N119="&lt;",Q119=S119)),"未達監測值","無法判定"),IF(OR(N119="&gt;",N119="&gt;="),IF(Q119&gt;=S119,"達監測值","無法判定"),"格式待核")))))))))))</f>
        <v/>
      </c>
      <c r="AF119" s="93">
        <f>IF(COUNTA($A119:$D119)=0,"",IF(OR(E119="",A119="",B119="",C119=""),"缺必要欄位",IF(Y119&lt;&gt;"OK","樣品資料待補",IF(T119=0,"測項未建或重複",IF(INDEX(DB_04[啟用],T119)&lt;&gt;"是","測項停用",IF(AND(Z119&lt;&gt;"OK",Z119&lt;&gt;"不適用"),Z119,IF(AND(AB119&lt;&gt;"OK",AB119&lt;&gt;"已換算"),"單位待核",IF(AA119&lt;&gt;"OK",AA119,"OK"))))))))</f>
        <v/>
      </c>
      <c r="AG119" s="93">
        <f>IF(COUNTA($A119:$D119)=0,"",IF(N119="ND","ND取0",IF(OR(N119="&lt;",N119="&lt;="),"界限除以2",IF(N119="NA","不適用",IF(OR(N119="&gt;",N119="&gt;="),"保留界限數值","保留原數值")))))</f>
        <v/>
      </c>
      <c r="AH119" s="92">
        <f>IF(O119="","",IFERROR(_xlfn.NUMBERVALUE(O119,".",","),""))</f>
        <v/>
      </c>
      <c r="AI119" s="92">
        <f>IF(H119="","",IFERROR(MATCH(H119,Samples[樣品編號],0),0))</f>
        <v/>
      </c>
    </row>
    <row r="120">
      <c r="A120" s="27" t="inlineStr">
        <is>
          <t>ORP</t>
        </is>
      </c>
      <c r="B120" s="28" t="inlineStr">
        <is>
          <t>-60</t>
        </is>
      </c>
      <c r="C120" s="27" t="inlineStr">
        <is>
          <t>mV</t>
        </is>
      </c>
      <c r="D120" s="39" t="inlineStr">
        <is>
          <t>合成資料，非實測；method=field; reference_electrode=Ag/AgCl; calibration=verified</t>
        </is>
      </c>
      <c r="E120" s="29">
        <f>IF(OR(I120="",I120=0),"",IF(INDEX(Samples[監測點],I120)="","",INDEX(Samples[監測點],I120)))</f>
        <v/>
      </c>
      <c r="F120" s="90">
        <f>IF(OR(I120="",I120=0),"",IF(INDEX(Samples[採樣日期],I120)="","",INDEX(Samples[採樣日期],I120)))</f>
        <v/>
      </c>
      <c r="G120" s="91">
        <f>IF(OR(M120="",M120="NA",M120="N/A"),"",IF(OR(M120="ND",M120="N.D."),0,IFERROR(IF(OR(OR(ISNUMBER(SEARCH("%",O120)),ISNUMBER(SEARCH(" ",O120)),ISNUMBER(SEARCH(",",O120))),OR(SUBSTITUTE(SUBSTITUTE(SUBSTITUTE(SUBSTITUTE(SUBSTITUTE(SUBSTITUTE(SUBSTITUTE(SUBSTITUTE(SUBSTITUTE(SUBSTITUTE(SUBSTITUTE(SUBSTITUTE(SUBSTITUTE(SUBSTITUTE(SUBSTITUTE(SUBSTITUTE(SUBSTITUTE(SUBSTITUTE("x"&amp;M120,"0",""),"1",""),"2",""),"3",""),"4",""),"5",""),"6",""),"7",""),"8",""),"9",""),".",""),"E",""),"+",""),"-",""),"&lt;",""),"&gt;",""),"=","")," ","")&lt;&gt;"x",ISNUMBER(SEARCH("-",SUBSTITUTE(SUBSTITUTE("x"&amp;MID(M120,2,99),"E-","E"),"E+","E"))),ISNUMBER(SEARCH("+",SUBSTITUTE(SUBSTITUTE("x"&amp;MID(M120,2,99),"E-","E"),"E+","E"))))),"",IF(AND(OR(LEFT(M120,1)="&lt;",LEFT(M120,1)="&gt;"),IF(O120="",0,IF(ISNUMBER(AH120),AH120,NA()))&lt;0),"",IF(O120="",0,IF(ISNUMBER(AH120),AH120,NA()))/IF(LEFT(M120,1)="&lt;",2,1))),"")))</f>
        <v/>
      </c>
      <c r="H120" s="57" t="inlineStr">
        <is>
          <t>BH03-W_20260115_03</t>
        </is>
      </c>
      <c r="I120" s="92">
        <f>IF(OR(H120="",AI120=0),0,IF(INDEX(Samples[樣品重複筆數],AI120)=1,AI120,0))</f>
        <v/>
      </c>
      <c r="J120" s="92">
        <f>IF(OR(COUNTA($A120:$D120)=0,I120=0),"",IF(INDEX(Samples[介質],I120)="","",INDEX(Samples[介質],I120)))</f>
        <v/>
      </c>
      <c r="K120" s="92">
        <f>IF(OR(COUNTA($A120:$D120)=0,T120=0),"",IF(INDEX(DB_04[標準單位],T120)="","",INDEX(DB_04[標準單位],T120)))</f>
        <v/>
      </c>
      <c r="L120" s="92">
        <f>IF(COUNTA($A120:$D120)=0,"",IF(OR(C120="",K120=""),"",IF(C120=K120,1,IF(COUNTIFS(DB_06[換算鍵],C120&amp;"|"&amp;K120,DB_06[換算檢查],"OK")=1,INDEX(DB_06[乘數],MATCH(C120&amp;"|"&amp;K120,DB_06[換算鍵],0)),""))))</f>
        <v/>
      </c>
      <c r="M120" s="92">
        <f>UPPER(SUBSTITUTE(SUBSTITUTE(SUBSTITUTE(SUBSTITUTE(TRIM(B120&amp;""),"＜","&lt;"),"＞","&gt;"),"≤","&lt;="),"≥","&gt;="))</f>
        <v/>
      </c>
      <c r="N120" s="92">
        <f>IF(M120="","",IF(OR(M120="ND",M120="N.D."),"ND",IF(OR(M120="NA",M120="N/A",M120="N.A."),"NA",IF(OR(LEFT(M120,2)="&lt;=",LEFT(M120,2)="&gt;="),LEFT(M120,2),IF(OR(LEFT(M120,1)="&lt;",LEFT(M120,1)="&gt;"),LEFT(M120,1),"數值")))))</f>
        <v/>
      </c>
      <c r="O120" s="92">
        <f>IF(OR(N120="",N120="ND",N120="NA"),"",IF(N120="數值",M120,TRIM(MID(M120,LEN(N120)+1,99))))</f>
        <v/>
      </c>
      <c r="P120" s="92">
        <f>IF(O120="","",IFERROR(IF(OR(OR(ISNUMBER(SEARCH("%",O120)),ISNUMBER(SEARCH(" ",O120)),ISNUMBER(SEARCH(",",O120))),OR(SUBSTITUTE(SUBSTITUTE(SUBSTITUTE(SUBSTITUTE(SUBSTITUTE(SUBSTITUTE(SUBSTITUTE(SUBSTITUTE(SUBSTITUTE(SUBSTITUTE(SUBSTITUTE(SUBSTITUTE(SUBSTITUTE(SUBSTITUTE(SUBSTITUTE(SUBSTITUTE(SUBSTITUTE(SUBSTITUTE("x"&amp;O120,"0",""),"1",""),"2",""),"3",""),"4",""),"5",""),"6",""),"7",""),"8",""),"9",""),".",""),"E",""),"+",""),"-",""),"&lt;",""),"&gt;",""),"=","")," ","")&lt;&gt;"x",ISNUMBER(SEARCH("-",SUBSTITUTE(SUBSTITUTE("x"&amp;MID(O120,2,99),"E-","E"),"E+","E"))),ISNUMBER(SEARCH("+",SUBSTITUTE(SUBSTITUTE("x"&amp;MID(O120,2,99),"E-","E"),"E+","E"))))),"",IF(ISNUMBER(AH120),AH120,NA())),""))</f>
        <v/>
      </c>
      <c r="Q120" s="92">
        <f>IF(AND(ISNUMBER(L120),ISNUMBER(P120)),L120*P120,"")</f>
        <v/>
      </c>
      <c r="R120" s="92">
        <f>IF(OR(COUNTA($A120:$D120)=0,U120=0),"",IF(INDEX(DB_05[管制設定值],U120)="","",INDEX(DB_05[管制設定值],U120)))</f>
        <v/>
      </c>
      <c r="S120" s="92">
        <f>IF(OR(COUNTA($A120:$D120)=0,U120=0),"",IF(INDEX(DB_05[監測設定值],U120)="","",INDEX(DB_05[監測設定值],U120)))</f>
        <v/>
      </c>
      <c r="T120" s="92">
        <f>IF(COUNTA($A120:$D120)=0,"",IF(COUNTIFS(DB_04[測項鍵],V120)=1,MATCH(V120,DB_04[測項鍵],0),0))</f>
        <v/>
      </c>
      <c r="U120" s="92">
        <f>IF(COUNTA($A120:$D120)=0,"",IF(COUNTIFS(DB_05[標準鍵],W120)=1,MATCH(W120,DB_05[標準鍵],0),0))</f>
        <v/>
      </c>
      <c r="V120" s="92">
        <f>IF(OR(J120="",A120=""),"",J120&amp;"|"&amp;A120)</f>
        <v/>
      </c>
      <c r="W120" s="92">
        <f>IF(OR('07_QAQC'!$C$3="",V120=""),"",'07_QAQC'!$C$3&amp;"|"&amp;V120)</f>
        <v/>
      </c>
      <c r="X120" s="92">
        <f>IF(OR(H120="",A120=""),"",LEN(H120)&amp;":"&amp;H120&amp;LEN(A120)&amp;":"&amp;A120)</f>
        <v/>
      </c>
      <c r="Y120" s="93">
        <f>IF(COUNTA($A120:$D120)=0,"",IF(I120=0,"樣品未建或重複",IF(INDEX(Samples[樣品檢查],I120)="","OK",INDEX(Samples[樣品檢查],I120))))</f>
        <v/>
      </c>
      <c r="Z120" s="93">
        <f>IF(COUNTA($A120:$D120)=0,"",IF(B120="","缺原始值",IF(OR(B120="-",B120="--"),"無資料",IF(N120="NA","不適用",IF(N120="ND","OK",IF(NOT(ISNUMBER(P120)),"格式待核",IF(AND(N120&lt;&gt;"數值",P120&lt;0),"界限不得為負","OK")))))))</f>
        <v/>
      </c>
      <c r="AA120" s="93">
        <f>IF(COUNTA(A120:D120)=0,"",IF(OR(A120="",H120=""),"缺識別欄位",IF(IF(LEN("="&amp;SUBSTITUTE(SUBSTITUTE(SUBSTITUTE(X120,"~","~~"),"*","~*"),"?","~?"))&lt;=255,COUNTIF(Results[結果識別鍵],"="&amp;SUBSTITUTE(SUBSTITUTE(SUBSTITUTE(X120,"~","~~"),"*","~*"),"?","~?")),COUNTIFS(Results[關聯鍵],"="&amp;SUBSTITUTE(SUBSTITUTE(SUBSTITUTE(H120,"~","~~"),"*","~*"),"?","~?"),Results[分析項目],"="&amp;SUBSTITUTE(SUBSTITUTE(SUBSTITUTE(A120,"~","~~"),"*","~*"),"?","~?")))&gt;1,"同關聯鍵測項重複","OK")))</f>
        <v/>
      </c>
      <c r="AB120" s="93">
        <f>IF(COUNTA($A120:$D120)=0,"",IF(OR(C120="",K120=""),"缺單位",IF(NOT(ISNUMBER(L120)),"單位不相容",IF(L120=1,"OK","已換算"))))</f>
        <v/>
      </c>
      <c r="AC120" s="93">
        <f>IF(COUNTA($A120:$D120)=0,"",IF('07_QAQC'!$C$3="","未選比較版本",IF(U120=0,IF(COUNTIFS(DB_05[標準鍵],W120)&gt;1,"標準鍵重複","未訂此介質／測項門檻"),IF(INDEX(DB_05[版本檢查],U120)&lt;&gt;"OK","標準主檔待核",IF(INDEX(DB_05[標準單位],U120)&lt;&gt;K120,"標準單位不符",IF(INDEX(DB_05[核對狀態],U120)="停用","停用",IF(F120="","缺採樣日期",IF(OR(AND(INDEX(DB_05[生效日],U120)&lt;&gt;"",F120&lt;INDEX(DB_05[生效日],U120)),AND(INDEX(DB_05[失效日],U120)&lt;&gt;"",F120&gt;INDEX(DB_05[失效日],U120))),"日期不適用",INDEX(DB_05[核對狀態],U120)))))))))</f>
        <v/>
      </c>
      <c r="AD120" s="93">
        <f>IF(COUNTA($A120:$D120)=0,"",IF(AC120="未訂此介質／測項門檻",AC120,IF(AC120&lt;&gt;"已核對","標準待核",IF(R120="","未訂管制值",IF(NOT(ISNUMBER(L120)),"單位待核",IF(N120="ND","無法判定（ND無界限）",IF(N120="NA","不適用",IF(Z120&lt;&gt;"OK",Z120,IF(N120="數值",IF(Q120&gt;=R120,"達管制值","未達管制值"),IF(OR(N120="&lt;",N120="&lt;="),IF(OR(Q120&lt;R120,AND(N120="&lt;",Q120=R120)),"未達管制值","無法判定"),IF(OR(N120="&gt;",N120="&gt;="),IF(Q120&gt;=R120,"達管制值","無法判定"),"格式待核")))))))))))</f>
        <v/>
      </c>
      <c r="AE120" s="93">
        <f>IF(COUNTA($A120:$D120)=0,"",IF(AC120="未訂此介質／測項門檻",AC120,IF(AC120&lt;&gt;"已核對","標準待核",IF(S120="","未訂監測值",IF(NOT(ISNUMBER(L120)),"單位待核",IF(N120="ND","無法判定（ND無界限）",IF(N120="NA","不適用",IF(Z120&lt;&gt;"OK",Z120,IF(N120="數值",IF(Q120&gt;=S120,"達監測值","未達監測值"),IF(OR(N120="&lt;",N120="&lt;="),IF(OR(Q120&lt;S120,AND(N120="&lt;",Q120=S120)),"未達監測值","無法判定"),IF(OR(N120="&gt;",N120="&gt;="),IF(Q120&gt;=S120,"達監測值","無法判定"),"格式待核")))))))))))</f>
        <v/>
      </c>
      <c r="AF120" s="93">
        <f>IF(COUNTA($A120:$D120)=0,"",IF(OR(E120="",A120="",B120="",C120=""),"缺必要欄位",IF(Y120&lt;&gt;"OK","樣品資料待補",IF(T120=0,"測項未建或重複",IF(INDEX(DB_04[啟用],T120)&lt;&gt;"是","測項停用",IF(AND(Z120&lt;&gt;"OK",Z120&lt;&gt;"不適用"),Z120,IF(AND(AB120&lt;&gt;"OK",AB120&lt;&gt;"已換算"),"單位待核",IF(AA120&lt;&gt;"OK",AA120,"OK"))))))))</f>
        <v/>
      </c>
      <c r="AG120" s="93">
        <f>IF(COUNTA($A120:$D120)=0,"",IF(N120="ND","ND取0",IF(OR(N120="&lt;",N120="&lt;="),"界限除以2",IF(N120="NA","不適用",IF(OR(N120="&gt;",N120="&gt;="),"保留界限數值","保留原數值")))))</f>
        <v/>
      </c>
      <c r="AH120" s="92">
        <f>IF(O120="","",IFERROR(_xlfn.NUMBERVALUE(O120,".",","),""))</f>
        <v/>
      </c>
      <c r="AI120" s="92">
        <f>IF(H120="","",IFERROR(MATCH(H120,Samples[樣品編號],0),0))</f>
        <v/>
      </c>
    </row>
    <row r="121">
      <c r="A121" s="27" t="inlineStr">
        <is>
          <t>總有機碳</t>
        </is>
      </c>
      <c r="B121" s="28" t="inlineStr">
        <is>
          <t>3.2</t>
        </is>
      </c>
      <c r="C121" s="27" t="inlineStr">
        <is>
          <t>mg/L</t>
        </is>
      </c>
      <c r="D121" s="39" t="inlineStr">
        <is>
          <t>合成資料，非實測；method=lab</t>
        </is>
      </c>
      <c r="E121" s="29">
        <f>IF(OR(I121="",I121=0),"",IF(INDEX(Samples[監測點],I121)="","",INDEX(Samples[監測點],I121)))</f>
        <v/>
      </c>
      <c r="F121" s="90">
        <f>IF(OR(I121="",I121=0),"",IF(INDEX(Samples[採樣日期],I121)="","",INDEX(Samples[採樣日期],I121)))</f>
        <v/>
      </c>
      <c r="G121" s="91">
        <f>IF(OR(M121="",M121="NA",M121="N/A"),"",IF(OR(M121="ND",M121="N.D."),0,IFERROR(IF(OR(OR(ISNUMBER(SEARCH("%",O121)),ISNUMBER(SEARCH(" ",O121)),ISNUMBER(SEARCH(",",O121))),OR(SUBSTITUTE(SUBSTITUTE(SUBSTITUTE(SUBSTITUTE(SUBSTITUTE(SUBSTITUTE(SUBSTITUTE(SUBSTITUTE(SUBSTITUTE(SUBSTITUTE(SUBSTITUTE(SUBSTITUTE(SUBSTITUTE(SUBSTITUTE(SUBSTITUTE(SUBSTITUTE(SUBSTITUTE(SUBSTITUTE("x"&amp;M121,"0",""),"1",""),"2",""),"3",""),"4",""),"5",""),"6",""),"7",""),"8",""),"9",""),".",""),"E",""),"+",""),"-",""),"&lt;",""),"&gt;",""),"=","")," ","")&lt;&gt;"x",ISNUMBER(SEARCH("-",SUBSTITUTE(SUBSTITUTE("x"&amp;MID(M121,2,99),"E-","E"),"E+","E"))),ISNUMBER(SEARCH("+",SUBSTITUTE(SUBSTITUTE("x"&amp;MID(M121,2,99),"E-","E"),"E+","E"))))),"",IF(AND(OR(LEFT(M121,1)="&lt;",LEFT(M121,1)="&gt;"),IF(O121="",0,IF(ISNUMBER(AH121),AH121,NA()))&lt;0),"",IF(O121="",0,IF(ISNUMBER(AH121),AH121,NA()))/IF(LEFT(M121,1)="&lt;",2,1))),"")))</f>
        <v/>
      </c>
      <c r="H121" s="57" t="inlineStr">
        <is>
          <t>BH03-W_20260115_03</t>
        </is>
      </c>
      <c r="I121" s="92">
        <f>IF(OR(H121="",AI121=0),0,IF(INDEX(Samples[樣品重複筆數],AI121)=1,AI121,0))</f>
        <v/>
      </c>
      <c r="J121" s="92">
        <f>IF(OR(COUNTA($A121:$D121)=0,I121=0),"",IF(INDEX(Samples[介質],I121)="","",INDEX(Samples[介質],I121)))</f>
        <v/>
      </c>
      <c r="K121" s="92">
        <f>IF(OR(COUNTA($A121:$D121)=0,T121=0),"",IF(INDEX(DB_04[標準單位],T121)="","",INDEX(DB_04[標準單位],T121)))</f>
        <v/>
      </c>
      <c r="L121" s="92">
        <f>IF(COUNTA($A121:$D121)=0,"",IF(OR(C121="",K121=""),"",IF(C121=K121,1,IF(COUNTIFS(DB_06[換算鍵],C121&amp;"|"&amp;K121,DB_06[換算檢查],"OK")=1,INDEX(DB_06[乘數],MATCH(C121&amp;"|"&amp;K121,DB_06[換算鍵],0)),""))))</f>
        <v/>
      </c>
      <c r="M121" s="92">
        <f>UPPER(SUBSTITUTE(SUBSTITUTE(SUBSTITUTE(SUBSTITUTE(TRIM(B121&amp;""),"＜","&lt;"),"＞","&gt;"),"≤","&lt;="),"≥","&gt;="))</f>
        <v/>
      </c>
      <c r="N121" s="92">
        <f>IF(M121="","",IF(OR(M121="ND",M121="N.D."),"ND",IF(OR(M121="NA",M121="N/A",M121="N.A."),"NA",IF(OR(LEFT(M121,2)="&lt;=",LEFT(M121,2)="&gt;="),LEFT(M121,2),IF(OR(LEFT(M121,1)="&lt;",LEFT(M121,1)="&gt;"),LEFT(M121,1),"數值")))))</f>
        <v/>
      </c>
      <c r="O121" s="92">
        <f>IF(OR(N121="",N121="ND",N121="NA"),"",IF(N121="數值",M121,TRIM(MID(M121,LEN(N121)+1,99))))</f>
        <v/>
      </c>
      <c r="P121" s="92">
        <f>IF(O121="","",IFERROR(IF(OR(OR(ISNUMBER(SEARCH("%",O121)),ISNUMBER(SEARCH(" ",O121)),ISNUMBER(SEARCH(",",O121))),OR(SUBSTITUTE(SUBSTITUTE(SUBSTITUTE(SUBSTITUTE(SUBSTITUTE(SUBSTITUTE(SUBSTITUTE(SUBSTITUTE(SUBSTITUTE(SUBSTITUTE(SUBSTITUTE(SUBSTITUTE(SUBSTITUTE(SUBSTITUTE(SUBSTITUTE(SUBSTITUTE(SUBSTITUTE(SUBSTITUTE("x"&amp;O121,"0",""),"1",""),"2",""),"3",""),"4",""),"5",""),"6",""),"7",""),"8",""),"9",""),".",""),"E",""),"+",""),"-",""),"&lt;",""),"&gt;",""),"=","")," ","")&lt;&gt;"x",ISNUMBER(SEARCH("-",SUBSTITUTE(SUBSTITUTE("x"&amp;MID(O121,2,99),"E-","E"),"E+","E"))),ISNUMBER(SEARCH("+",SUBSTITUTE(SUBSTITUTE("x"&amp;MID(O121,2,99),"E-","E"),"E+","E"))))),"",IF(ISNUMBER(AH121),AH121,NA())),""))</f>
        <v/>
      </c>
      <c r="Q121" s="92">
        <f>IF(AND(ISNUMBER(L121),ISNUMBER(P121)),L121*P121,"")</f>
        <v/>
      </c>
      <c r="R121" s="92">
        <f>IF(OR(COUNTA($A121:$D121)=0,U121=0),"",IF(INDEX(DB_05[管制設定值],U121)="","",INDEX(DB_05[管制設定值],U121)))</f>
        <v/>
      </c>
      <c r="S121" s="92">
        <f>IF(OR(COUNTA($A121:$D121)=0,U121=0),"",IF(INDEX(DB_05[監測設定值],U121)="","",INDEX(DB_05[監測設定值],U121)))</f>
        <v/>
      </c>
      <c r="T121" s="92">
        <f>IF(COUNTA($A121:$D121)=0,"",IF(COUNTIFS(DB_04[測項鍵],V121)=1,MATCH(V121,DB_04[測項鍵],0),0))</f>
        <v/>
      </c>
      <c r="U121" s="92">
        <f>IF(COUNTA($A121:$D121)=0,"",IF(COUNTIFS(DB_05[標準鍵],W121)=1,MATCH(W121,DB_05[標準鍵],0),0))</f>
        <v/>
      </c>
      <c r="V121" s="92">
        <f>IF(OR(J121="",A121=""),"",J121&amp;"|"&amp;A121)</f>
        <v/>
      </c>
      <c r="W121" s="92">
        <f>IF(OR('07_QAQC'!$C$3="",V121=""),"",'07_QAQC'!$C$3&amp;"|"&amp;V121)</f>
        <v/>
      </c>
      <c r="X121" s="92">
        <f>IF(OR(H121="",A121=""),"",LEN(H121)&amp;":"&amp;H121&amp;LEN(A121)&amp;":"&amp;A121)</f>
        <v/>
      </c>
      <c r="Y121" s="93">
        <f>IF(COUNTA($A121:$D121)=0,"",IF(I121=0,"樣品未建或重複",IF(INDEX(Samples[樣品檢查],I121)="","OK",INDEX(Samples[樣品檢查],I121))))</f>
        <v/>
      </c>
      <c r="Z121" s="93">
        <f>IF(COUNTA($A121:$D121)=0,"",IF(B121="","缺原始值",IF(OR(B121="-",B121="--"),"無資料",IF(N121="NA","不適用",IF(N121="ND","OK",IF(NOT(ISNUMBER(P121)),"格式待核",IF(AND(N121&lt;&gt;"數值",P121&lt;0),"界限不得為負","OK")))))))</f>
        <v/>
      </c>
      <c r="AA121" s="93">
        <f>IF(COUNTA(A121:D121)=0,"",IF(OR(A121="",H121=""),"缺識別欄位",IF(IF(LEN("="&amp;SUBSTITUTE(SUBSTITUTE(SUBSTITUTE(X121,"~","~~"),"*","~*"),"?","~?"))&lt;=255,COUNTIF(Results[結果識別鍵],"="&amp;SUBSTITUTE(SUBSTITUTE(SUBSTITUTE(X121,"~","~~"),"*","~*"),"?","~?")),COUNTIFS(Results[關聯鍵],"="&amp;SUBSTITUTE(SUBSTITUTE(SUBSTITUTE(H121,"~","~~"),"*","~*"),"?","~?"),Results[分析項目],"="&amp;SUBSTITUTE(SUBSTITUTE(SUBSTITUTE(A121,"~","~~"),"*","~*"),"?","~?")))&gt;1,"同關聯鍵測項重複","OK")))</f>
        <v/>
      </c>
      <c r="AB121" s="93">
        <f>IF(COUNTA($A121:$D121)=0,"",IF(OR(C121="",K121=""),"缺單位",IF(NOT(ISNUMBER(L121)),"單位不相容",IF(L121=1,"OK","已換算"))))</f>
        <v/>
      </c>
      <c r="AC121" s="93">
        <f>IF(COUNTA($A121:$D121)=0,"",IF('07_QAQC'!$C$3="","未選比較版本",IF(U121=0,IF(COUNTIFS(DB_05[標準鍵],W121)&gt;1,"標準鍵重複","未訂此介質／測項門檻"),IF(INDEX(DB_05[版本檢查],U121)&lt;&gt;"OK","標準主檔待核",IF(INDEX(DB_05[標準單位],U121)&lt;&gt;K121,"標準單位不符",IF(INDEX(DB_05[核對狀態],U121)="停用","停用",IF(F121="","缺採樣日期",IF(OR(AND(INDEX(DB_05[生效日],U121)&lt;&gt;"",F121&lt;INDEX(DB_05[生效日],U121)),AND(INDEX(DB_05[失效日],U121)&lt;&gt;"",F121&gt;INDEX(DB_05[失效日],U121))),"日期不適用",INDEX(DB_05[核對狀態],U121)))))))))</f>
        <v/>
      </c>
      <c r="AD121" s="93">
        <f>IF(COUNTA($A121:$D121)=0,"",IF(AC121="未訂此介質／測項門檻",AC121,IF(AC121&lt;&gt;"已核對","標準待核",IF(R121="","未訂管制值",IF(NOT(ISNUMBER(L121)),"單位待核",IF(N121="ND","無法判定（ND無界限）",IF(N121="NA","不適用",IF(Z121&lt;&gt;"OK",Z121,IF(N121="數值",IF(Q121&gt;=R121,"達管制值","未達管制值"),IF(OR(N121="&lt;",N121="&lt;="),IF(OR(Q121&lt;R121,AND(N121="&lt;",Q121=R121)),"未達管制值","無法判定"),IF(OR(N121="&gt;",N121="&gt;="),IF(Q121&gt;=R121,"達管制值","無法判定"),"格式待核")))))))))))</f>
        <v/>
      </c>
      <c r="AE121" s="93">
        <f>IF(COUNTA($A121:$D121)=0,"",IF(AC121="未訂此介質／測項門檻",AC121,IF(AC121&lt;&gt;"已核對","標準待核",IF(S121="","未訂監測值",IF(NOT(ISNUMBER(L121)),"單位待核",IF(N121="ND","無法判定（ND無界限）",IF(N121="NA","不適用",IF(Z121&lt;&gt;"OK",Z121,IF(N121="數值",IF(Q121&gt;=S121,"達監測值","未達監測值"),IF(OR(N121="&lt;",N121="&lt;="),IF(OR(Q121&lt;S121,AND(N121="&lt;",Q121=S121)),"未達監測值","無法判定"),IF(OR(N121="&gt;",N121="&gt;="),IF(Q121&gt;=S121,"達監測值","無法判定"),"格式待核")))))))))))</f>
        <v/>
      </c>
      <c r="AF121" s="93">
        <f>IF(COUNTA($A121:$D121)=0,"",IF(OR(E121="",A121="",B121="",C121=""),"缺必要欄位",IF(Y121&lt;&gt;"OK","樣品資料待補",IF(T121=0,"測項未建或重複",IF(INDEX(DB_04[啟用],T121)&lt;&gt;"是","測項停用",IF(AND(Z121&lt;&gt;"OK",Z121&lt;&gt;"不適用"),Z121,IF(AND(AB121&lt;&gt;"OK",AB121&lt;&gt;"已換算"),"單位待核",IF(AA121&lt;&gt;"OK",AA121,"OK"))))))))</f>
        <v/>
      </c>
      <c r="AG121" s="93">
        <f>IF(COUNTA($A121:$D121)=0,"",IF(N121="ND","ND取0",IF(OR(N121="&lt;",N121="&lt;="),"界限除以2",IF(N121="NA","不適用",IF(OR(N121="&gt;",N121="&gt;="),"保留界限數值","保留原數值")))))</f>
        <v/>
      </c>
      <c r="AH121" s="92">
        <f>IF(O121="","",IFERROR(_xlfn.NUMBERVALUE(O121,".",","),""))</f>
        <v/>
      </c>
      <c r="AI121" s="92">
        <f>IF(H121="","",IFERROR(MATCH(H121,Samples[樣品編號],0),0))</f>
        <v/>
      </c>
    </row>
    <row r="122">
      <c r="A122" s="27" t="inlineStr">
        <is>
          <t>鋅</t>
        </is>
      </c>
      <c r="B122" s="28" t="inlineStr">
        <is>
          <t>112</t>
        </is>
      </c>
      <c r="C122" s="27" t="inlineStr">
        <is>
          <t>mg/kg</t>
        </is>
      </c>
      <c r="D122" s="39" t="inlineStr">
        <is>
          <t>合成資料，非實測；method=XRF; basis=dry</t>
        </is>
      </c>
      <c r="E122" s="29">
        <f>IF(OR(I122="",I122=0),"",IF(INDEX(Samples[監測點],I122)="","",INDEX(Samples[監測點],I122)))</f>
        <v/>
      </c>
      <c r="F122" s="90">
        <f>IF(OR(I122="",I122=0),"",IF(INDEX(Samples[採樣日期],I122)="","",INDEX(Samples[採樣日期],I122)))</f>
        <v/>
      </c>
      <c r="G122" s="91">
        <f>IF(OR(M122="",M122="NA",M122="N/A"),"",IF(OR(M122="ND",M122="N.D."),0,IFERROR(IF(OR(OR(ISNUMBER(SEARCH("%",O122)),ISNUMBER(SEARCH(" ",O122)),ISNUMBER(SEARCH(",",O122))),OR(SUBSTITUTE(SUBSTITUTE(SUBSTITUTE(SUBSTITUTE(SUBSTITUTE(SUBSTITUTE(SUBSTITUTE(SUBSTITUTE(SUBSTITUTE(SUBSTITUTE(SUBSTITUTE(SUBSTITUTE(SUBSTITUTE(SUBSTITUTE(SUBSTITUTE(SUBSTITUTE(SUBSTITUTE(SUBSTITUTE("x"&amp;M122,"0",""),"1",""),"2",""),"3",""),"4",""),"5",""),"6",""),"7",""),"8",""),"9",""),".",""),"E",""),"+",""),"-",""),"&lt;",""),"&gt;",""),"=","")," ","")&lt;&gt;"x",ISNUMBER(SEARCH("-",SUBSTITUTE(SUBSTITUTE("x"&amp;MID(M122,2,99),"E-","E"),"E+","E"))),ISNUMBER(SEARCH("+",SUBSTITUTE(SUBSTITUTE("x"&amp;MID(M122,2,99),"E-","E"),"E+","E"))))),"",IF(AND(OR(LEFT(M122,1)="&lt;",LEFT(M122,1)="&gt;"),IF(O122="",0,IF(ISNUMBER(AH122),AH122,NA()))&lt;0),"",IF(O122="",0,IF(ISNUMBER(AH122),AH122,NA()))/IF(LEFT(M122,1)="&lt;",2,1))),"")))</f>
        <v/>
      </c>
      <c r="H122" s="57" t="inlineStr">
        <is>
          <t>BH03-S_20260415_01</t>
        </is>
      </c>
      <c r="I122" s="92">
        <f>IF(OR(H122="",AI122=0),0,IF(INDEX(Samples[樣品重複筆數],AI122)=1,AI122,0))</f>
        <v/>
      </c>
      <c r="J122" s="92">
        <f>IF(OR(COUNTA($A122:$D122)=0,I122=0),"",IF(INDEX(Samples[介質],I122)="","",INDEX(Samples[介質],I122)))</f>
        <v/>
      </c>
      <c r="K122" s="92">
        <f>IF(OR(COUNTA($A122:$D122)=0,T122=0),"",IF(INDEX(DB_04[標準單位],T122)="","",INDEX(DB_04[標準單位],T122)))</f>
        <v/>
      </c>
      <c r="L122" s="92">
        <f>IF(COUNTA($A122:$D122)=0,"",IF(OR(C122="",K122=""),"",IF(C122=K122,1,IF(COUNTIFS(DB_06[換算鍵],C122&amp;"|"&amp;K122,DB_06[換算檢查],"OK")=1,INDEX(DB_06[乘數],MATCH(C122&amp;"|"&amp;K122,DB_06[換算鍵],0)),""))))</f>
        <v/>
      </c>
      <c r="M122" s="92">
        <f>UPPER(SUBSTITUTE(SUBSTITUTE(SUBSTITUTE(SUBSTITUTE(TRIM(B122&amp;""),"＜","&lt;"),"＞","&gt;"),"≤","&lt;="),"≥","&gt;="))</f>
        <v/>
      </c>
      <c r="N122" s="92">
        <f>IF(M122="","",IF(OR(M122="ND",M122="N.D."),"ND",IF(OR(M122="NA",M122="N/A",M122="N.A."),"NA",IF(OR(LEFT(M122,2)="&lt;=",LEFT(M122,2)="&gt;="),LEFT(M122,2),IF(OR(LEFT(M122,1)="&lt;",LEFT(M122,1)="&gt;"),LEFT(M122,1),"數值")))))</f>
        <v/>
      </c>
      <c r="O122" s="92">
        <f>IF(OR(N122="",N122="ND",N122="NA"),"",IF(N122="數值",M122,TRIM(MID(M122,LEN(N122)+1,99))))</f>
        <v/>
      </c>
      <c r="P122" s="92">
        <f>IF(O122="","",IFERROR(IF(OR(OR(ISNUMBER(SEARCH("%",O122)),ISNUMBER(SEARCH(" ",O122)),ISNUMBER(SEARCH(",",O122))),OR(SUBSTITUTE(SUBSTITUTE(SUBSTITUTE(SUBSTITUTE(SUBSTITUTE(SUBSTITUTE(SUBSTITUTE(SUBSTITUTE(SUBSTITUTE(SUBSTITUTE(SUBSTITUTE(SUBSTITUTE(SUBSTITUTE(SUBSTITUTE(SUBSTITUTE(SUBSTITUTE(SUBSTITUTE(SUBSTITUTE("x"&amp;O122,"0",""),"1",""),"2",""),"3",""),"4",""),"5",""),"6",""),"7",""),"8",""),"9",""),".",""),"E",""),"+",""),"-",""),"&lt;",""),"&gt;",""),"=","")," ","")&lt;&gt;"x",ISNUMBER(SEARCH("-",SUBSTITUTE(SUBSTITUTE("x"&amp;MID(O122,2,99),"E-","E"),"E+","E"))),ISNUMBER(SEARCH("+",SUBSTITUTE(SUBSTITUTE("x"&amp;MID(O122,2,99),"E-","E"),"E+","E"))))),"",IF(ISNUMBER(AH122),AH122,NA())),""))</f>
        <v/>
      </c>
      <c r="Q122" s="92">
        <f>IF(AND(ISNUMBER(L122),ISNUMBER(P122)),L122*P122,"")</f>
        <v/>
      </c>
      <c r="R122" s="92">
        <f>IF(OR(COUNTA($A122:$D122)=0,U122=0),"",IF(INDEX(DB_05[管制設定值],U122)="","",INDEX(DB_05[管制設定值],U122)))</f>
        <v/>
      </c>
      <c r="S122" s="92">
        <f>IF(OR(COUNTA($A122:$D122)=0,U122=0),"",IF(INDEX(DB_05[監測設定值],U122)="","",INDEX(DB_05[監測設定值],U122)))</f>
        <v/>
      </c>
      <c r="T122" s="92">
        <f>IF(COUNTA($A122:$D122)=0,"",IF(COUNTIFS(DB_04[測項鍵],V122)=1,MATCH(V122,DB_04[測項鍵],0),0))</f>
        <v/>
      </c>
      <c r="U122" s="92">
        <f>IF(COUNTA($A122:$D122)=0,"",IF(COUNTIFS(DB_05[標準鍵],W122)=1,MATCH(W122,DB_05[標準鍵],0),0))</f>
        <v/>
      </c>
      <c r="V122" s="92">
        <f>IF(OR(J122="",A122=""),"",J122&amp;"|"&amp;A122)</f>
        <v/>
      </c>
      <c r="W122" s="92">
        <f>IF(OR('07_QAQC'!$C$3="",V122=""),"",'07_QAQC'!$C$3&amp;"|"&amp;V122)</f>
        <v/>
      </c>
      <c r="X122" s="92">
        <f>IF(OR(H122="",A122=""),"",LEN(H122)&amp;":"&amp;H122&amp;LEN(A122)&amp;":"&amp;A122)</f>
        <v/>
      </c>
      <c r="Y122" s="93">
        <f>IF(COUNTA($A122:$D122)=0,"",IF(I122=0,"樣品未建或重複",IF(INDEX(Samples[樣品檢查],I122)="","OK",INDEX(Samples[樣品檢查],I122))))</f>
        <v/>
      </c>
      <c r="Z122" s="93">
        <f>IF(COUNTA($A122:$D122)=0,"",IF(B122="","缺原始值",IF(OR(B122="-",B122="--"),"無資料",IF(N122="NA","不適用",IF(N122="ND","OK",IF(NOT(ISNUMBER(P122)),"格式待核",IF(AND(N122&lt;&gt;"數值",P122&lt;0),"界限不得為負","OK")))))))</f>
        <v/>
      </c>
      <c r="AA122" s="93">
        <f>IF(COUNTA(A122:D122)=0,"",IF(OR(A122="",H122=""),"缺識別欄位",IF(IF(LEN("="&amp;SUBSTITUTE(SUBSTITUTE(SUBSTITUTE(X122,"~","~~"),"*","~*"),"?","~?"))&lt;=255,COUNTIF(Results[結果識別鍵],"="&amp;SUBSTITUTE(SUBSTITUTE(SUBSTITUTE(X122,"~","~~"),"*","~*"),"?","~?")),COUNTIFS(Results[關聯鍵],"="&amp;SUBSTITUTE(SUBSTITUTE(SUBSTITUTE(H122,"~","~~"),"*","~*"),"?","~?"),Results[分析項目],"="&amp;SUBSTITUTE(SUBSTITUTE(SUBSTITUTE(A122,"~","~~"),"*","~*"),"?","~?")))&gt;1,"同關聯鍵測項重複","OK")))</f>
        <v/>
      </c>
      <c r="AB122" s="93">
        <f>IF(COUNTA($A122:$D122)=0,"",IF(OR(C122="",K122=""),"缺單位",IF(NOT(ISNUMBER(L122)),"單位不相容",IF(L122=1,"OK","已換算"))))</f>
        <v/>
      </c>
      <c r="AC122" s="93">
        <f>IF(COUNTA($A122:$D122)=0,"",IF('07_QAQC'!$C$3="","未選比較版本",IF(U122=0,IF(COUNTIFS(DB_05[標準鍵],W122)&gt;1,"標準鍵重複","未訂此介質／測項門檻"),IF(INDEX(DB_05[版本檢查],U122)&lt;&gt;"OK","標準主檔待核",IF(INDEX(DB_05[標準單位],U122)&lt;&gt;K122,"標準單位不符",IF(INDEX(DB_05[核對狀態],U122)="停用","停用",IF(F122="","缺採樣日期",IF(OR(AND(INDEX(DB_05[生效日],U122)&lt;&gt;"",F122&lt;INDEX(DB_05[生效日],U122)),AND(INDEX(DB_05[失效日],U122)&lt;&gt;"",F122&gt;INDEX(DB_05[失效日],U122))),"日期不適用",INDEX(DB_05[核對狀態],U122)))))))))</f>
        <v/>
      </c>
      <c r="AD122" s="93">
        <f>IF(COUNTA($A122:$D122)=0,"",IF(AC122="未訂此介質／測項門檻",AC122,IF(AC122&lt;&gt;"已核對","標準待核",IF(R122="","未訂管制值",IF(NOT(ISNUMBER(L122)),"單位待核",IF(N122="ND","無法判定（ND無界限）",IF(N122="NA","不適用",IF(Z122&lt;&gt;"OK",Z122,IF(N122="數值",IF(Q122&gt;=R122,"達管制值","未達管制值"),IF(OR(N122="&lt;",N122="&lt;="),IF(OR(Q122&lt;R122,AND(N122="&lt;",Q122=R122)),"未達管制值","無法判定"),IF(OR(N122="&gt;",N122="&gt;="),IF(Q122&gt;=R122,"達管制值","無法判定"),"格式待核")))))))))))</f>
        <v/>
      </c>
      <c r="AE122" s="93">
        <f>IF(COUNTA($A122:$D122)=0,"",IF(AC122="未訂此介質／測項門檻",AC122,IF(AC122&lt;&gt;"已核對","標準待核",IF(S122="","未訂監測值",IF(NOT(ISNUMBER(L122)),"單位待核",IF(N122="ND","無法判定（ND無界限）",IF(N122="NA","不適用",IF(Z122&lt;&gt;"OK",Z122,IF(N122="數值",IF(Q122&gt;=S122,"達監測值","未達監測值"),IF(OR(N122="&lt;",N122="&lt;="),IF(OR(Q122&lt;S122,AND(N122="&lt;",Q122=S122)),"未達監測值","無法判定"),IF(OR(N122="&gt;",N122="&gt;="),IF(Q122&gt;=S122,"達監測值","無法判定"),"格式待核")))))))))))</f>
        <v/>
      </c>
      <c r="AF122" s="93">
        <f>IF(COUNTA($A122:$D122)=0,"",IF(OR(E122="",A122="",B122="",C122=""),"缺必要欄位",IF(Y122&lt;&gt;"OK","樣品資料待補",IF(T122=0,"測項未建或重複",IF(INDEX(DB_04[啟用],T122)&lt;&gt;"是","測項停用",IF(AND(Z122&lt;&gt;"OK",Z122&lt;&gt;"不適用"),Z122,IF(AND(AB122&lt;&gt;"OK",AB122&lt;&gt;"已換算"),"單位待核",IF(AA122&lt;&gt;"OK",AA122,"OK"))))))))</f>
        <v/>
      </c>
      <c r="AG122" s="93">
        <f>IF(COUNTA($A122:$D122)=0,"",IF(N122="ND","ND取0",IF(OR(N122="&lt;",N122="&lt;="),"界限除以2",IF(N122="NA","不適用",IF(OR(N122="&gt;",N122="&gt;="),"保留界限數值","保留原數值")))))</f>
        <v/>
      </c>
      <c r="AH122" s="92">
        <f>IF(O122="","",IFERROR(_xlfn.NUMBERVALUE(O122,".",","),""))</f>
        <v/>
      </c>
      <c r="AI122" s="92">
        <f>IF(H122="","",IFERROR(MATCH(H122,Samples[樣品編號],0),0))</f>
        <v/>
      </c>
    </row>
    <row r="123">
      <c r="A123" s="27" t="inlineStr">
        <is>
          <t>總有機碳</t>
        </is>
      </c>
      <c r="B123" s="28" t="inlineStr">
        <is>
          <t>0.38</t>
        </is>
      </c>
      <c r="C123" s="27" t="inlineStr">
        <is>
          <t>%</t>
        </is>
      </c>
      <c r="D123" s="39" t="inlineStr">
        <is>
          <t>合成資料，非實測；method=lab; basis=dry</t>
        </is>
      </c>
      <c r="E123" s="29">
        <f>IF(OR(I123="",I123=0),"",IF(INDEX(Samples[監測點],I123)="","",INDEX(Samples[監測點],I123)))</f>
        <v/>
      </c>
      <c r="F123" s="90">
        <f>IF(OR(I123="",I123=0),"",IF(INDEX(Samples[採樣日期],I123)="","",INDEX(Samples[採樣日期],I123)))</f>
        <v/>
      </c>
      <c r="G123" s="91">
        <f>IF(OR(M123="",M123="NA",M123="N/A"),"",IF(OR(M123="ND",M123="N.D."),0,IFERROR(IF(OR(OR(ISNUMBER(SEARCH("%",O123)),ISNUMBER(SEARCH(" ",O123)),ISNUMBER(SEARCH(",",O123))),OR(SUBSTITUTE(SUBSTITUTE(SUBSTITUTE(SUBSTITUTE(SUBSTITUTE(SUBSTITUTE(SUBSTITUTE(SUBSTITUTE(SUBSTITUTE(SUBSTITUTE(SUBSTITUTE(SUBSTITUTE(SUBSTITUTE(SUBSTITUTE(SUBSTITUTE(SUBSTITUTE(SUBSTITUTE(SUBSTITUTE("x"&amp;M123,"0",""),"1",""),"2",""),"3",""),"4",""),"5",""),"6",""),"7",""),"8",""),"9",""),".",""),"E",""),"+",""),"-",""),"&lt;",""),"&gt;",""),"=","")," ","")&lt;&gt;"x",ISNUMBER(SEARCH("-",SUBSTITUTE(SUBSTITUTE("x"&amp;MID(M123,2,99),"E-","E"),"E+","E"))),ISNUMBER(SEARCH("+",SUBSTITUTE(SUBSTITUTE("x"&amp;MID(M123,2,99),"E-","E"),"E+","E"))))),"",IF(AND(OR(LEFT(M123,1)="&lt;",LEFT(M123,1)="&gt;"),IF(O123="",0,IF(ISNUMBER(AH123),AH123,NA()))&lt;0),"",IF(O123="",0,IF(ISNUMBER(AH123),AH123,NA()))/IF(LEFT(M123,1)="&lt;",2,1))),"")))</f>
        <v/>
      </c>
      <c r="H123" s="57" t="inlineStr">
        <is>
          <t>BH03-S_20260415_01</t>
        </is>
      </c>
      <c r="I123" s="92">
        <f>IF(OR(H123="",AI123=0),0,IF(INDEX(Samples[樣品重複筆數],AI123)=1,AI123,0))</f>
        <v/>
      </c>
      <c r="J123" s="92">
        <f>IF(OR(COUNTA($A123:$D123)=0,I123=0),"",IF(INDEX(Samples[介質],I123)="","",INDEX(Samples[介質],I123)))</f>
        <v/>
      </c>
      <c r="K123" s="92">
        <f>IF(OR(COUNTA($A123:$D123)=0,T123=0),"",IF(INDEX(DB_04[標準單位],T123)="","",INDEX(DB_04[標準單位],T123)))</f>
        <v/>
      </c>
      <c r="L123" s="92">
        <f>IF(COUNTA($A123:$D123)=0,"",IF(OR(C123="",K123=""),"",IF(C123=K123,1,IF(COUNTIFS(DB_06[換算鍵],C123&amp;"|"&amp;K123,DB_06[換算檢查],"OK")=1,INDEX(DB_06[乘數],MATCH(C123&amp;"|"&amp;K123,DB_06[換算鍵],0)),""))))</f>
        <v/>
      </c>
      <c r="M123" s="92">
        <f>UPPER(SUBSTITUTE(SUBSTITUTE(SUBSTITUTE(SUBSTITUTE(TRIM(B123&amp;""),"＜","&lt;"),"＞","&gt;"),"≤","&lt;="),"≥","&gt;="))</f>
        <v/>
      </c>
      <c r="N123" s="92">
        <f>IF(M123="","",IF(OR(M123="ND",M123="N.D."),"ND",IF(OR(M123="NA",M123="N/A",M123="N.A."),"NA",IF(OR(LEFT(M123,2)="&lt;=",LEFT(M123,2)="&gt;="),LEFT(M123,2),IF(OR(LEFT(M123,1)="&lt;",LEFT(M123,1)="&gt;"),LEFT(M123,1),"數值")))))</f>
        <v/>
      </c>
      <c r="O123" s="92">
        <f>IF(OR(N123="",N123="ND",N123="NA"),"",IF(N123="數值",M123,TRIM(MID(M123,LEN(N123)+1,99))))</f>
        <v/>
      </c>
      <c r="P123" s="92">
        <f>IF(O123="","",IFERROR(IF(OR(OR(ISNUMBER(SEARCH("%",O123)),ISNUMBER(SEARCH(" ",O123)),ISNUMBER(SEARCH(",",O123))),OR(SUBSTITUTE(SUBSTITUTE(SUBSTITUTE(SUBSTITUTE(SUBSTITUTE(SUBSTITUTE(SUBSTITUTE(SUBSTITUTE(SUBSTITUTE(SUBSTITUTE(SUBSTITUTE(SUBSTITUTE(SUBSTITUTE(SUBSTITUTE(SUBSTITUTE(SUBSTITUTE(SUBSTITUTE(SUBSTITUTE("x"&amp;O123,"0",""),"1",""),"2",""),"3",""),"4",""),"5",""),"6",""),"7",""),"8",""),"9",""),".",""),"E",""),"+",""),"-",""),"&lt;",""),"&gt;",""),"=","")," ","")&lt;&gt;"x",ISNUMBER(SEARCH("-",SUBSTITUTE(SUBSTITUTE("x"&amp;MID(O123,2,99),"E-","E"),"E+","E"))),ISNUMBER(SEARCH("+",SUBSTITUTE(SUBSTITUTE("x"&amp;MID(O123,2,99),"E-","E"),"E+","E"))))),"",IF(ISNUMBER(AH123),AH123,NA())),""))</f>
        <v/>
      </c>
      <c r="Q123" s="92">
        <f>IF(AND(ISNUMBER(L123),ISNUMBER(P123)),L123*P123,"")</f>
        <v/>
      </c>
      <c r="R123" s="92">
        <f>IF(OR(COUNTA($A123:$D123)=0,U123=0),"",IF(INDEX(DB_05[管制設定值],U123)="","",INDEX(DB_05[管制設定值],U123)))</f>
        <v/>
      </c>
      <c r="S123" s="92">
        <f>IF(OR(COUNTA($A123:$D123)=0,U123=0),"",IF(INDEX(DB_05[監測設定值],U123)="","",INDEX(DB_05[監測設定值],U123)))</f>
        <v/>
      </c>
      <c r="T123" s="92">
        <f>IF(COUNTA($A123:$D123)=0,"",IF(COUNTIFS(DB_04[測項鍵],V123)=1,MATCH(V123,DB_04[測項鍵],0),0))</f>
        <v/>
      </c>
      <c r="U123" s="92">
        <f>IF(COUNTA($A123:$D123)=0,"",IF(COUNTIFS(DB_05[標準鍵],W123)=1,MATCH(W123,DB_05[標準鍵],0),0))</f>
        <v/>
      </c>
      <c r="V123" s="92">
        <f>IF(OR(J123="",A123=""),"",J123&amp;"|"&amp;A123)</f>
        <v/>
      </c>
      <c r="W123" s="92">
        <f>IF(OR('07_QAQC'!$C$3="",V123=""),"",'07_QAQC'!$C$3&amp;"|"&amp;V123)</f>
        <v/>
      </c>
      <c r="X123" s="92">
        <f>IF(OR(H123="",A123=""),"",LEN(H123)&amp;":"&amp;H123&amp;LEN(A123)&amp;":"&amp;A123)</f>
        <v/>
      </c>
      <c r="Y123" s="93">
        <f>IF(COUNTA($A123:$D123)=0,"",IF(I123=0,"樣品未建或重複",IF(INDEX(Samples[樣品檢查],I123)="","OK",INDEX(Samples[樣品檢查],I123))))</f>
        <v/>
      </c>
      <c r="Z123" s="93">
        <f>IF(COUNTA($A123:$D123)=0,"",IF(B123="","缺原始值",IF(OR(B123="-",B123="--"),"無資料",IF(N123="NA","不適用",IF(N123="ND","OK",IF(NOT(ISNUMBER(P123)),"格式待核",IF(AND(N123&lt;&gt;"數值",P123&lt;0),"界限不得為負","OK")))))))</f>
        <v/>
      </c>
      <c r="AA123" s="93">
        <f>IF(COUNTA(A123:D123)=0,"",IF(OR(A123="",H123=""),"缺識別欄位",IF(IF(LEN("="&amp;SUBSTITUTE(SUBSTITUTE(SUBSTITUTE(X123,"~","~~"),"*","~*"),"?","~?"))&lt;=255,COUNTIF(Results[結果識別鍵],"="&amp;SUBSTITUTE(SUBSTITUTE(SUBSTITUTE(X123,"~","~~"),"*","~*"),"?","~?")),COUNTIFS(Results[關聯鍵],"="&amp;SUBSTITUTE(SUBSTITUTE(SUBSTITUTE(H123,"~","~~"),"*","~*"),"?","~?"),Results[分析項目],"="&amp;SUBSTITUTE(SUBSTITUTE(SUBSTITUTE(A123,"~","~~"),"*","~*"),"?","~?")))&gt;1,"同關聯鍵測項重複","OK")))</f>
        <v/>
      </c>
      <c r="AB123" s="93">
        <f>IF(COUNTA($A123:$D123)=0,"",IF(OR(C123="",K123=""),"缺單位",IF(NOT(ISNUMBER(L123)),"單位不相容",IF(L123=1,"OK","已換算"))))</f>
        <v/>
      </c>
      <c r="AC123" s="93">
        <f>IF(COUNTA($A123:$D123)=0,"",IF('07_QAQC'!$C$3="","未選比較版本",IF(U123=0,IF(COUNTIFS(DB_05[標準鍵],W123)&gt;1,"標準鍵重複","未訂此介質／測項門檻"),IF(INDEX(DB_05[版本檢查],U123)&lt;&gt;"OK","標準主檔待核",IF(INDEX(DB_05[標準單位],U123)&lt;&gt;K123,"標準單位不符",IF(INDEX(DB_05[核對狀態],U123)="停用","停用",IF(F123="","缺採樣日期",IF(OR(AND(INDEX(DB_05[生效日],U123)&lt;&gt;"",F123&lt;INDEX(DB_05[生效日],U123)),AND(INDEX(DB_05[失效日],U123)&lt;&gt;"",F123&gt;INDEX(DB_05[失效日],U123))),"日期不適用",INDEX(DB_05[核對狀態],U123)))))))))</f>
        <v/>
      </c>
      <c r="AD123" s="93">
        <f>IF(COUNTA($A123:$D123)=0,"",IF(AC123="未訂此介質／測項門檻",AC123,IF(AC123&lt;&gt;"已核對","標準待核",IF(R123="","未訂管制值",IF(NOT(ISNUMBER(L123)),"單位待核",IF(N123="ND","無法判定（ND無界限）",IF(N123="NA","不適用",IF(Z123&lt;&gt;"OK",Z123,IF(N123="數值",IF(Q123&gt;=R123,"達管制值","未達管制值"),IF(OR(N123="&lt;",N123="&lt;="),IF(OR(Q123&lt;R123,AND(N123="&lt;",Q123=R123)),"未達管制值","無法判定"),IF(OR(N123="&gt;",N123="&gt;="),IF(Q123&gt;=R123,"達管制值","無法判定"),"格式待核")))))))))))</f>
        <v/>
      </c>
      <c r="AE123" s="93">
        <f>IF(COUNTA($A123:$D123)=0,"",IF(AC123="未訂此介質／測項門檻",AC123,IF(AC123&lt;&gt;"已核對","標準待核",IF(S123="","未訂監測值",IF(NOT(ISNUMBER(L123)),"單位待核",IF(N123="ND","無法判定（ND無界限）",IF(N123="NA","不適用",IF(Z123&lt;&gt;"OK",Z123,IF(N123="數值",IF(Q123&gt;=S123,"達監測值","未達監測值"),IF(OR(N123="&lt;",N123="&lt;="),IF(OR(Q123&lt;S123,AND(N123="&lt;",Q123=S123)),"未達監測值","無法判定"),IF(OR(N123="&gt;",N123="&gt;="),IF(Q123&gt;=S123,"達監測值","無法判定"),"格式待核")))))))))))</f>
        <v/>
      </c>
      <c r="AF123" s="93">
        <f>IF(COUNTA($A123:$D123)=0,"",IF(OR(E123="",A123="",B123="",C123=""),"缺必要欄位",IF(Y123&lt;&gt;"OK","樣品資料待補",IF(T123=0,"測項未建或重複",IF(INDEX(DB_04[啟用],T123)&lt;&gt;"是","測項停用",IF(AND(Z123&lt;&gt;"OK",Z123&lt;&gt;"不適用"),Z123,IF(AND(AB123&lt;&gt;"OK",AB123&lt;&gt;"已換算"),"單位待核",IF(AA123&lt;&gt;"OK",AA123,"OK"))))))))</f>
        <v/>
      </c>
      <c r="AG123" s="93">
        <f>IF(COUNTA($A123:$D123)=0,"",IF(N123="ND","ND取0",IF(OR(N123="&lt;",N123="&lt;="),"界限除以2",IF(N123="NA","不適用",IF(OR(N123="&gt;",N123="&gt;="),"保留界限數值","保留原數值")))))</f>
        <v/>
      </c>
      <c r="AH123" s="92">
        <f>IF(O123="","",IFERROR(_xlfn.NUMBERVALUE(O123,".",","),""))</f>
        <v/>
      </c>
      <c r="AI123" s="92">
        <f>IF(H123="","",IFERROR(MATCH(H123,Samples[樣品編號],0),0))</f>
        <v/>
      </c>
    </row>
    <row r="124">
      <c r="A124" s="27" t="inlineStr">
        <is>
          <t>pH</t>
        </is>
      </c>
      <c r="B124" s="28" t="inlineStr">
        <is>
          <t>6.69</t>
        </is>
      </c>
      <c r="C124" s="27" t="inlineStr">
        <is>
          <t>無因次</t>
        </is>
      </c>
      <c r="D124" s="39" t="inlineStr">
        <is>
          <t>合成資料，非實測；method=field</t>
        </is>
      </c>
      <c r="E124" s="29">
        <f>IF(OR(I124="",I124=0),"",IF(INDEX(Samples[監測點],I124)="","",INDEX(Samples[監測點],I124)))</f>
        <v/>
      </c>
      <c r="F124" s="90">
        <f>IF(OR(I124="",I124=0),"",IF(INDEX(Samples[採樣日期],I124)="","",INDEX(Samples[採樣日期],I124)))</f>
        <v/>
      </c>
      <c r="G124" s="91">
        <f>IF(OR(M124="",M124="NA",M124="N/A"),"",IF(OR(M124="ND",M124="N.D."),0,IFERROR(IF(OR(OR(ISNUMBER(SEARCH("%",O124)),ISNUMBER(SEARCH(" ",O124)),ISNUMBER(SEARCH(",",O124))),OR(SUBSTITUTE(SUBSTITUTE(SUBSTITUTE(SUBSTITUTE(SUBSTITUTE(SUBSTITUTE(SUBSTITUTE(SUBSTITUTE(SUBSTITUTE(SUBSTITUTE(SUBSTITUTE(SUBSTITUTE(SUBSTITUTE(SUBSTITUTE(SUBSTITUTE(SUBSTITUTE(SUBSTITUTE(SUBSTITUTE("x"&amp;M124,"0",""),"1",""),"2",""),"3",""),"4",""),"5",""),"6",""),"7",""),"8",""),"9",""),".",""),"E",""),"+",""),"-",""),"&lt;",""),"&gt;",""),"=","")," ","")&lt;&gt;"x",ISNUMBER(SEARCH("-",SUBSTITUTE(SUBSTITUTE("x"&amp;MID(M124,2,99),"E-","E"),"E+","E"))),ISNUMBER(SEARCH("+",SUBSTITUTE(SUBSTITUTE("x"&amp;MID(M124,2,99),"E-","E"),"E+","E"))))),"",IF(AND(OR(LEFT(M124,1)="&lt;",LEFT(M124,1)="&gt;"),IF(O124="",0,IF(ISNUMBER(AH124),AH124,NA()))&lt;0),"",IF(O124="",0,IF(ISNUMBER(AH124),AH124,NA()))/IF(LEFT(M124,1)="&lt;",2,1))),"")))</f>
        <v/>
      </c>
      <c r="H124" s="57" t="inlineStr">
        <is>
          <t>BH03-W_20260415_01</t>
        </is>
      </c>
      <c r="I124" s="92">
        <f>IF(OR(H124="",AI124=0),0,IF(INDEX(Samples[樣品重複筆數],AI124)=1,AI124,0))</f>
        <v/>
      </c>
      <c r="J124" s="92">
        <f>IF(OR(COUNTA($A124:$D124)=0,I124=0),"",IF(INDEX(Samples[介質],I124)="","",INDEX(Samples[介質],I124)))</f>
        <v/>
      </c>
      <c r="K124" s="92">
        <f>IF(OR(COUNTA($A124:$D124)=0,T124=0),"",IF(INDEX(DB_04[標準單位],T124)="","",INDEX(DB_04[標準單位],T124)))</f>
        <v/>
      </c>
      <c r="L124" s="92">
        <f>IF(COUNTA($A124:$D124)=0,"",IF(OR(C124="",K124=""),"",IF(C124=K124,1,IF(COUNTIFS(DB_06[換算鍵],C124&amp;"|"&amp;K124,DB_06[換算檢查],"OK")=1,INDEX(DB_06[乘數],MATCH(C124&amp;"|"&amp;K124,DB_06[換算鍵],0)),""))))</f>
        <v/>
      </c>
      <c r="M124" s="92">
        <f>UPPER(SUBSTITUTE(SUBSTITUTE(SUBSTITUTE(SUBSTITUTE(TRIM(B124&amp;""),"＜","&lt;"),"＞","&gt;"),"≤","&lt;="),"≥","&gt;="))</f>
        <v/>
      </c>
      <c r="N124" s="92">
        <f>IF(M124="","",IF(OR(M124="ND",M124="N.D."),"ND",IF(OR(M124="NA",M124="N/A",M124="N.A."),"NA",IF(OR(LEFT(M124,2)="&lt;=",LEFT(M124,2)="&gt;="),LEFT(M124,2),IF(OR(LEFT(M124,1)="&lt;",LEFT(M124,1)="&gt;"),LEFT(M124,1),"數值")))))</f>
        <v/>
      </c>
      <c r="O124" s="92">
        <f>IF(OR(N124="",N124="ND",N124="NA"),"",IF(N124="數值",M124,TRIM(MID(M124,LEN(N124)+1,99))))</f>
        <v/>
      </c>
      <c r="P124" s="92">
        <f>IF(O124="","",IFERROR(IF(OR(OR(ISNUMBER(SEARCH("%",O124)),ISNUMBER(SEARCH(" ",O124)),ISNUMBER(SEARCH(",",O124))),OR(SUBSTITUTE(SUBSTITUTE(SUBSTITUTE(SUBSTITUTE(SUBSTITUTE(SUBSTITUTE(SUBSTITUTE(SUBSTITUTE(SUBSTITUTE(SUBSTITUTE(SUBSTITUTE(SUBSTITUTE(SUBSTITUTE(SUBSTITUTE(SUBSTITUTE(SUBSTITUTE(SUBSTITUTE(SUBSTITUTE("x"&amp;O124,"0",""),"1",""),"2",""),"3",""),"4",""),"5",""),"6",""),"7",""),"8",""),"9",""),".",""),"E",""),"+",""),"-",""),"&lt;",""),"&gt;",""),"=","")," ","")&lt;&gt;"x",ISNUMBER(SEARCH("-",SUBSTITUTE(SUBSTITUTE("x"&amp;MID(O124,2,99),"E-","E"),"E+","E"))),ISNUMBER(SEARCH("+",SUBSTITUTE(SUBSTITUTE("x"&amp;MID(O124,2,99),"E-","E"),"E+","E"))))),"",IF(ISNUMBER(AH124),AH124,NA())),""))</f>
        <v/>
      </c>
      <c r="Q124" s="92">
        <f>IF(AND(ISNUMBER(L124),ISNUMBER(P124)),L124*P124,"")</f>
        <v/>
      </c>
      <c r="R124" s="92">
        <f>IF(OR(COUNTA($A124:$D124)=0,U124=0),"",IF(INDEX(DB_05[管制設定值],U124)="","",INDEX(DB_05[管制設定值],U124)))</f>
        <v/>
      </c>
      <c r="S124" s="92">
        <f>IF(OR(COUNTA($A124:$D124)=0,U124=0),"",IF(INDEX(DB_05[監測設定值],U124)="","",INDEX(DB_05[監測設定值],U124)))</f>
        <v/>
      </c>
      <c r="T124" s="92">
        <f>IF(COUNTA($A124:$D124)=0,"",IF(COUNTIFS(DB_04[測項鍵],V124)=1,MATCH(V124,DB_04[測項鍵],0),0))</f>
        <v/>
      </c>
      <c r="U124" s="92">
        <f>IF(COUNTA($A124:$D124)=0,"",IF(COUNTIFS(DB_05[標準鍵],W124)=1,MATCH(W124,DB_05[標準鍵],0),0))</f>
        <v/>
      </c>
      <c r="V124" s="92">
        <f>IF(OR(J124="",A124=""),"",J124&amp;"|"&amp;A124)</f>
        <v/>
      </c>
      <c r="W124" s="92">
        <f>IF(OR('07_QAQC'!$C$3="",V124=""),"",'07_QAQC'!$C$3&amp;"|"&amp;V124)</f>
        <v/>
      </c>
      <c r="X124" s="92">
        <f>IF(OR(H124="",A124=""),"",LEN(H124)&amp;":"&amp;H124&amp;LEN(A124)&amp;":"&amp;A124)</f>
        <v/>
      </c>
      <c r="Y124" s="93">
        <f>IF(COUNTA($A124:$D124)=0,"",IF(I124=0,"樣品未建或重複",IF(INDEX(Samples[樣品檢查],I124)="","OK",INDEX(Samples[樣品檢查],I124))))</f>
        <v/>
      </c>
      <c r="Z124" s="93">
        <f>IF(COUNTA($A124:$D124)=0,"",IF(B124="","缺原始值",IF(OR(B124="-",B124="--"),"無資料",IF(N124="NA","不適用",IF(N124="ND","OK",IF(NOT(ISNUMBER(P124)),"格式待核",IF(AND(N124&lt;&gt;"數值",P124&lt;0),"界限不得為負","OK")))))))</f>
        <v/>
      </c>
      <c r="AA124" s="93">
        <f>IF(COUNTA(A124:D124)=0,"",IF(OR(A124="",H124=""),"缺識別欄位",IF(IF(LEN("="&amp;SUBSTITUTE(SUBSTITUTE(SUBSTITUTE(X124,"~","~~"),"*","~*"),"?","~?"))&lt;=255,COUNTIF(Results[結果識別鍵],"="&amp;SUBSTITUTE(SUBSTITUTE(SUBSTITUTE(X124,"~","~~"),"*","~*"),"?","~?")),COUNTIFS(Results[關聯鍵],"="&amp;SUBSTITUTE(SUBSTITUTE(SUBSTITUTE(H124,"~","~~"),"*","~*"),"?","~?"),Results[分析項目],"="&amp;SUBSTITUTE(SUBSTITUTE(SUBSTITUTE(A124,"~","~~"),"*","~*"),"?","~?")))&gt;1,"同關聯鍵測項重複","OK")))</f>
        <v/>
      </c>
      <c r="AB124" s="93">
        <f>IF(COUNTA($A124:$D124)=0,"",IF(OR(C124="",K124=""),"缺單位",IF(NOT(ISNUMBER(L124)),"單位不相容",IF(L124=1,"OK","已換算"))))</f>
        <v/>
      </c>
      <c r="AC124" s="93">
        <f>IF(COUNTA($A124:$D124)=0,"",IF('07_QAQC'!$C$3="","未選比較版本",IF(U124=0,IF(COUNTIFS(DB_05[標準鍵],W124)&gt;1,"標準鍵重複","未訂此介質／測項門檻"),IF(INDEX(DB_05[版本檢查],U124)&lt;&gt;"OK","標準主檔待核",IF(INDEX(DB_05[標準單位],U124)&lt;&gt;K124,"標準單位不符",IF(INDEX(DB_05[核對狀態],U124)="停用","停用",IF(F124="","缺採樣日期",IF(OR(AND(INDEX(DB_05[生效日],U124)&lt;&gt;"",F124&lt;INDEX(DB_05[生效日],U124)),AND(INDEX(DB_05[失效日],U124)&lt;&gt;"",F124&gt;INDEX(DB_05[失效日],U124))),"日期不適用",INDEX(DB_05[核對狀態],U124)))))))))</f>
        <v/>
      </c>
      <c r="AD124" s="93">
        <f>IF(COUNTA($A124:$D124)=0,"",IF(AC124="未訂此介質／測項門檻",AC124,IF(AC124&lt;&gt;"已核對","標準待核",IF(R124="","未訂管制值",IF(NOT(ISNUMBER(L124)),"單位待核",IF(N124="ND","無法判定（ND無界限）",IF(N124="NA","不適用",IF(Z124&lt;&gt;"OK",Z124,IF(N124="數值",IF(Q124&gt;=R124,"達管制值","未達管制值"),IF(OR(N124="&lt;",N124="&lt;="),IF(OR(Q124&lt;R124,AND(N124="&lt;",Q124=R124)),"未達管制值","無法判定"),IF(OR(N124="&gt;",N124="&gt;="),IF(Q124&gt;=R124,"達管制值","無法判定"),"格式待核")))))))))))</f>
        <v/>
      </c>
      <c r="AE124" s="93">
        <f>IF(COUNTA($A124:$D124)=0,"",IF(AC124="未訂此介質／測項門檻",AC124,IF(AC124&lt;&gt;"已核對","標準待核",IF(S124="","未訂監測值",IF(NOT(ISNUMBER(L124)),"單位待核",IF(N124="ND","無法判定（ND無界限）",IF(N124="NA","不適用",IF(Z124&lt;&gt;"OK",Z124,IF(N124="數值",IF(Q124&gt;=S124,"達監測值","未達監測值"),IF(OR(N124="&lt;",N124="&lt;="),IF(OR(Q124&lt;S124,AND(N124="&lt;",Q124=S124)),"未達監測值","無法判定"),IF(OR(N124="&gt;",N124="&gt;="),IF(Q124&gt;=S124,"達監測值","無法判定"),"格式待核")))))))))))</f>
        <v/>
      </c>
      <c r="AF124" s="93">
        <f>IF(COUNTA($A124:$D124)=0,"",IF(OR(E124="",A124="",B124="",C124=""),"缺必要欄位",IF(Y124&lt;&gt;"OK","樣品資料待補",IF(T124=0,"測項未建或重複",IF(INDEX(DB_04[啟用],T124)&lt;&gt;"是","測項停用",IF(AND(Z124&lt;&gt;"OK",Z124&lt;&gt;"不適用"),Z124,IF(AND(AB124&lt;&gt;"OK",AB124&lt;&gt;"已換算"),"單位待核",IF(AA124&lt;&gt;"OK",AA124,"OK"))))))))</f>
        <v/>
      </c>
      <c r="AG124" s="93">
        <f>IF(COUNTA($A124:$D124)=0,"",IF(N124="ND","ND取0",IF(OR(N124="&lt;",N124="&lt;="),"界限除以2",IF(N124="NA","不適用",IF(OR(N124="&gt;",N124="&gt;="),"保留界限數值","保留原數值")))))</f>
        <v/>
      </c>
      <c r="AH124" s="92">
        <f>IF(O124="","",IFERROR(_xlfn.NUMBERVALUE(O124,".",","),""))</f>
        <v/>
      </c>
      <c r="AI124" s="92">
        <f>IF(H124="","",IFERROR(MATCH(H124,Samples[樣品編號],0),0))</f>
        <v/>
      </c>
    </row>
    <row r="125">
      <c r="A125" s="27" t="inlineStr">
        <is>
          <t>EC</t>
        </is>
      </c>
      <c r="B125" s="28" t="inlineStr">
        <is>
          <t>0.5</t>
        </is>
      </c>
      <c r="C125" s="27" t="inlineStr">
        <is>
          <t>mS/cm</t>
        </is>
      </c>
      <c r="D125" s="39" t="inlineStr">
        <is>
          <t>合成資料，非實測；method=field; temperature=25; temperature_compensated=25C; reference_temperature=25</t>
        </is>
      </c>
      <c r="E125" s="29">
        <f>IF(OR(I125="",I125=0),"",IF(INDEX(Samples[監測點],I125)="","",INDEX(Samples[監測點],I125)))</f>
        <v/>
      </c>
      <c r="F125" s="90">
        <f>IF(OR(I125="",I125=0),"",IF(INDEX(Samples[採樣日期],I125)="","",INDEX(Samples[採樣日期],I125)))</f>
        <v/>
      </c>
      <c r="G125" s="91">
        <f>IF(OR(M125="",M125="NA",M125="N/A"),"",IF(OR(M125="ND",M125="N.D."),0,IFERROR(IF(OR(OR(ISNUMBER(SEARCH("%",O125)),ISNUMBER(SEARCH(" ",O125)),ISNUMBER(SEARCH(",",O125))),OR(SUBSTITUTE(SUBSTITUTE(SUBSTITUTE(SUBSTITUTE(SUBSTITUTE(SUBSTITUTE(SUBSTITUTE(SUBSTITUTE(SUBSTITUTE(SUBSTITUTE(SUBSTITUTE(SUBSTITUTE(SUBSTITUTE(SUBSTITUTE(SUBSTITUTE(SUBSTITUTE(SUBSTITUTE(SUBSTITUTE("x"&amp;M125,"0",""),"1",""),"2",""),"3",""),"4",""),"5",""),"6",""),"7",""),"8",""),"9",""),".",""),"E",""),"+",""),"-",""),"&lt;",""),"&gt;",""),"=","")," ","")&lt;&gt;"x",ISNUMBER(SEARCH("-",SUBSTITUTE(SUBSTITUTE("x"&amp;MID(M125,2,99),"E-","E"),"E+","E"))),ISNUMBER(SEARCH("+",SUBSTITUTE(SUBSTITUTE("x"&amp;MID(M125,2,99),"E-","E"),"E+","E"))))),"",IF(AND(OR(LEFT(M125,1)="&lt;",LEFT(M125,1)="&gt;"),IF(O125="",0,IF(ISNUMBER(AH125),AH125,NA()))&lt;0),"",IF(O125="",0,IF(ISNUMBER(AH125),AH125,NA()))/IF(LEFT(M125,1)="&lt;",2,1))),"")))</f>
        <v/>
      </c>
      <c r="H125" s="57" t="inlineStr">
        <is>
          <t>BH03-W_20260415_01</t>
        </is>
      </c>
      <c r="I125" s="92">
        <f>IF(OR(H125="",AI125=0),0,IF(INDEX(Samples[樣品重複筆數],AI125)=1,AI125,0))</f>
        <v/>
      </c>
      <c r="J125" s="92">
        <f>IF(OR(COUNTA($A125:$D125)=0,I125=0),"",IF(INDEX(Samples[介質],I125)="","",INDEX(Samples[介質],I125)))</f>
        <v/>
      </c>
      <c r="K125" s="92">
        <f>IF(OR(COUNTA($A125:$D125)=0,T125=0),"",IF(INDEX(DB_04[標準單位],T125)="","",INDEX(DB_04[標準單位],T125)))</f>
        <v/>
      </c>
      <c r="L125" s="92">
        <f>IF(COUNTA($A125:$D125)=0,"",IF(OR(C125="",K125=""),"",IF(C125=K125,1,IF(COUNTIFS(DB_06[換算鍵],C125&amp;"|"&amp;K125,DB_06[換算檢查],"OK")=1,INDEX(DB_06[乘數],MATCH(C125&amp;"|"&amp;K125,DB_06[換算鍵],0)),""))))</f>
        <v/>
      </c>
      <c r="M125" s="92">
        <f>UPPER(SUBSTITUTE(SUBSTITUTE(SUBSTITUTE(SUBSTITUTE(TRIM(B125&amp;""),"＜","&lt;"),"＞","&gt;"),"≤","&lt;="),"≥","&gt;="))</f>
        <v/>
      </c>
      <c r="N125" s="92">
        <f>IF(M125="","",IF(OR(M125="ND",M125="N.D."),"ND",IF(OR(M125="NA",M125="N/A",M125="N.A."),"NA",IF(OR(LEFT(M125,2)="&lt;=",LEFT(M125,2)="&gt;="),LEFT(M125,2),IF(OR(LEFT(M125,1)="&lt;",LEFT(M125,1)="&gt;"),LEFT(M125,1),"數值")))))</f>
        <v/>
      </c>
      <c r="O125" s="92">
        <f>IF(OR(N125="",N125="ND",N125="NA"),"",IF(N125="數值",M125,TRIM(MID(M125,LEN(N125)+1,99))))</f>
        <v/>
      </c>
      <c r="P125" s="92">
        <f>IF(O125="","",IFERROR(IF(OR(OR(ISNUMBER(SEARCH("%",O125)),ISNUMBER(SEARCH(" ",O125)),ISNUMBER(SEARCH(",",O125))),OR(SUBSTITUTE(SUBSTITUTE(SUBSTITUTE(SUBSTITUTE(SUBSTITUTE(SUBSTITUTE(SUBSTITUTE(SUBSTITUTE(SUBSTITUTE(SUBSTITUTE(SUBSTITUTE(SUBSTITUTE(SUBSTITUTE(SUBSTITUTE(SUBSTITUTE(SUBSTITUTE(SUBSTITUTE(SUBSTITUTE("x"&amp;O125,"0",""),"1",""),"2",""),"3",""),"4",""),"5",""),"6",""),"7",""),"8",""),"9",""),".",""),"E",""),"+",""),"-",""),"&lt;",""),"&gt;",""),"=","")," ","")&lt;&gt;"x",ISNUMBER(SEARCH("-",SUBSTITUTE(SUBSTITUTE("x"&amp;MID(O125,2,99),"E-","E"),"E+","E"))),ISNUMBER(SEARCH("+",SUBSTITUTE(SUBSTITUTE("x"&amp;MID(O125,2,99),"E-","E"),"E+","E"))))),"",IF(ISNUMBER(AH125),AH125,NA())),""))</f>
        <v/>
      </c>
      <c r="Q125" s="92">
        <f>IF(AND(ISNUMBER(L125),ISNUMBER(P125)),L125*P125,"")</f>
        <v/>
      </c>
      <c r="R125" s="92">
        <f>IF(OR(COUNTA($A125:$D125)=0,U125=0),"",IF(INDEX(DB_05[管制設定值],U125)="","",INDEX(DB_05[管制設定值],U125)))</f>
        <v/>
      </c>
      <c r="S125" s="92">
        <f>IF(OR(COUNTA($A125:$D125)=0,U125=0),"",IF(INDEX(DB_05[監測設定值],U125)="","",INDEX(DB_05[監測設定值],U125)))</f>
        <v/>
      </c>
      <c r="T125" s="92">
        <f>IF(COUNTA($A125:$D125)=0,"",IF(COUNTIFS(DB_04[測項鍵],V125)=1,MATCH(V125,DB_04[測項鍵],0),0))</f>
        <v/>
      </c>
      <c r="U125" s="92">
        <f>IF(COUNTA($A125:$D125)=0,"",IF(COUNTIFS(DB_05[標準鍵],W125)=1,MATCH(W125,DB_05[標準鍵],0),0))</f>
        <v/>
      </c>
      <c r="V125" s="92">
        <f>IF(OR(J125="",A125=""),"",J125&amp;"|"&amp;A125)</f>
        <v/>
      </c>
      <c r="W125" s="92">
        <f>IF(OR('07_QAQC'!$C$3="",V125=""),"",'07_QAQC'!$C$3&amp;"|"&amp;V125)</f>
        <v/>
      </c>
      <c r="X125" s="92">
        <f>IF(OR(H125="",A125=""),"",LEN(H125)&amp;":"&amp;H125&amp;LEN(A125)&amp;":"&amp;A125)</f>
        <v/>
      </c>
      <c r="Y125" s="93">
        <f>IF(COUNTA($A125:$D125)=0,"",IF(I125=0,"樣品未建或重複",IF(INDEX(Samples[樣品檢查],I125)="","OK",INDEX(Samples[樣品檢查],I125))))</f>
        <v/>
      </c>
      <c r="Z125" s="93">
        <f>IF(COUNTA($A125:$D125)=0,"",IF(B125="","缺原始值",IF(OR(B125="-",B125="--"),"無資料",IF(N125="NA","不適用",IF(N125="ND","OK",IF(NOT(ISNUMBER(P125)),"格式待核",IF(AND(N125&lt;&gt;"數值",P125&lt;0),"界限不得為負","OK")))))))</f>
        <v/>
      </c>
      <c r="AA125" s="93">
        <f>IF(COUNTA(A125:D125)=0,"",IF(OR(A125="",H125=""),"缺識別欄位",IF(IF(LEN("="&amp;SUBSTITUTE(SUBSTITUTE(SUBSTITUTE(X125,"~","~~"),"*","~*"),"?","~?"))&lt;=255,COUNTIF(Results[結果識別鍵],"="&amp;SUBSTITUTE(SUBSTITUTE(SUBSTITUTE(X125,"~","~~"),"*","~*"),"?","~?")),COUNTIFS(Results[關聯鍵],"="&amp;SUBSTITUTE(SUBSTITUTE(SUBSTITUTE(H125,"~","~~"),"*","~*"),"?","~?"),Results[分析項目],"="&amp;SUBSTITUTE(SUBSTITUTE(SUBSTITUTE(A125,"~","~~"),"*","~*"),"?","~?")))&gt;1,"同關聯鍵測項重複","OK")))</f>
        <v/>
      </c>
      <c r="AB125" s="93">
        <f>IF(COUNTA($A125:$D125)=0,"",IF(OR(C125="",K125=""),"缺單位",IF(NOT(ISNUMBER(L125)),"單位不相容",IF(L125=1,"OK","已換算"))))</f>
        <v/>
      </c>
      <c r="AC125" s="93">
        <f>IF(COUNTA($A125:$D125)=0,"",IF('07_QAQC'!$C$3="","未選比較版本",IF(U125=0,IF(COUNTIFS(DB_05[標準鍵],W125)&gt;1,"標準鍵重複","未訂此介質／測項門檻"),IF(INDEX(DB_05[版本檢查],U125)&lt;&gt;"OK","標準主檔待核",IF(INDEX(DB_05[標準單位],U125)&lt;&gt;K125,"標準單位不符",IF(INDEX(DB_05[核對狀態],U125)="停用","停用",IF(F125="","缺採樣日期",IF(OR(AND(INDEX(DB_05[生效日],U125)&lt;&gt;"",F125&lt;INDEX(DB_05[生效日],U125)),AND(INDEX(DB_05[失效日],U125)&lt;&gt;"",F125&gt;INDEX(DB_05[失效日],U125))),"日期不適用",INDEX(DB_05[核對狀態],U125)))))))))</f>
        <v/>
      </c>
      <c r="AD125" s="93">
        <f>IF(COUNTA($A125:$D125)=0,"",IF(AC125="未訂此介質／測項門檻",AC125,IF(AC125&lt;&gt;"已核對","標準待核",IF(R125="","未訂管制值",IF(NOT(ISNUMBER(L125)),"單位待核",IF(N125="ND","無法判定（ND無界限）",IF(N125="NA","不適用",IF(Z125&lt;&gt;"OK",Z125,IF(N125="數值",IF(Q125&gt;=R125,"達管制值","未達管制值"),IF(OR(N125="&lt;",N125="&lt;="),IF(OR(Q125&lt;R125,AND(N125="&lt;",Q125=R125)),"未達管制值","無法判定"),IF(OR(N125="&gt;",N125="&gt;="),IF(Q125&gt;=R125,"達管制值","無法判定"),"格式待核")))))))))))</f>
        <v/>
      </c>
      <c r="AE125" s="93">
        <f>IF(COUNTA($A125:$D125)=0,"",IF(AC125="未訂此介質／測項門檻",AC125,IF(AC125&lt;&gt;"已核對","標準待核",IF(S125="","未訂監測值",IF(NOT(ISNUMBER(L125)),"單位待核",IF(N125="ND","無法判定（ND無界限）",IF(N125="NA","不適用",IF(Z125&lt;&gt;"OK",Z125,IF(N125="數值",IF(Q125&gt;=S125,"達監測值","未達監測值"),IF(OR(N125="&lt;",N125="&lt;="),IF(OR(Q125&lt;S125,AND(N125="&lt;",Q125=S125)),"未達監測值","無法判定"),IF(OR(N125="&gt;",N125="&gt;="),IF(Q125&gt;=S125,"達監測值","無法判定"),"格式待核")))))))))))</f>
        <v/>
      </c>
      <c r="AF125" s="93">
        <f>IF(COUNTA($A125:$D125)=0,"",IF(OR(E125="",A125="",B125="",C125=""),"缺必要欄位",IF(Y125&lt;&gt;"OK","樣品資料待補",IF(T125=0,"測項未建或重複",IF(INDEX(DB_04[啟用],T125)&lt;&gt;"是","測項停用",IF(AND(Z125&lt;&gt;"OK",Z125&lt;&gt;"不適用"),Z125,IF(AND(AB125&lt;&gt;"OK",AB125&lt;&gt;"已換算"),"單位待核",IF(AA125&lt;&gt;"OK",AA125,"OK"))))))))</f>
        <v/>
      </c>
      <c r="AG125" s="93">
        <f>IF(COUNTA($A125:$D125)=0,"",IF(N125="ND","ND取0",IF(OR(N125="&lt;",N125="&lt;="),"界限除以2",IF(N125="NA","不適用",IF(OR(N125="&gt;",N125="&gt;="),"保留界限數值","保留原數值")))))</f>
        <v/>
      </c>
      <c r="AH125" s="92">
        <f>IF(O125="","",IFERROR(_xlfn.NUMBERVALUE(O125,".",","),""))</f>
        <v/>
      </c>
      <c r="AI125" s="92">
        <f>IF(H125="","",IFERROR(MATCH(H125,Samples[樣品編號],0),0))</f>
        <v/>
      </c>
    </row>
    <row r="126">
      <c r="A126" s="27" t="inlineStr">
        <is>
          <t>DO</t>
        </is>
      </c>
      <c r="B126" s="28" t="inlineStr">
        <is>
          <t>6.1</t>
        </is>
      </c>
      <c r="C126" s="27" t="inlineStr">
        <is>
          <t>mg/L</t>
        </is>
      </c>
      <c r="D126" s="39" t="inlineStr">
        <is>
          <t>合成資料，非實測；method=field</t>
        </is>
      </c>
      <c r="E126" s="29">
        <f>IF(OR(I126="",I126=0),"",IF(INDEX(Samples[監測點],I126)="","",INDEX(Samples[監測點],I126)))</f>
        <v/>
      </c>
      <c r="F126" s="90">
        <f>IF(OR(I126="",I126=0),"",IF(INDEX(Samples[採樣日期],I126)="","",INDEX(Samples[採樣日期],I126)))</f>
        <v/>
      </c>
      <c r="G126" s="91">
        <f>IF(OR(M126="",M126="NA",M126="N/A"),"",IF(OR(M126="ND",M126="N.D."),0,IFERROR(IF(OR(OR(ISNUMBER(SEARCH("%",O126)),ISNUMBER(SEARCH(" ",O126)),ISNUMBER(SEARCH(",",O126))),OR(SUBSTITUTE(SUBSTITUTE(SUBSTITUTE(SUBSTITUTE(SUBSTITUTE(SUBSTITUTE(SUBSTITUTE(SUBSTITUTE(SUBSTITUTE(SUBSTITUTE(SUBSTITUTE(SUBSTITUTE(SUBSTITUTE(SUBSTITUTE(SUBSTITUTE(SUBSTITUTE(SUBSTITUTE(SUBSTITUTE("x"&amp;M126,"0",""),"1",""),"2",""),"3",""),"4",""),"5",""),"6",""),"7",""),"8",""),"9",""),".",""),"E",""),"+",""),"-",""),"&lt;",""),"&gt;",""),"=","")," ","")&lt;&gt;"x",ISNUMBER(SEARCH("-",SUBSTITUTE(SUBSTITUTE("x"&amp;MID(M126,2,99),"E-","E"),"E+","E"))),ISNUMBER(SEARCH("+",SUBSTITUTE(SUBSTITUTE("x"&amp;MID(M126,2,99),"E-","E"),"E+","E"))))),"",IF(AND(OR(LEFT(M126,1)="&lt;",LEFT(M126,1)="&gt;"),IF(O126="",0,IF(ISNUMBER(AH126),AH126,NA()))&lt;0),"",IF(O126="",0,IF(ISNUMBER(AH126),AH126,NA()))/IF(LEFT(M126,1)="&lt;",2,1))),"")))</f>
        <v/>
      </c>
      <c r="H126" s="57" t="inlineStr">
        <is>
          <t>BH03-W_20260415_01</t>
        </is>
      </c>
      <c r="I126" s="92">
        <f>IF(OR(H126="",AI126=0),0,IF(INDEX(Samples[樣品重複筆數],AI126)=1,AI126,0))</f>
        <v/>
      </c>
      <c r="J126" s="92">
        <f>IF(OR(COUNTA($A126:$D126)=0,I126=0),"",IF(INDEX(Samples[介質],I126)="","",INDEX(Samples[介質],I126)))</f>
        <v/>
      </c>
      <c r="K126" s="92">
        <f>IF(OR(COUNTA($A126:$D126)=0,T126=0),"",IF(INDEX(DB_04[標準單位],T126)="","",INDEX(DB_04[標準單位],T126)))</f>
        <v/>
      </c>
      <c r="L126" s="92">
        <f>IF(COUNTA($A126:$D126)=0,"",IF(OR(C126="",K126=""),"",IF(C126=K126,1,IF(COUNTIFS(DB_06[換算鍵],C126&amp;"|"&amp;K126,DB_06[換算檢查],"OK")=1,INDEX(DB_06[乘數],MATCH(C126&amp;"|"&amp;K126,DB_06[換算鍵],0)),""))))</f>
        <v/>
      </c>
      <c r="M126" s="92">
        <f>UPPER(SUBSTITUTE(SUBSTITUTE(SUBSTITUTE(SUBSTITUTE(TRIM(B126&amp;""),"＜","&lt;"),"＞","&gt;"),"≤","&lt;="),"≥","&gt;="))</f>
        <v/>
      </c>
      <c r="N126" s="92">
        <f>IF(M126="","",IF(OR(M126="ND",M126="N.D."),"ND",IF(OR(M126="NA",M126="N/A",M126="N.A."),"NA",IF(OR(LEFT(M126,2)="&lt;=",LEFT(M126,2)="&gt;="),LEFT(M126,2),IF(OR(LEFT(M126,1)="&lt;",LEFT(M126,1)="&gt;"),LEFT(M126,1),"數值")))))</f>
        <v/>
      </c>
      <c r="O126" s="92">
        <f>IF(OR(N126="",N126="ND",N126="NA"),"",IF(N126="數值",M126,TRIM(MID(M126,LEN(N126)+1,99))))</f>
        <v/>
      </c>
      <c r="P126" s="92">
        <f>IF(O126="","",IFERROR(IF(OR(OR(ISNUMBER(SEARCH("%",O126)),ISNUMBER(SEARCH(" ",O126)),ISNUMBER(SEARCH(",",O126))),OR(SUBSTITUTE(SUBSTITUTE(SUBSTITUTE(SUBSTITUTE(SUBSTITUTE(SUBSTITUTE(SUBSTITUTE(SUBSTITUTE(SUBSTITUTE(SUBSTITUTE(SUBSTITUTE(SUBSTITUTE(SUBSTITUTE(SUBSTITUTE(SUBSTITUTE(SUBSTITUTE(SUBSTITUTE(SUBSTITUTE("x"&amp;O126,"0",""),"1",""),"2",""),"3",""),"4",""),"5",""),"6",""),"7",""),"8",""),"9",""),".",""),"E",""),"+",""),"-",""),"&lt;",""),"&gt;",""),"=","")," ","")&lt;&gt;"x",ISNUMBER(SEARCH("-",SUBSTITUTE(SUBSTITUTE("x"&amp;MID(O126,2,99),"E-","E"),"E+","E"))),ISNUMBER(SEARCH("+",SUBSTITUTE(SUBSTITUTE("x"&amp;MID(O126,2,99),"E-","E"),"E+","E"))))),"",IF(ISNUMBER(AH126),AH126,NA())),""))</f>
        <v/>
      </c>
      <c r="Q126" s="92">
        <f>IF(AND(ISNUMBER(L126),ISNUMBER(P126)),L126*P126,"")</f>
        <v/>
      </c>
      <c r="R126" s="92">
        <f>IF(OR(COUNTA($A126:$D126)=0,U126=0),"",IF(INDEX(DB_05[管制設定值],U126)="","",INDEX(DB_05[管制設定值],U126)))</f>
        <v/>
      </c>
      <c r="S126" s="92">
        <f>IF(OR(COUNTA($A126:$D126)=0,U126=0),"",IF(INDEX(DB_05[監測設定值],U126)="","",INDEX(DB_05[監測設定值],U126)))</f>
        <v/>
      </c>
      <c r="T126" s="92">
        <f>IF(COUNTA($A126:$D126)=0,"",IF(COUNTIFS(DB_04[測項鍵],V126)=1,MATCH(V126,DB_04[測項鍵],0),0))</f>
        <v/>
      </c>
      <c r="U126" s="92">
        <f>IF(COUNTA($A126:$D126)=0,"",IF(COUNTIFS(DB_05[標準鍵],W126)=1,MATCH(W126,DB_05[標準鍵],0),0))</f>
        <v/>
      </c>
      <c r="V126" s="92">
        <f>IF(OR(J126="",A126=""),"",J126&amp;"|"&amp;A126)</f>
        <v/>
      </c>
      <c r="W126" s="92">
        <f>IF(OR('07_QAQC'!$C$3="",V126=""),"",'07_QAQC'!$C$3&amp;"|"&amp;V126)</f>
        <v/>
      </c>
      <c r="X126" s="92">
        <f>IF(OR(H126="",A126=""),"",LEN(H126)&amp;":"&amp;H126&amp;LEN(A126)&amp;":"&amp;A126)</f>
        <v/>
      </c>
      <c r="Y126" s="93">
        <f>IF(COUNTA($A126:$D126)=0,"",IF(I126=0,"樣品未建或重複",IF(INDEX(Samples[樣品檢查],I126)="","OK",INDEX(Samples[樣品檢查],I126))))</f>
        <v/>
      </c>
      <c r="Z126" s="93">
        <f>IF(COUNTA($A126:$D126)=0,"",IF(B126="","缺原始值",IF(OR(B126="-",B126="--"),"無資料",IF(N126="NA","不適用",IF(N126="ND","OK",IF(NOT(ISNUMBER(P126)),"格式待核",IF(AND(N126&lt;&gt;"數值",P126&lt;0),"界限不得為負","OK")))))))</f>
        <v/>
      </c>
      <c r="AA126" s="93">
        <f>IF(COUNTA(A126:D126)=0,"",IF(OR(A126="",H126=""),"缺識別欄位",IF(IF(LEN("="&amp;SUBSTITUTE(SUBSTITUTE(SUBSTITUTE(X126,"~","~~"),"*","~*"),"?","~?"))&lt;=255,COUNTIF(Results[結果識別鍵],"="&amp;SUBSTITUTE(SUBSTITUTE(SUBSTITUTE(X126,"~","~~"),"*","~*"),"?","~?")),COUNTIFS(Results[關聯鍵],"="&amp;SUBSTITUTE(SUBSTITUTE(SUBSTITUTE(H126,"~","~~"),"*","~*"),"?","~?"),Results[分析項目],"="&amp;SUBSTITUTE(SUBSTITUTE(SUBSTITUTE(A126,"~","~~"),"*","~*"),"?","~?")))&gt;1,"同關聯鍵測項重複","OK")))</f>
        <v/>
      </c>
      <c r="AB126" s="93">
        <f>IF(COUNTA($A126:$D126)=0,"",IF(OR(C126="",K126=""),"缺單位",IF(NOT(ISNUMBER(L126)),"單位不相容",IF(L126=1,"OK","已換算"))))</f>
        <v/>
      </c>
      <c r="AC126" s="93">
        <f>IF(COUNTA($A126:$D126)=0,"",IF('07_QAQC'!$C$3="","未選比較版本",IF(U126=0,IF(COUNTIFS(DB_05[標準鍵],W126)&gt;1,"標準鍵重複","未訂此介質／測項門檻"),IF(INDEX(DB_05[版本檢查],U126)&lt;&gt;"OK","標準主檔待核",IF(INDEX(DB_05[標準單位],U126)&lt;&gt;K126,"標準單位不符",IF(INDEX(DB_05[核對狀態],U126)="停用","停用",IF(F126="","缺採樣日期",IF(OR(AND(INDEX(DB_05[生效日],U126)&lt;&gt;"",F126&lt;INDEX(DB_05[生效日],U126)),AND(INDEX(DB_05[失效日],U126)&lt;&gt;"",F126&gt;INDEX(DB_05[失效日],U126))),"日期不適用",INDEX(DB_05[核對狀態],U126)))))))))</f>
        <v/>
      </c>
      <c r="AD126" s="93">
        <f>IF(COUNTA($A126:$D126)=0,"",IF(AC126="未訂此介質／測項門檻",AC126,IF(AC126&lt;&gt;"已核對","標準待核",IF(R126="","未訂管制值",IF(NOT(ISNUMBER(L126)),"單位待核",IF(N126="ND","無法判定（ND無界限）",IF(N126="NA","不適用",IF(Z126&lt;&gt;"OK",Z126,IF(N126="數值",IF(Q126&gt;=R126,"達管制值","未達管制值"),IF(OR(N126="&lt;",N126="&lt;="),IF(OR(Q126&lt;R126,AND(N126="&lt;",Q126=R126)),"未達管制值","無法判定"),IF(OR(N126="&gt;",N126="&gt;="),IF(Q126&gt;=R126,"達管制值","無法判定"),"格式待核")))))))))))</f>
        <v/>
      </c>
      <c r="AE126" s="93">
        <f>IF(COUNTA($A126:$D126)=0,"",IF(AC126="未訂此介質／測項門檻",AC126,IF(AC126&lt;&gt;"已核對","標準待核",IF(S126="","未訂監測值",IF(NOT(ISNUMBER(L126)),"單位待核",IF(N126="ND","無法判定（ND無界限）",IF(N126="NA","不適用",IF(Z126&lt;&gt;"OK",Z126,IF(N126="數值",IF(Q126&gt;=S126,"達監測值","未達監測值"),IF(OR(N126="&lt;",N126="&lt;="),IF(OR(Q126&lt;S126,AND(N126="&lt;",Q126=S126)),"未達監測值","無法判定"),IF(OR(N126="&gt;",N126="&gt;="),IF(Q126&gt;=S126,"達監測值","無法判定"),"格式待核")))))))))))</f>
        <v/>
      </c>
      <c r="AF126" s="93">
        <f>IF(COUNTA($A126:$D126)=0,"",IF(OR(E126="",A126="",B126="",C126=""),"缺必要欄位",IF(Y126&lt;&gt;"OK","樣品資料待補",IF(T126=0,"測項未建或重複",IF(INDEX(DB_04[啟用],T126)&lt;&gt;"是","測項停用",IF(AND(Z126&lt;&gt;"OK",Z126&lt;&gt;"不適用"),Z126,IF(AND(AB126&lt;&gt;"OK",AB126&lt;&gt;"已換算"),"單位待核",IF(AA126&lt;&gt;"OK",AA126,"OK"))))))))</f>
        <v/>
      </c>
      <c r="AG126" s="93">
        <f>IF(COUNTA($A126:$D126)=0,"",IF(N126="ND","ND取0",IF(OR(N126="&lt;",N126="&lt;="),"界限除以2",IF(N126="NA","不適用",IF(OR(N126="&gt;",N126="&gt;="),"保留界限數值","保留原數值")))))</f>
        <v/>
      </c>
      <c r="AH126" s="92">
        <f>IF(O126="","",IFERROR(_xlfn.NUMBERVALUE(O126,".",","),""))</f>
        <v/>
      </c>
      <c r="AI126" s="92">
        <f>IF(H126="","",IFERROR(MATCH(H126,Samples[樣品編號],0),0))</f>
        <v/>
      </c>
    </row>
    <row r="127">
      <c r="A127" s="27" t="inlineStr">
        <is>
          <t>溶氧飽和度</t>
        </is>
      </c>
      <c r="B127" s="28" t="inlineStr">
        <is>
          <t>73</t>
        </is>
      </c>
      <c r="C127" s="27" t="inlineStr">
        <is>
          <t>%</t>
        </is>
      </c>
      <c r="D127" s="39" t="inlineStr">
        <is>
          <t>合成資料，非實測；method=field</t>
        </is>
      </c>
      <c r="E127" s="29">
        <f>IF(OR(I127="",I127=0),"",IF(INDEX(Samples[監測點],I127)="","",INDEX(Samples[監測點],I127)))</f>
        <v/>
      </c>
      <c r="F127" s="90">
        <f>IF(OR(I127="",I127=0),"",IF(INDEX(Samples[採樣日期],I127)="","",INDEX(Samples[採樣日期],I127)))</f>
        <v/>
      </c>
      <c r="G127" s="91">
        <f>IF(OR(M127="",M127="NA",M127="N/A"),"",IF(OR(M127="ND",M127="N.D."),0,IFERROR(IF(OR(OR(ISNUMBER(SEARCH("%",O127)),ISNUMBER(SEARCH(" ",O127)),ISNUMBER(SEARCH(",",O127))),OR(SUBSTITUTE(SUBSTITUTE(SUBSTITUTE(SUBSTITUTE(SUBSTITUTE(SUBSTITUTE(SUBSTITUTE(SUBSTITUTE(SUBSTITUTE(SUBSTITUTE(SUBSTITUTE(SUBSTITUTE(SUBSTITUTE(SUBSTITUTE(SUBSTITUTE(SUBSTITUTE(SUBSTITUTE(SUBSTITUTE("x"&amp;M127,"0",""),"1",""),"2",""),"3",""),"4",""),"5",""),"6",""),"7",""),"8",""),"9",""),".",""),"E",""),"+",""),"-",""),"&lt;",""),"&gt;",""),"=","")," ","")&lt;&gt;"x",ISNUMBER(SEARCH("-",SUBSTITUTE(SUBSTITUTE("x"&amp;MID(M127,2,99),"E-","E"),"E+","E"))),ISNUMBER(SEARCH("+",SUBSTITUTE(SUBSTITUTE("x"&amp;MID(M127,2,99),"E-","E"),"E+","E"))))),"",IF(AND(OR(LEFT(M127,1)="&lt;",LEFT(M127,1)="&gt;"),IF(O127="",0,IF(ISNUMBER(AH127),AH127,NA()))&lt;0),"",IF(O127="",0,IF(ISNUMBER(AH127),AH127,NA()))/IF(LEFT(M127,1)="&lt;",2,1))),"")))</f>
        <v/>
      </c>
      <c r="H127" s="57" t="inlineStr">
        <is>
          <t>BH03-W_20260415_01</t>
        </is>
      </c>
      <c r="I127" s="92">
        <f>IF(OR(H127="",AI127=0),0,IF(INDEX(Samples[樣品重複筆數],AI127)=1,AI127,0))</f>
        <v/>
      </c>
      <c r="J127" s="92">
        <f>IF(OR(COUNTA($A127:$D127)=0,I127=0),"",IF(INDEX(Samples[介質],I127)="","",INDEX(Samples[介質],I127)))</f>
        <v/>
      </c>
      <c r="K127" s="92">
        <f>IF(OR(COUNTA($A127:$D127)=0,T127=0),"",IF(INDEX(DB_04[標準單位],T127)="","",INDEX(DB_04[標準單位],T127)))</f>
        <v/>
      </c>
      <c r="L127" s="92">
        <f>IF(COUNTA($A127:$D127)=0,"",IF(OR(C127="",K127=""),"",IF(C127=K127,1,IF(COUNTIFS(DB_06[換算鍵],C127&amp;"|"&amp;K127,DB_06[換算檢查],"OK")=1,INDEX(DB_06[乘數],MATCH(C127&amp;"|"&amp;K127,DB_06[換算鍵],0)),""))))</f>
        <v/>
      </c>
      <c r="M127" s="92">
        <f>UPPER(SUBSTITUTE(SUBSTITUTE(SUBSTITUTE(SUBSTITUTE(TRIM(B127&amp;""),"＜","&lt;"),"＞","&gt;"),"≤","&lt;="),"≥","&gt;="))</f>
        <v/>
      </c>
      <c r="N127" s="92">
        <f>IF(M127="","",IF(OR(M127="ND",M127="N.D."),"ND",IF(OR(M127="NA",M127="N/A",M127="N.A."),"NA",IF(OR(LEFT(M127,2)="&lt;=",LEFT(M127,2)="&gt;="),LEFT(M127,2),IF(OR(LEFT(M127,1)="&lt;",LEFT(M127,1)="&gt;"),LEFT(M127,1),"數值")))))</f>
        <v/>
      </c>
      <c r="O127" s="92">
        <f>IF(OR(N127="",N127="ND",N127="NA"),"",IF(N127="數值",M127,TRIM(MID(M127,LEN(N127)+1,99))))</f>
        <v/>
      </c>
      <c r="P127" s="92">
        <f>IF(O127="","",IFERROR(IF(OR(OR(ISNUMBER(SEARCH("%",O127)),ISNUMBER(SEARCH(" ",O127)),ISNUMBER(SEARCH(",",O127))),OR(SUBSTITUTE(SUBSTITUTE(SUBSTITUTE(SUBSTITUTE(SUBSTITUTE(SUBSTITUTE(SUBSTITUTE(SUBSTITUTE(SUBSTITUTE(SUBSTITUTE(SUBSTITUTE(SUBSTITUTE(SUBSTITUTE(SUBSTITUTE(SUBSTITUTE(SUBSTITUTE(SUBSTITUTE(SUBSTITUTE("x"&amp;O127,"0",""),"1",""),"2",""),"3",""),"4",""),"5",""),"6",""),"7",""),"8",""),"9",""),".",""),"E",""),"+",""),"-",""),"&lt;",""),"&gt;",""),"=","")," ","")&lt;&gt;"x",ISNUMBER(SEARCH("-",SUBSTITUTE(SUBSTITUTE("x"&amp;MID(O127,2,99),"E-","E"),"E+","E"))),ISNUMBER(SEARCH("+",SUBSTITUTE(SUBSTITUTE("x"&amp;MID(O127,2,99),"E-","E"),"E+","E"))))),"",IF(ISNUMBER(AH127),AH127,NA())),""))</f>
        <v/>
      </c>
      <c r="Q127" s="92">
        <f>IF(AND(ISNUMBER(L127),ISNUMBER(P127)),L127*P127,"")</f>
        <v/>
      </c>
      <c r="R127" s="92">
        <f>IF(OR(COUNTA($A127:$D127)=0,U127=0),"",IF(INDEX(DB_05[管制設定值],U127)="","",INDEX(DB_05[管制設定值],U127)))</f>
        <v/>
      </c>
      <c r="S127" s="92">
        <f>IF(OR(COUNTA($A127:$D127)=0,U127=0),"",IF(INDEX(DB_05[監測設定值],U127)="","",INDEX(DB_05[監測設定值],U127)))</f>
        <v/>
      </c>
      <c r="T127" s="92">
        <f>IF(COUNTA($A127:$D127)=0,"",IF(COUNTIFS(DB_04[測項鍵],V127)=1,MATCH(V127,DB_04[測項鍵],0),0))</f>
        <v/>
      </c>
      <c r="U127" s="92">
        <f>IF(COUNTA($A127:$D127)=0,"",IF(COUNTIFS(DB_05[標準鍵],W127)=1,MATCH(W127,DB_05[標準鍵],0),0))</f>
        <v/>
      </c>
      <c r="V127" s="92">
        <f>IF(OR(J127="",A127=""),"",J127&amp;"|"&amp;A127)</f>
        <v/>
      </c>
      <c r="W127" s="92">
        <f>IF(OR('07_QAQC'!$C$3="",V127=""),"",'07_QAQC'!$C$3&amp;"|"&amp;V127)</f>
        <v/>
      </c>
      <c r="X127" s="92">
        <f>IF(OR(H127="",A127=""),"",LEN(H127)&amp;":"&amp;H127&amp;LEN(A127)&amp;":"&amp;A127)</f>
        <v/>
      </c>
      <c r="Y127" s="93">
        <f>IF(COUNTA($A127:$D127)=0,"",IF(I127=0,"樣品未建或重複",IF(INDEX(Samples[樣品檢查],I127)="","OK",INDEX(Samples[樣品檢查],I127))))</f>
        <v/>
      </c>
      <c r="Z127" s="93">
        <f>IF(COUNTA($A127:$D127)=0,"",IF(B127="","缺原始值",IF(OR(B127="-",B127="--"),"無資料",IF(N127="NA","不適用",IF(N127="ND","OK",IF(NOT(ISNUMBER(P127)),"格式待核",IF(AND(N127&lt;&gt;"數值",P127&lt;0),"界限不得為負","OK")))))))</f>
        <v/>
      </c>
      <c r="AA127" s="93">
        <f>IF(COUNTA(A127:D127)=0,"",IF(OR(A127="",H127=""),"缺識別欄位",IF(IF(LEN("="&amp;SUBSTITUTE(SUBSTITUTE(SUBSTITUTE(X127,"~","~~"),"*","~*"),"?","~?"))&lt;=255,COUNTIF(Results[結果識別鍵],"="&amp;SUBSTITUTE(SUBSTITUTE(SUBSTITUTE(X127,"~","~~"),"*","~*"),"?","~?")),COUNTIFS(Results[關聯鍵],"="&amp;SUBSTITUTE(SUBSTITUTE(SUBSTITUTE(H127,"~","~~"),"*","~*"),"?","~?"),Results[分析項目],"="&amp;SUBSTITUTE(SUBSTITUTE(SUBSTITUTE(A127,"~","~~"),"*","~*"),"?","~?")))&gt;1,"同關聯鍵測項重複","OK")))</f>
        <v/>
      </c>
      <c r="AB127" s="93">
        <f>IF(COUNTA($A127:$D127)=0,"",IF(OR(C127="",K127=""),"缺單位",IF(NOT(ISNUMBER(L127)),"單位不相容",IF(L127=1,"OK","已換算"))))</f>
        <v/>
      </c>
      <c r="AC127" s="93">
        <f>IF(COUNTA($A127:$D127)=0,"",IF('07_QAQC'!$C$3="","未選比較版本",IF(U127=0,IF(COUNTIFS(DB_05[標準鍵],W127)&gt;1,"標準鍵重複","未訂此介質／測項門檻"),IF(INDEX(DB_05[版本檢查],U127)&lt;&gt;"OK","標準主檔待核",IF(INDEX(DB_05[標準單位],U127)&lt;&gt;K127,"標準單位不符",IF(INDEX(DB_05[核對狀態],U127)="停用","停用",IF(F127="","缺採樣日期",IF(OR(AND(INDEX(DB_05[生效日],U127)&lt;&gt;"",F127&lt;INDEX(DB_05[生效日],U127)),AND(INDEX(DB_05[失效日],U127)&lt;&gt;"",F127&gt;INDEX(DB_05[失效日],U127))),"日期不適用",INDEX(DB_05[核對狀態],U127)))))))))</f>
        <v/>
      </c>
      <c r="AD127" s="93">
        <f>IF(COUNTA($A127:$D127)=0,"",IF(AC127="未訂此介質／測項門檻",AC127,IF(AC127&lt;&gt;"已核對","標準待核",IF(R127="","未訂管制值",IF(NOT(ISNUMBER(L127)),"單位待核",IF(N127="ND","無法判定（ND無界限）",IF(N127="NA","不適用",IF(Z127&lt;&gt;"OK",Z127,IF(N127="數值",IF(Q127&gt;=R127,"達管制值","未達管制值"),IF(OR(N127="&lt;",N127="&lt;="),IF(OR(Q127&lt;R127,AND(N127="&lt;",Q127=R127)),"未達管制值","無法判定"),IF(OR(N127="&gt;",N127="&gt;="),IF(Q127&gt;=R127,"達管制值","無法判定"),"格式待核")))))))))))</f>
        <v/>
      </c>
      <c r="AE127" s="93">
        <f>IF(COUNTA($A127:$D127)=0,"",IF(AC127="未訂此介質／測項門檻",AC127,IF(AC127&lt;&gt;"已核對","標準待核",IF(S127="","未訂監測值",IF(NOT(ISNUMBER(L127)),"單位待核",IF(N127="ND","無法判定（ND無界限）",IF(N127="NA","不適用",IF(Z127&lt;&gt;"OK",Z127,IF(N127="數值",IF(Q127&gt;=S127,"達監測值","未達監測值"),IF(OR(N127="&lt;",N127="&lt;="),IF(OR(Q127&lt;S127,AND(N127="&lt;",Q127=S127)),"未達監測值","無法判定"),IF(OR(N127="&gt;",N127="&gt;="),IF(Q127&gt;=S127,"達監測值","無法判定"),"格式待核")))))))))))</f>
        <v/>
      </c>
      <c r="AF127" s="93">
        <f>IF(COUNTA($A127:$D127)=0,"",IF(OR(E127="",A127="",B127="",C127=""),"缺必要欄位",IF(Y127&lt;&gt;"OK","樣品資料待補",IF(T127=0,"測項未建或重複",IF(INDEX(DB_04[啟用],T127)&lt;&gt;"是","測項停用",IF(AND(Z127&lt;&gt;"OK",Z127&lt;&gt;"不適用"),Z127,IF(AND(AB127&lt;&gt;"OK",AB127&lt;&gt;"已換算"),"單位待核",IF(AA127&lt;&gt;"OK",AA127,"OK"))))))))</f>
        <v/>
      </c>
      <c r="AG127" s="93">
        <f>IF(COUNTA($A127:$D127)=0,"",IF(N127="ND","ND取0",IF(OR(N127="&lt;",N127="&lt;="),"界限除以2",IF(N127="NA","不適用",IF(OR(N127="&gt;",N127="&gt;="),"保留界限數值","保留原數值")))))</f>
        <v/>
      </c>
      <c r="AH127" s="92">
        <f>IF(O127="","",IFERROR(_xlfn.NUMBERVALUE(O127,".",","),""))</f>
        <v/>
      </c>
      <c r="AI127" s="92">
        <f>IF(H127="","",IFERROR(MATCH(H127,Samples[樣品編號],0),0))</f>
        <v/>
      </c>
    </row>
    <row r="128">
      <c r="A128" s="27" t="inlineStr">
        <is>
          <t>ORP</t>
        </is>
      </c>
      <c r="B128" s="28" t="inlineStr">
        <is>
          <t>15</t>
        </is>
      </c>
      <c r="C128" s="27" t="inlineStr">
        <is>
          <t>mV</t>
        </is>
      </c>
      <c r="D128" s="39" t="inlineStr">
        <is>
          <t>合成資料，非實測；method=field; reference_electrode=Ag/AgCl; calibration=verified</t>
        </is>
      </c>
      <c r="E128" s="29">
        <f>IF(OR(I128="",I128=0),"",IF(INDEX(Samples[監測點],I128)="","",INDEX(Samples[監測點],I128)))</f>
        <v/>
      </c>
      <c r="F128" s="90">
        <f>IF(OR(I128="",I128=0),"",IF(INDEX(Samples[採樣日期],I128)="","",INDEX(Samples[採樣日期],I128)))</f>
        <v/>
      </c>
      <c r="G128" s="91">
        <f>IF(OR(M128="",M128="NA",M128="N/A"),"",IF(OR(M128="ND",M128="N.D."),0,IFERROR(IF(OR(OR(ISNUMBER(SEARCH("%",O128)),ISNUMBER(SEARCH(" ",O128)),ISNUMBER(SEARCH(",",O128))),OR(SUBSTITUTE(SUBSTITUTE(SUBSTITUTE(SUBSTITUTE(SUBSTITUTE(SUBSTITUTE(SUBSTITUTE(SUBSTITUTE(SUBSTITUTE(SUBSTITUTE(SUBSTITUTE(SUBSTITUTE(SUBSTITUTE(SUBSTITUTE(SUBSTITUTE(SUBSTITUTE(SUBSTITUTE(SUBSTITUTE("x"&amp;M128,"0",""),"1",""),"2",""),"3",""),"4",""),"5",""),"6",""),"7",""),"8",""),"9",""),".",""),"E",""),"+",""),"-",""),"&lt;",""),"&gt;",""),"=","")," ","")&lt;&gt;"x",ISNUMBER(SEARCH("-",SUBSTITUTE(SUBSTITUTE("x"&amp;MID(M128,2,99),"E-","E"),"E+","E"))),ISNUMBER(SEARCH("+",SUBSTITUTE(SUBSTITUTE("x"&amp;MID(M128,2,99),"E-","E"),"E+","E"))))),"",IF(AND(OR(LEFT(M128,1)="&lt;",LEFT(M128,1)="&gt;"),IF(O128="",0,IF(ISNUMBER(AH128),AH128,NA()))&lt;0),"",IF(O128="",0,IF(ISNUMBER(AH128),AH128,NA()))/IF(LEFT(M128,1)="&lt;",2,1))),"")))</f>
        <v/>
      </c>
      <c r="H128" s="57" t="inlineStr">
        <is>
          <t>BH03-W_20260415_01</t>
        </is>
      </c>
      <c r="I128" s="92">
        <f>IF(OR(H128="",AI128=0),0,IF(INDEX(Samples[樣品重複筆數],AI128)=1,AI128,0))</f>
        <v/>
      </c>
      <c r="J128" s="92">
        <f>IF(OR(COUNTA($A128:$D128)=0,I128=0),"",IF(INDEX(Samples[介質],I128)="","",INDEX(Samples[介質],I128)))</f>
        <v/>
      </c>
      <c r="K128" s="92">
        <f>IF(OR(COUNTA($A128:$D128)=0,T128=0),"",IF(INDEX(DB_04[標準單位],T128)="","",INDEX(DB_04[標準單位],T128)))</f>
        <v/>
      </c>
      <c r="L128" s="92">
        <f>IF(COUNTA($A128:$D128)=0,"",IF(OR(C128="",K128=""),"",IF(C128=K128,1,IF(COUNTIFS(DB_06[換算鍵],C128&amp;"|"&amp;K128,DB_06[換算檢查],"OK")=1,INDEX(DB_06[乘數],MATCH(C128&amp;"|"&amp;K128,DB_06[換算鍵],0)),""))))</f>
        <v/>
      </c>
      <c r="M128" s="92">
        <f>UPPER(SUBSTITUTE(SUBSTITUTE(SUBSTITUTE(SUBSTITUTE(TRIM(B128&amp;""),"＜","&lt;"),"＞","&gt;"),"≤","&lt;="),"≥","&gt;="))</f>
        <v/>
      </c>
      <c r="N128" s="92">
        <f>IF(M128="","",IF(OR(M128="ND",M128="N.D."),"ND",IF(OR(M128="NA",M128="N/A",M128="N.A."),"NA",IF(OR(LEFT(M128,2)="&lt;=",LEFT(M128,2)="&gt;="),LEFT(M128,2),IF(OR(LEFT(M128,1)="&lt;",LEFT(M128,1)="&gt;"),LEFT(M128,1),"數值")))))</f>
        <v/>
      </c>
      <c r="O128" s="92">
        <f>IF(OR(N128="",N128="ND",N128="NA"),"",IF(N128="數值",M128,TRIM(MID(M128,LEN(N128)+1,99))))</f>
        <v/>
      </c>
      <c r="P128" s="92">
        <f>IF(O128="","",IFERROR(IF(OR(OR(ISNUMBER(SEARCH("%",O128)),ISNUMBER(SEARCH(" ",O128)),ISNUMBER(SEARCH(",",O128))),OR(SUBSTITUTE(SUBSTITUTE(SUBSTITUTE(SUBSTITUTE(SUBSTITUTE(SUBSTITUTE(SUBSTITUTE(SUBSTITUTE(SUBSTITUTE(SUBSTITUTE(SUBSTITUTE(SUBSTITUTE(SUBSTITUTE(SUBSTITUTE(SUBSTITUTE(SUBSTITUTE(SUBSTITUTE(SUBSTITUTE("x"&amp;O128,"0",""),"1",""),"2",""),"3",""),"4",""),"5",""),"6",""),"7",""),"8",""),"9",""),".",""),"E",""),"+",""),"-",""),"&lt;",""),"&gt;",""),"=","")," ","")&lt;&gt;"x",ISNUMBER(SEARCH("-",SUBSTITUTE(SUBSTITUTE("x"&amp;MID(O128,2,99),"E-","E"),"E+","E"))),ISNUMBER(SEARCH("+",SUBSTITUTE(SUBSTITUTE("x"&amp;MID(O128,2,99),"E-","E"),"E+","E"))))),"",IF(ISNUMBER(AH128),AH128,NA())),""))</f>
        <v/>
      </c>
      <c r="Q128" s="92">
        <f>IF(AND(ISNUMBER(L128),ISNUMBER(P128)),L128*P128,"")</f>
        <v/>
      </c>
      <c r="R128" s="92">
        <f>IF(OR(COUNTA($A128:$D128)=0,U128=0),"",IF(INDEX(DB_05[管制設定值],U128)="","",INDEX(DB_05[管制設定值],U128)))</f>
        <v/>
      </c>
      <c r="S128" s="92">
        <f>IF(OR(COUNTA($A128:$D128)=0,U128=0),"",IF(INDEX(DB_05[監測設定值],U128)="","",INDEX(DB_05[監測設定值],U128)))</f>
        <v/>
      </c>
      <c r="T128" s="92">
        <f>IF(COUNTA($A128:$D128)=0,"",IF(COUNTIFS(DB_04[測項鍵],V128)=1,MATCH(V128,DB_04[測項鍵],0),0))</f>
        <v/>
      </c>
      <c r="U128" s="92">
        <f>IF(COUNTA($A128:$D128)=0,"",IF(COUNTIFS(DB_05[標準鍵],W128)=1,MATCH(W128,DB_05[標準鍵],0),0))</f>
        <v/>
      </c>
      <c r="V128" s="92">
        <f>IF(OR(J128="",A128=""),"",J128&amp;"|"&amp;A128)</f>
        <v/>
      </c>
      <c r="W128" s="92">
        <f>IF(OR('07_QAQC'!$C$3="",V128=""),"",'07_QAQC'!$C$3&amp;"|"&amp;V128)</f>
        <v/>
      </c>
      <c r="X128" s="92">
        <f>IF(OR(H128="",A128=""),"",LEN(H128)&amp;":"&amp;H128&amp;LEN(A128)&amp;":"&amp;A128)</f>
        <v/>
      </c>
      <c r="Y128" s="93">
        <f>IF(COUNTA($A128:$D128)=0,"",IF(I128=0,"樣品未建或重複",IF(INDEX(Samples[樣品檢查],I128)="","OK",INDEX(Samples[樣品檢查],I128))))</f>
        <v/>
      </c>
      <c r="Z128" s="93">
        <f>IF(COUNTA($A128:$D128)=0,"",IF(B128="","缺原始值",IF(OR(B128="-",B128="--"),"無資料",IF(N128="NA","不適用",IF(N128="ND","OK",IF(NOT(ISNUMBER(P128)),"格式待核",IF(AND(N128&lt;&gt;"數值",P128&lt;0),"界限不得為負","OK")))))))</f>
        <v/>
      </c>
      <c r="AA128" s="93">
        <f>IF(COUNTA(A128:D128)=0,"",IF(OR(A128="",H128=""),"缺識別欄位",IF(IF(LEN("="&amp;SUBSTITUTE(SUBSTITUTE(SUBSTITUTE(X128,"~","~~"),"*","~*"),"?","~?"))&lt;=255,COUNTIF(Results[結果識別鍵],"="&amp;SUBSTITUTE(SUBSTITUTE(SUBSTITUTE(X128,"~","~~"),"*","~*"),"?","~?")),COUNTIFS(Results[關聯鍵],"="&amp;SUBSTITUTE(SUBSTITUTE(SUBSTITUTE(H128,"~","~~"),"*","~*"),"?","~?"),Results[分析項目],"="&amp;SUBSTITUTE(SUBSTITUTE(SUBSTITUTE(A128,"~","~~"),"*","~*"),"?","~?")))&gt;1,"同關聯鍵測項重複","OK")))</f>
        <v/>
      </c>
      <c r="AB128" s="93">
        <f>IF(COUNTA($A128:$D128)=0,"",IF(OR(C128="",K128=""),"缺單位",IF(NOT(ISNUMBER(L128)),"單位不相容",IF(L128=1,"OK","已換算"))))</f>
        <v/>
      </c>
      <c r="AC128" s="93">
        <f>IF(COUNTA($A128:$D128)=0,"",IF('07_QAQC'!$C$3="","未選比較版本",IF(U128=0,IF(COUNTIFS(DB_05[標準鍵],W128)&gt;1,"標準鍵重複","未訂此介質／測項門檻"),IF(INDEX(DB_05[版本檢查],U128)&lt;&gt;"OK","標準主檔待核",IF(INDEX(DB_05[標準單位],U128)&lt;&gt;K128,"標準單位不符",IF(INDEX(DB_05[核對狀態],U128)="停用","停用",IF(F128="","缺採樣日期",IF(OR(AND(INDEX(DB_05[生效日],U128)&lt;&gt;"",F128&lt;INDEX(DB_05[生效日],U128)),AND(INDEX(DB_05[失效日],U128)&lt;&gt;"",F128&gt;INDEX(DB_05[失效日],U128))),"日期不適用",INDEX(DB_05[核對狀態],U128)))))))))</f>
        <v/>
      </c>
      <c r="AD128" s="93">
        <f>IF(COUNTA($A128:$D128)=0,"",IF(AC128="未訂此介質／測項門檻",AC128,IF(AC128&lt;&gt;"已核對","標準待核",IF(R128="","未訂管制值",IF(NOT(ISNUMBER(L128)),"單位待核",IF(N128="ND","無法判定（ND無界限）",IF(N128="NA","不適用",IF(Z128&lt;&gt;"OK",Z128,IF(N128="數值",IF(Q128&gt;=R128,"達管制值","未達管制值"),IF(OR(N128="&lt;",N128="&lt;="),IF(OR(Q128&lt;R128,AND(N128="&lt;",Q128=R128)),"未達管制值","無法判定"),IF(OR(N128="&gt;",N128="&gt;="),IF(Q128&gt;=R128,"達管制值","無法判定"),"格式待核")))))))))))</f>
        <v/>
      </c>
      <c r="AE128" s="93">
        <f>IF(COUNTA($A128:$D128)=0,"",IF(AC128="未訂此介質／測項門檻",AC128,IF(AC128&lt;&gt;"已核對","標準待核",IF(S128="","未訂監測值",IF(NOT(ISNUMBER(L128)),"單位待核",IF(N128="ND","無法判定（ND無界限）",IF(N128="NA","不適用",IF(Z128&lt;&gt;"OK",Z128,IF(N128="數值",IF(Q128&gt;=S128,"達監測值","未達監測值"),IF(OR(N128="&lt;",N128="&lt;="),IF(OR(Q128&lt;S128,AND(N128="&lt;",Q128=S128)),"未達監測值","無法判定"),IF(OR(N128="&gt;",N128="&gt;="),IF(Q128&gt;=S128,"達監測值","無法判定"),"格式待核")))))))))))</f>
        <v/>
      </c>
      <c r="AF128" s="93">
        <f>IF(COUNTA($A128:$D128)=0,"",IF(OR(E128="",A128="",B128="",C128=""),"缺必要欄位",IF(Y128&lt;&gt;"OK","樣品資料待補",IF(T128=0,"測項未建或重複",IF(INDEX(DB_04[啟用],T128)&lt;&gt;"是","測項停用",IF(AND(Z128&lt;&gt;"OK",Z128&lt;&gt;"不適用"),Z128,IF(AND(AB128&lt;&gt;"OK",AB128&lt;&gt;"已換算"),"單位待核",IF(AA128&lt;&gt;"OK",AA128,"OK"))))))))</f>
        <v/>
      </c>
      <c r="AG128" s="93">
        <f>IF(COUNTA($A128:$D128)=0,"",IF(N128="ND","ND取0",IF(OR(N128="&lt;",N128="&lt;="),"界限除以2",IF(N128="NA","不適用",IF(OR(N128="&gt;",N128="&gt;="),"保留界限數值","保留原數值")))))</f>
        <v/>
      </c>
      <c r="AH128" s="92">
        <f>IF(O128="","",IFERROR(_xlfn.NUMBERVALUE(O128,".",","),""))</f>
        <v/>
      </c>
      <c r="AI128" s="92">
        <f>IF(H128="","",IFERROR(MATCH(H128,Samples[樣品編號],0),0))</f>
        <v/>
      </c>
    </row>
    <row r="129">
      <c r="A129" s="27" t="inlineStr">
        <is>
          <t>總有機碳</t>
        </is>
      </c>
      <c r="B129" s="28" t="inlineStr">
        <is>
          <t>2.7</t>
        </is>
      </c>
      <c r="C129" s="27" t="inlineStr">
        <is>
          <t>mg/L</t>
        </is>
      </c>
      <c r="D129" s="39" t="inlineStr">
        <is>
          <t>合成資料，非實測；method=lab</t>
        </is>
      </c>
      <c r="E129" s="29">
        <f>IF(OR(I129="",I129=0),"",IF(INDEX(Samples[監測點],I129)="","",INDEX(Samples[監測點],I129)))</f>
        <v/>
      </c>
      <c r="F129" s="90">
        <f>IF(OR(I129="",I129=0),"",IF(INDEX(Samples[採樣日期],I129)="","",INDEX(Samples[採樣日期],I129)))</f>
        <v/>
      </c>
      <c r="G129" s="91">
        <f>IF(OR(M129="",M129="NA",M129="N/A"),"",IF(OR(M129="ND",M129="N.D."),0,IFERROR(IF(OR(OR(ISNUMBER(SEARCH("%",O129)),ISNUMBER(SEARCH(" ",O129)),ISNUMBER(SEARCH(",",O129))),OR(SUBSTITUTE(SUBSTITUTE(SUBSTITUTE(SUBSTITUTE(SUBSTITUTE(SUBSTITUTE(SUBSTITUTE(SUBSTITUTE(SUBSTITUTE(SUBSTITUTE(SUBSTITUTE(SUBSTITUTE(SUBSTITUTE(SUBSTITUTE(SUBSTITUTE(SUBSTITUTE(SUBSTITUTE(SUBSTITUTE("x"&amp;M129,"0",""),"1",""),"2",""),"3",""),"4",""),"5",""),"6",""),"7",""),"8",""),"9",""),".",""),"E",""),"+",""),"-",""),"&lt;",""),"&gt;",""),"=","")," ","")&lt;&gt;"x",ISNUMBER(SEARCH("-",SUBSTITUTE(SUBSTITUTE("x"&amp;MID(M129,2,99),"E-","E"),"E+","E"))),ISNUMBER(SEARCH("+",SUBSTITUTE(SUBSTITUTE("x"&amp;MID(M129,2,99),"E-","E"),"E+","E"))))),"",IF(AND(OR(LEFT(M129,1)="&lt;",LEFT(M129,1)="&gt;"),IF(O129="",0,IF(ISNUMBER(AH129),AH129,NA()))&lt;0),"",IF(O129="",0,IF(ISNUMBER(AH129),AH129,NA()))/IF(LEFT(M129,1)="&lt;",2,1))),"")))</f>
        <v/>
      </c>
      <c r="H129" s="57" t="inlineStr">
        <is>
          <t>BH03-W_20260415_01</t>
        </is>
      </c>
      <c r="I129" s="92">
        <f>IF(OR(H129="",AI129=0),0,IF(INDEX(Samples[樣品重複筆數],AI129)=1,AI129,0))</f>
        <v/>
      </c>
      <c r="J129" s="92">
        <f>IF(OR(COUNTA($A129:$D129)=0,I129=0),"",IF(INDEX(Samples[介質],I129)="","",INDEX(Samples[介質],I129)))</f>
        <v/>
      </c>
      <c r="K129" s="92">
        <f>IF(OR(COUNTA($A129:$D129)=0,T129=0),"",IF(INDEX(DB_04[標準單位],T129)="","",INDEX(DB_04[標準單位],T129)))</f>
        <v/>
      </c>
      <c r="L129" s="92">
        <f>IF(COUNTA($A129:$D129)=0,"",IF(OR(C129="",K129=""),"",IF(C129=K129,1,IF(COUNTIFS(DB_06[換算鍵],C129&amp;"|"&amp;K129,DB_06[換算檢查],"OK")=1,INDEX(DB_06[乘數],MATCH(C129&amp;"|"&amp;K129,DB_06[換算鍵],0)),""))))</f>
        <v/>
      </c>
      <c r="M129" s="92">
        <f>UPPER(SUBSTITUTE(SUBSTITUTE(SUBSTITUTE(SUBSTITUTE(TRIM(B129&amp;""),"＜","&lt;"),"＞","&gt;"),"≤","&lt;="),"≥","&gt;="))</f>
        <v/>
      </c>
      <c r="N129" s="92">
        <f>IF(M129="","",IF(OR(M129="ND",M129="N.D."),"ND",IF(OR(M129="NA",M129="N/A",M129="N.A."),"NA",IF(OR(LEFT(M129,2)="&lt;=",LEFT(M129,2)="&gt;="),LEFT(M129,2),IF(OR(LEFT(M129,1)="&lt;",LEFT(M129,1)="&gt;"),LEFT(M129,1),"數值")))))</f>
        <v/>
      </c>
      <c r="O129" s="92">
        <f>IF(OR(N129="",N129="ND",N129="NA"),"",IF(N129="數值",M129,TRIM(MID(M129,LEN(N129)+1,99))))</f>
        <v/>
      </c>
      <c r="P129" s="92">
        <f>IF(O129="","",IFERROR(IF(OR(OR(ISNUMBER(SEARCH("%",O129)),ISNUMBER(SEARCH(" ",O129)),ISNUMBER(SEARCH(",",O129))),OR(SUBSTITUTE(SUBSTITUTE(SUBSTITUTE(SUBSTITUTE(SUBSTITUTE(SUBSTITUTE(SUBSTITUTE(SUBSTITUTE(SUBSTITUTE(SUBSTITUTE(SUBSTITUTE(SUBSTITUTE(SUBSTITUTE(SUBSTITUTE(SUBSTITUTE(SUBSTITUTE(SUBSTITUTE(SUBSTITUTE("x"&amp;O129,"0",""),"1",""),"2",""),"3",""),"4",""),"5",""),"6",""),"7",""),"8",""),"9",""),".",""),"E",""),"+",""),"-",""),"&lt;",""),"&gt;",""),"=","")," ","")&lt;&gt;"x",ISNUMBER(SEARCH("-",SUBSTITUTE(SUBSTITUTE("x"&amp;MID(O129,2,99),"E-","E"),"E+","E"))),ISNUMBER(SEARCH("+",SUBSTITUTE(SUBSTITUTE("x"&amp;MID(O129,2,99),"E-","E"),"E+","E"))))),"",IF(ISNUMBER(AH129),AH129,NA())),""))</f>
        <v/>
      </c>
      <c r="Q129" s="92">
        <f>IF(AND(ISNUMBER(L129),ISNUMBER(P129)),L129*P129,"")</f>
        <v/>
      </c>
      <c r="R129" s="92">
        <f>IF(OR(COUNTA($A129:$D129)=0,U129=0),"",IF(INDEX(DB_05[管制設定值],U129)="","",INDEX(DB_05[管制設定值],U129)))</f>
        <v/>
      </c>
      <c r="S129" s="92">
        <f>IF(OR(COUNTA($A129:$D129)=0,U129=0),"",IF(INDEX(DB_05[監測設定值],U129)="","",INDEX(DB_05[監測設定值],U129)))</f>
        <v/>
      </c>
      <c r="T129" s="92">
        <f>IF(COUNTA($A129:$D129)=0,"",IF(COUNTIFS(DB_04[測項鍵],V129)=1,MATCH(V129,DB_04[測項鍵],0),0))</f>
        <v/>
      </c>
      <c r="U129" s="92">
        <f>IF(COUNTA($A129:$D129)=0,"",IF(COUNTIFS(DB_05[標準鍵],W129)=1,MATCH(W129,DB_05[標準鍵],0),0))</f>
        <v/>
      </c>
      <c r="V129" s="92">
        <f>IF(OR(J129="",A129=""),"",J129&amp;"|"&amp;A129)</f>
        <v/>
      </c>
      <c r="W129" s="92">
        <f>IF(OR('07_QAQC'!$C$3="",V129=""),"",'07_QAQC'!$C$3&amp;"|"&amp;V129)</f>
        <v/>
      </c>
      <c r="X129" s="92">
        <f>IF(OR(H129="",A129=""),"",LEN(H129)&amp;":"&amp;H129&amp;LEN(A129)&amp;":"&amp;A129)</f>
        <v/>
      </c>
      <c r="Y129" s="93">
        <f>IF(COUNTA($A129:$D129)=0,"",IF(I129=0,"樣品未建或重複",IF(INDEX(Samples[樣品檢查],I129)="","OK",INDEX(Samples[樣品檢查],I129))))</f>
        <v/>
      </c>
      <c r="Z129" s="93">
        <f>IF(COUNTA($A129:$D129)=0,"",IF(B129="","缺原始值",IF(OR(B129="-",B129="--"),"無資料",IF(N129="NA","不適用",IF(N129="ND","OK",IF(NOT(ISNUMBER(P129)),"格式待核",IF(AND(N129&lt;&gt;"數值",P129&lt;0),"界限不得為負","OK")))))))</f>
        <v/>
      </c>
      <c r="AA129" s="93">
        <f>IF(COUNTA(A129:D129)=0,"",IF(OR(A129="",H129=""),"缺識別欄位",IF(IF(LEN("="&amp;SUBSTITUTE(SUBSTITUTE(SUBSTITUTE(X129,"~","~~"),"*","~*"),"?","~?"))&lt;=255,COUNTIF(Results[結果識別鍵],"="&amp;SUBSTITUTE(SUBSTITUTE(SUBSTITUTE(X129,"~","~~"),"*","~*"),"?","~?")),COUNTIFS(Results[關聯鍵],"="&amp;SUBSTITUTE(SUBSTITUTE(SUBSTITUTE(H129,"~","~~"),"*","~*"),"?","~?"),Results[分析項目],"="&amp;SUBSTITUTE(SUBSTITUTE(SUBSTITUTE(A129,"~","~~"),"*","~*"),"?","~?")))&gt;1,"同關聯鍵測項重複","OK")))</f>
        <v/>
      </c>
      <c r="AB129" s="93">
        <f>IF(COUNTA($A129:$D129)=0,"",IF(OR(C129="",K129=""),"缺單位",IF(NOT(ISNUMBER(L129)),"單位不相容",IF(L129=1,"OK","已換算"))))</f>
        <v/>
      </c>
      <c r="AC129" s="93">
        <f>IF(COUNTA($A129:$D129)=0,"",IF('07_QAQC'!$C$3="","未選比較版本",IF(U129=0,IF(COUNTIFS(DB_05[標準鍵],W129)&gt;1,"標準鍵重複","未訂此介質／測項門檻"),IF(INDEX(DB_05[版本檢查],U129)&lt;&gt;"OK","標準主檔待核",IF(INDEX(DB_05[標準單位],U129)&lt;&gt;K129,"標準單位不符",IF(INDEX(DB_05[核對狀態],U129)="停用","停用",IF(F129="","缺採樣日期",IF(OR(AND(INDEX(DB_05[生效日],U129)&lt;&gt;"",F129&lt;INDEX(DB_05[生效日],U129)),AND(INDEX(DB_05[失效日],U129)&lt;&gt;"",F129&gt;INDEX(DB_05[失效日],U129))),"日期不適用",INDEX(DB_05[核對狀態],U129)))))))))</f>
        <v/>
      </c>
      <c r="AD129" s="93">
        <f>IF(COUNTA($A129:$D129)=0,"",IF(AC129="未訂此介質／測項門檻",AC129,IF(AC129&lt;&gt;"已核對","標準待核",IF(R129="","未訂管制值",IF(NOT(ISNUMBER(L129)),"單位待核",IF(N129="ND","無法判定（ND無界限）",IF(N129="NA","不適用",IF(Z129&lt;&gt;"OK",Z129,IF(N129="數值",IF(Q129&gt;=R129,"達管制值","未達管制值"),IF(OR(N129="&lt;",N129="&lt;="),IF(OR(Q129&lt;R129,AND(N129="&lt;",Q129=R129)),"未達管制值","無法判定"),IF(OR(N129="&gt;",N129="&gt;="),IF(Q129&gt;=R129,"達管制值","無法判定"),"格式待核")))))))))))</f>
        <v/>
      </c>
      <c r="AE129" s="93">
        <f>IF(COUNTA($A129:$D129)=0,"",IF(AC129="未訂此介質／測項門檻",AC129,IF(AC129&lt;&gt;"已核對","標準待核",IF(S129="","未訂監測值",IF(NOT(ISNUMBER(L129)),"單位待核",IF(N129="ND","無法判定（ND無界限）",IF(N129="NA","不適用",IF(Z129&lt;&gt;"OK",Z129,IF(N129="數值",IF(Q129&gt;=S129,"達監測值","未達監測值"),IF(OR(N129="&lt;",N129="&lt;="),IF(OR(Q129&lt;S129,AND(N129="&lt;",Q129=S129)),"未達監測值","無法判定"),IF(OR(N129="&gt;",N129="&gt;="),IF(Q129&gt;=S129,"達監測值","無法判定"),"格式待核")))))))))))</f>
        <v/>
      </c>
      <c r="AF129" s="93">
        <f>IF(COUNTA($A129:$D129)=0,"",IF(OR(E129="",A129="",B129="",C129=""),"缺必要欄位",IF(Y129&lt;&gt;"OK","樣品資料待補",IF(T129=0,"測項未建或重複",IF(INDEX(DB_04[啟用],T129)&lt;&gt;"是","測項停用",IF(AND(Z129&lt;&gt;"OK",Z129&lt;&gt;"不適用"),Z129,IF(AND(AB129&lt;&gt;"OK",AB129&lt;&gt;"已換算"),"單位待核",IF(AA129&lt;&gt;"OK",AA129,"OK"))))))))</f>
        <v/>
      </c>
      <c r="AG129" s="93">
        <f>IF(COUNTA($A129:$D129)=0,"",IF(N129="ND","ND取0",IF(OR(N129="&lt;",N129="&lt;="),"界限除以2",IF(N129="NA","不適用",IF(OR(N129="&gt;",N129="&gt;="),"保留界限數值","保留原數值")))))</f>
        <v/>
      </c>
      <c r="AH129" s="92">
        <f>IF(O129="","",IFERROR(_xlfn.NUMBERVALUE(O129,".",","),""))</f>
        <v/>
      </c>
      <c r="AI129" s="92">
        <f>IF(H129="","",IFERROR(MATCH(H129,Samples[樣品編號],0),0))</f>
        <v/>
      </c>
    </row>
    <row r="130">
      <c r="A130" s="27" t="inlineStr">
        <is>
          <t>鋅</t>
        </is>
      </c>
      <c r="B130" s="28" t="inlineStr">
        <is>
          <t>134</t>
        </is>
      </c>
      <c r="C130" s="27" t="inlineStr">
        <is>
          <t>mg/kg</t>
        </is>
      </c>
      <c r="D130" s="39" t="inlineStr">
        <is>
          <t>合成資料，非實測；method=XRF; basis=dry</t>
        </is>
      </c>
      <c r="E130" s="29">
        <f>IF(OR(I130="",I130=0),"",IF(INDEX(Samples[監測點],I130)="","",INDEX(Samples[監測點],I130)))</f>
        <v/>
      </c>
      <c r="F130" s="90">
        <f>IF(OR(I130="",I130=0),"",IF(INDEX(Samples[採樣日期],I130)="","",INDEX(Samples[採樣日期],I130)))</f>
        <v/>
      </c>
      <c r="G130" s="91">
        <f>IF(OR(M130="",M130="NA",M130="N/A"),"",IF(OR(M130="ND",M130="N.D."),0,IFERROR(IF(OR(OR(ISNUMBER(SEARCH("%",O130)),ISNUMBER(SEARCH(" ",O130)),ISNUMBER(SEARCH(",",O130))),OR(SUBSTITUTE(SUBSTITUTE(SUBSTITUTE(SUBSTITUTE(SUBSTITUTE(SUBSTITUTE(SUBSTITUTE(SUBSTITUTE(SUBSTITUTE(SUBSTITUTE(SUBSTITUTE(SUBSTITUTE(SUBSTITUTE(SUBSTITUTE(SUBSTITUTE(SUBSTITUTE(SUBSTITUTE(SUBSTITUTE("x"&amp;M130,"0",""),"1",""),"2",""),"3",""),"4",""),"5",""),"6",""),"7",""),"8",""),"9",""),".",""),"E",""),"+",""),"-",""),"&lt;",""),"&gt;",""),"=","")," ","")&lt;&gt;"x",ISNUMBER(SEARCH("-",SUBSTITUTE(SUBSTITUTE("x"&amp;MID(M130,2,99),"E-","E"),"E+","E"))),ISNUMBER(SEARCH("+",SUBSTITUTE(SUBSTITUTE("x"&amp;MID(M130,2,99),"E-","E"),"E+","E"))))),"",IF(AND(OR(LEFT(M130,1)="&lt;",LEFT(M130,1)="&gt;"),IF(O130="",0,IF(ISNUMBER(AH130),AH130,NA()))&lt;0),"",IF(O130="",0,IF(ISNUMBER(AH130),AH130,NA()))/IF(LEFT(M130,1)="&lt;",2,1))),"")))</f>
        <v/>
      </c>
      <c r="H130" s="57" t="inlineStr">
        <is>
          <t>BH03-S_20260415_02</t>
        </is>
      </c>
      <c r="I130" s="92">
        <f>IF(OR(H130="",AI130=0),0,IF(INDEX(Samples[樣品重複筆數],AI130)=1,AI130,0))</f>
        <v/>
      </c>
      <c r="J130" s="92">
        <f>IF(OR(COUNTA($A130:$D130)=0,I130=0),"",IF(INDEX(Samples[介質],I130)="","",INDEX(Samples[介質],I130)))</f>
        <v/>
      </c>
      <c r="K130" s="92">
        <f>IF(OR(COUNTA($A130:$D130)=0,T130=0),"",IF(INDEX(DB_04[標準單位],T130)="","",INDEX(DB_04[標準單位],T130)))</f>
        <v/>
      </c>
      <c r="L130" s="92">
        <f>IF(COUNTA($A130:$D130)=0,"",IF(OR(C130="",K130=""),"",IF(C130=K130,1,IF(COUNTIFS(DB_06[換算鍵],C130&amp;"|"&amp;K130,DB_06[換算檢查],"OK")=1,INDEX(DB_06[乘數],MATCH(C130&amp;"|"&amp;K130,DB_06[換算鍵],0)),""))))</f>
        <v/>
      </c>
      <c r="M130" s="92">
        <f>UPPER(SUBSTITUTE(SUBSTITUTE(SUBSTITUTE(SUBSTITUTE(TRIM(B130&amp;""),"＜","&lt;"),"＞","&gt;"),"≤","&lt;="),"≥","&gt;="))</f>
        <v/>
      </c>
      <c r="N130" s="92">
        <f>IF(M130="","",IF(OR(M130="ND",M130="N.D."),"ND",IF(OR(M130="NA",M130="N/A",M130="N.A."),"NA",IF(OR(LEFT(M130,2)="&lt;=",LEFT(M130,2)="&gt;="),LEFT(M130,2),IF(OR(LEFT(M130,1)="&lt;",LEFT(M130,1)="&gt;"),LEFT(M130,1),"數值")))))</f>
        <v/>
      </c>
      <c r="O130" s="92">
        <f>IF(OR(N130="",N130="ND",N130="NA"),"",IF(N130="數值",M130,TRIM(MID(M130,LEN(N130)+1,99))))</f>
        <v/>
      </c>
      <c r="P130" s="92">
        <f>IF(O130="","",IFERROR(IF(OR(OR(ISNUMBER(SEARCH("%",O130)),ISNUMBER(SEARCH(" ",O130)),ISNUMBER(SEARCH(",",O130))),OR(SUBSTITUTE(SUBSTITUTE(SUBSTITUTE(SUBSTITUTE(SUBSTITUTE(SUBSTITUTE(SUBSTITUTE(SUBSTITUTE(SUBSTITUTE(SUBSTITUTE(SUBSTITUTE(SUBSTITUTE(SUBSTITUTE(SUBSTITUTE(SUBSTITUTE(SUBSTITUTE(SUBSTITUTE(SUBSTITUTE("x"&amp;O130,"0",""),"1",""),"2",""),"3",""),"4",""),"5",""),"6",""),"7",""),"8",""),"9",""),".",""),"E",""),"+",""),"-",""),"&lt;",""),"&gt;",""),"=","")," ","")&lt;&gt;"x",ISNUMBER(SEARCH("-",SUBSTITUTE(SUBSTITUTE("x"&amp;MID(O130,2,99),"E-","E"),"E+","E"))),ISNUMBER(SEARCH("+",SUBSTITUTE(SUBSTITUTE("x"&amp;MID(O130,2,99),"E-","E"),"E+","E"))))),"",IF(ISNUMBER(AH130),AH130,NA())),""))</f>
        <v/>
      </c>
      <c r="Q130" s="92">
        <f>IF(AND(ISNUMBER(L130),ISNUMBER(P130)),L130*P130,"")</f>
        <v/>
      </c>
      <c r="R130" s="92">
        <f>IF(OR(COUNTA($A130:$D130)=0,U130=0),"",IF(INDEX(DB_05[管制設定值],U130)="","",INDEX(DB_05[管制設定值],U130)))</f>
        <v/>
      </c>
      <c r="S130" s="92">
        <f>IF(OR(COUNTA($A130:$D130)=0,U130=0),"",IF(INDEX(DB_05[監測設定值],U130)="","",INDEX(DB_05[監測設定值],U130)))</f>
        <v/>
      </c>
      <c r="T130" s="92">
        <f>IF(COUNTA($A130:$D130)=0,"",IF(COUNTIFS(DB_04[測項鍵],V130)=1,MATCH(V130,DB_04[測項鍵],0),0))</f>
        <v/>
      </c>
      <c r="U130" s="92">
        <f>IF(COUNTA($A130:$D130)=0,"",IF(COUNTIFS(DB_05[標準鍵],W130)=1,MATCH(W130,DB_05[標準鍵],0),0))</f>
        <v/>
      </c>
      <c r="V130" s="92">
        <f>IF(OR(J130="",A130=""),"",J130&amp;"|"&amp;A130)</f>
        <v/>
      </c>
      <c r="W130" s="92">
        <f>IF(OR('07_QAQC'!$C$3="",V130=""),"",'07_QAQC'!$C$3&amp;"|"&amp;V130)</f>
        <v/>
      </c>
      <c r="X130" s="92">
        <f>IF(OR(H130="",A130=""),"",LEN(H130)&amp;":"&amp;H130&amp;LEN(A130)&amp;":"&amp;A130)</f>
        <v/>
      </c>
      <c r="Y130" s="93">
        <f>IF(COUNTA($A130:$D130)=0,"",IF(I130=0,"樣品未建或重複",IF(INDEX(Samples[樣品檢查],I130)="","OK",INDEX(Samples[樣品檢查],I130))))</f>
        <v/>
      </c>
      <c r="Z130" s="93">
        <f>IF(COUNTA($A130:$D130)=0,"",IF(B130="","缺原始值",IF(OR(B130="-",B130="--"),"無資料",IF(N130="NA","不適用",IF(N130="ND","OK",IF(NOT(ISNUMBER(P130)),"格式待核",IF(AND(N130&lt;&gt;"數值",P130&lt;0),"界限不得為負","OK")))))))</f>
        <v/>
      </c>
      <c r="AA130" s="93">
        <f>IF(COUNTA(A130:D130)=0,"",IF(OR(A130="",H130=""),"缺識別欄位",IF(IF(LEN("="&amp;SUBSTITUTE(SUBSTITUTE(SUBSTITUTE(X130,"~","~~"),"*","~*"),"?","~?"))&lt;=255,COUNTIF(Results[結果識別鍵],"="&amp;SUBSTITUTE(SUBSTITUTE(SUBSTITUTE(X130,"~","~~"),"*","~*"),"?","~?")),COUNTIFS(Results[關聯鍵],"="&amp;SUBSTITUTE(SUBSTITUTE(SUBSTITUTE(H130,"~","~~"),"*","~*"),"?","~?"),Results[分析項目],"="&amp;SUBSTITUTE(SUBSTITUTE(SUBSTITUTE(A130,"~","~~"),"*","~*"),"?","~?")))&gt;1,"同關聯鍵測項重複","OK")))</f>
        <v/>
      </c>
      <c r="AB130" s="93">
        <f>IF(COUNTA($A130:$D130)=0,"",IF(OR(C130="",K130=""),"缺單位",IF(NOT(ISNUMBER(L130)),"單位不相容",IF(L130=1,"OK","已換算"))))</f>
        <v/>
      </c>
      <c r="AC130" s="93">
        <f>IF(COUNTA($A130:$D130)=0,"",IF('07_QAQC'!$C$3="","未選比較版本",IF(U130=0,IF(COUNTIFS(DB_05[標準鍵],W130)&gt;1,"標準鍵重複","未訂此介質／測項門檻"),IF(INDEX(DB_05[版本檢查],U130)&lt;&gt;"OK","標準主檔待核",IF(INDEX(DB_05[標準單位],U130)&lt;&gt;K130,"標準單位不符",IF(INDEX(DB_05[核對狀態],U130)="停用","停用",IF(F130="","缺採樣日期",IF(OR(AND(INDEX(DB_05[生效日],U130)&lt;&gt;"",F130&lt;INDEX(DB_05[生效日],U130)),AND(INDEX(DB_05[失效日],U130)&lt;&gt;"",F130&gt;INDEX(DB_05[失效日],U130))),"日期不適用",INDEX(DB_05[核對狀態],U130)))))))))</f>
        <v/>
      </c>
      <c r="AD130" s="93">
        <f>IF(COUNTA($A130:$D130)=0,"",IF(AC130="未訂此介質／測項門檻",AC130,IF(AC130&lt;&gt;"已核對","標準待核",IF(R130="","未訂管制值",IF(NOT(ISNUMBER(L130)),"單位待核",IF(N130="ND","無法判定（ND無界限）",IF(N130="NA","不適用",IF(Z130&lt;&gt;"OK",Z130,IF(N130="數值",IF(Q130&gt;=R130,"達管制值","未達管制值"),IF(OR(N130="&lt;",N130="&lt;="),IF(OR(Q130&lt;R130,AND(N130="&lt;",Q130=R130)),"未達管制值","無法判定"),IF(OR(N130="&gt;",N130="&gt;="),IF(Q130&gt;=R130,"達管制值","無法判定"),"格式待核")))))))))))</f>
        <v/>
      </c>
      <c r="AE130" s="93">
        <f>IF(COUNTA($A130:$D130)=0,"",IF(AC130="未訂此介質／測項門檻",AC130,IF(AC130&lt;&gt;"已核對","標準待核",IF(S130="","未訂監測值",IF(NOT(ISNUMBER(L130)),"單位待核",IF(N130="ND","無法判定（ND無界限）",IF(N130="NA","不適用",IF(Z130&lt;&gt;"OK",Z130,IF(N130="數值",IF(Q130&gt;=S130,"達監測值","未達監測值"),IF(OR(N130="&lt;",N130="&lt;="),IF(OR(Q130&lt;S130,AND(N130="&lt;",Q130=S130)),"未達監測值","無法判定"),IF(OR(N130="&gt;",N130="&gt;="),IF(Q130&gt;=S130,"達監測值","無法判定"),"格式待核")))))))))))</f>
        <v/>
      </c>
      <c r="AF130" s="93">
        <f>IF(COUNTA($A130:$D130)=0,"",IF(OR(E130="",A130="",B130="",C130=""),"缺必要欄位",IF(Y130&lt;&gt;"OK","樣品資料待補",IF(T130=0,"測項未建或重複",IF(INDEX(DB_04[啟用],T130)&lt;&gt;"是","測項停用",IF(AND(Z130&lt;&gt;"OK",Z130&lt;&gt;"不適用"),Z130,IF(AND(AB130&lt;&gt;"OK",AB130&lt;&gt;"已換算"),"單位待核",IF(AA130&lt;&gt;"OK",AA130,"OK"))))))))</f>
        <v/>
      </c>
      <c r="AG130" s="93">
        <f>IF(COUNTA($A130:$D130)=0,"",IF(N130="ND","ND取0",IF(OR(N130="&lt;",N130="&lt;="),"界限除以2",IF(N130="NA","不適用",IF(OR(N130="&gt;",N130="&gt;="),"保留界限數值","保留原數值")))))</f>
        <v/>
      </c>
      <c r="AH130" s="92">
        <f>IF(O130="","",IFERROR(_xlfn.NUMBERVALUE(O130,".",","),""))</f>
        <v/>
      </c>
      <c r="AI130" s="92">
        <f>IF(H130="","",IFERROR(MATCH(H130,Samples[樣品編號],0),0))</f>
        <v/>
      </c>
    </row>
    <row r="131">
      <c r="A131" s="27" t="inlineStr">
        <is>
          <t>總有機碳</t>
        </is>
      </c>
      <c r="B131" s="28" t="inlineStr">
        <is>
          <t>0.41</t>
        </is>
      </c>
      <c r="C131" s="27" t="inlineStr">
        <is>
          <t>%</t>
        </is>
      </c>
      <c r="D131" s="39" t="inlineStr">
        <is>
          <t>合成資料，非實測；method=lab; basis=dry</t>
        </is>
      </c>
      <c r="E131" s="29">
        <f>IF(OR(I131="",I131=0),"",IF(INDEX(Samples[監測點],I131)="","",INDEX(Samples[監測點],I131)))</f>
        <v/>
      </c>
      <c r="F131" s="90">
        <f>IF(OR(I131="",I131=0),"",IF(INDEX(Samples[採樣日期],I131)="","",INDEX(Samples[採樣日期],I131)))</f>
        <v/>
      </c>
      <c r="G131" s="91">
        <f>IF(OR(M131="",M131="NA",M131="N/A"),"",IF(OR(M131="ND",M131="N.D."),0,IFERROR(IF(OR(OR(ISNUMBER(SEARCH("%",O131)),ISNUMBER(SEARCH(" ",O131)),ISNUMBER(SEARCH(",",O131))),OR(SUBSTITUTE(SUBSTITUTE(SUBSTITUTE(SUBSTITUTE(SUBSTITUTE(SUBSTITUTE(SUBSTITUTE(SUBSTITUTE(SUBSTITUTE(SUBSTITUTE(SUBSTITUTE(SUBSTITUTE(SUBSTITUTE(SUBSTITUTE(SUBSTITUTE(SUBSTITUTE(SUBSTITUTE(SUBSTITUTE("x"&amp;M131,"0",""),"1",""),"2",""),"3",""),"4",""),"5",""),"6",""),"7",""),"8",""),"9",""),".",""),"E",""),"+",""),"-",""),"&lt;",""),"&gt;",""),"=","")," ","")&lt;&gt;"x",ISNUMBER(SEARCH("-",SUBSTITUTE(SUBSTITUTE("x"&amp;MID(M131,2,99),"E-","E"),"E+","E"))),ISNUMBER(SEARCH("+",SUBSTITUTE(SUBSTITUTE("x"&amp;MID(M131,2,99),"E-","E"),"E+","E"))))),"",IF(AND(OR(LEFT(M131,1)="&lt;",LEFT(M131,1)="&gt;"),IF(O131="",0,IF(ISNUMBER(AH131),AH131,NA()))&lt;0),"",IF(O131="",0,IF(ISNUMBER(AH131),AH131,NA()))/IF(LEFT(M131,1)="&lt;",2,1))),"")))</f>
        <v/>
      </c>
      <c r="H131" s="57" t="inlineStr">
        <is>
          <t>BH03-S_20260415_02</t>
        </is>
      </c>
      <c r="I131" s="92">
        <f>IF(OR(H131="",AI131=0),0,IF(INDEX(Samples[樣品重複筆數],AI131)=1,AI131,0))</f>
        <v/>
      </c>
      <c r="J131" s="92">
        <f>IF(OR(COUNTA($A131:$D131)=0,I131=0),"",IF(INDEX(Samples[介質],I131)="","",INDEX(Samples[介質],I131)))</f>
        <v/>
      </c>
      <c r="K131" s="92">
        <f>IF(OR(COUNTA($A131:$D131)=0,T131=0),"",IF(INDEX(DB_04[標準單位],T131)="","",INDEX(DB_04[標準單位],T131)))</f>
        <v/>
      </c>
      <c r="L131" s="92">
        <f>IF(COUNTA($A131:$D131)=0,"",IF(OR(C131="",K131=""),"",IF(C131=K131,1,IF(COUNTIFS(DB_06[換算鍵],C131&amp;"|"&amp;K131,DB_06[換算檢查],"OK")=1,INDEX(DB_06[乘數],MATCH(C131&amp;"|"&amp;K131,DB_06[換算鍵],0)),""))))</f>
        <v/>
      </c>
      <c r="M131" s="92">
        <f>UPPER(SUBSTITUTE(SUBSTITUTE(SUBSTITUTE(SUBSTITUTE(TRIM(B131&amp;""),"＜","&lt;"),"＞","&gt;"),"≤","&lt;="),"≥","&gt;="))</f>
        <v/>
      </c>
      <c r="N131" s="92">
        <f>IF(M131="","",IF(OR(M131="ND",M131="N.D."),"ND",IF(OR(M131="NA",M131="N/A",M131="N.A."),"NA",IF(OR(LEFT(M131,2)="&lt;=",LEFT(M131,2)="&gt;="),LEFT(M131,2),IF(OR(LEFT(M131,1)="&lt;",LEFT(M131,1)="&gt;"),LEFT(M131,1),"數值")))))</f>
        <v/>
      </c>
      <c r="O131" s="92">
        <f>IF(OR(N131="",N131="ND",N131="NA"),"",IF(N131="數值",M131,TRIM(MID(M131,LEN(N131)+1,99))))</f>
        <v/>
      </c>
      <c r="P131" s="92">
        <f>IF(O131="","",IFERROR(IF(OR(OR(ISNUMBER(SEARCH("%",O131)),ISNUMBER(SEARCH(" ",O131)),ISNUMBER(SEARCH(",",O131))),OR(SUBSTITUTE(SUBSTITUTE(SUBSTITUTE(SUBSTITUTE(SUBSTITUTE(SUBSTITUTE(SUBSTITUTE(SUBSTITUTE(SUBSTITUTE(SUBSTITUTE(SUBSTITUTE(SUBSTITUTE(SUBSTITUTE(SUBSTITUTE(SUBSTITUTE(SUBSTITUTE(SUBSTITUTE(SUBSTITUTE("x"&amp;O131,"0",""),"1",""),"2",""),"3",""),"4",""),"5",""),"6",""),"7",""),"8",""),"9",""),".",""),"E",""),"+",""),"-",""),"&lt;",""),"&gt;",""),"=","")," ","")&lt;&gt;"x",ISNUMBER(SEARCH("-",SUBSTITUTE(SUBSTITUTE("x"&amp;MID(O131,2,99),"E-","E"),"E+","E"))),ISNUMBER(SEARCH("+",SUBSTITUTE(SUBSTITUTE("x"&amp;MID(O131,2,99),"E-","E"),"E+","E"))))),"",IF(ISNUMBER(AH131),AH131,NA())),""))</f>
        <v/>
      </c>
      <c r="Q131" s="92">
        <f>IF(AND(ISNUMBER(L131),ISNUMBER(P131)),L131*P131,"")</f>
        <v/>
      </c>
      <c r="R131" s="92">
        <f>IF(OR(COUNTA($A131:$D131)=0,U131=0),"",IF(INDEX(DB_05[管制設定值],U131)="","",INDEX(DB_05[管制設定值],U131)))</f>
        <v/>
      </c>
      <c r="S131" s="92">
        <f>IF(OR(COUNTA($A131:$D131)=0,U131=0),"",IF(INDEX(DB_05[監測設定值],U131)="","",INDEX(DB_05[監測設定值],U131)))</f>
        <v/>
      </c>
      <c r="T131" s="92">
        <f>IF(COUNTA($A131:$D131)=0,"",IF(COUNTIFS(DB_04[測項鍵],V131)=1,MATCH(V131,DB_04[測項鍵],0),0))</f>
        <v/>
      </c>
      <c r="U131" s="92">
        <f>IF(COUNTA($A131:$D131)=0,"",IF(COUNTIFS(DB_05[標準鍵],W131)=1,MATCH(W131,DB_05[標準鍵],0),0))</f>
        <v/>
      </c>
      <c r="V131" s="92">
        <f>IF(OR(J131="",A131=""),"",J131&amp;"|"&amp;A131)</f>
        <v/>
      </c>
      <c r="W131" s="92">
        <f>IF(OR('07_QAQC'!$C$3="",V131=""),"",'07_QAQC'!$C$3&amp;"|"&amp;V131)</f>
        <v/>
      </c>
      <c r="X131" s="92">
        <f>IF(OR(H131="",A131=""),"",LEN(H131)&amp;":"&amp;H131&amp;LEN(A131)&amp;":"&amp;A131)</f>
        <v/>
      </c>
      <c r="Y131" s="93">
        <f>IF(COUNTA($A131:$D131)=0,"",IF(I131=0,"樣品未建或重複",IF(INDEX(Samples[樣品檢查],I131)="","OK",INDEX(Samples[樣品檢查],I131))))</f>
        <v/>
      </c>
      <c r="Z131" s="93">
        <f>IF(COUNTA($A131:$D131)=0,"",IF(B131="","缺原始值",IF(OR(B131="-",B131="--"),"無資料",IF(N131="NA","不適用",IF(N131="ND","OK",IF(NOT(ISNUMBER(P131)),"格式待核",IF(AND(N131&lt;&gt;"數值",P131&lt;0),"界限不得為負","OK")))))))</f>
        <v/>
      </c>
      <c r="AA131" s="93">
        <f>IF(COUNTA(A131:D131)=0,"",IF(OR(A131="",H131=""),"缺識別欄位",IF(IF(LEN("="&amp;SUBSTITUTE(SUBSTITUTE(SUBSTITUTE(X131,"~","~~"),"*","~*"),"?","~?"))&lt;=255,COUNTIF(Results[結果識別鍵],"="&amp;SUBSTITUTE(SUBSTITUTE(SUBSTITUTE(X131,"~","~~"),"*","~*"),"?","~?")),COUNTIFS(Results[關聯鍵],"="&amp;SUBSTITUTE(SUBSTITUTE(SUBSTITUTE(H131,"~","~~"),"*","~*"),"?","~?"),Results[分析項目],"="&amp;SUBSTITUTE(SUBSTITUTE(SUBSTITUTE(A131,"~","~~"),"*","~*"),"?","~?")))&gt;1,"同關聯鍵測項重複","OK")))</f>
        <v/>
      </c>
      <c r="AB131" s="93">
        <f>IF(COUNTA($A131:$D131)=0,"",IF(OR(C131="",K131=""),"缺單位",IF(NOT(ISNUMBER(L131)),"單位不相容",IF(L131=1,"OK","已換算"))))</f>
        <v/>
      </c>
      <c r="AC131" s="93">
        <f>IF(COUNTA($A131:$D131)=0,"",IF('07_QAQC'!$C$3="","未選比較版本",IF(U131=0,IF(COUNTIFS(DB_05[標準鍵],W131)&gt;1,"標準鍵重複","未訂此介質／測項門檻"),IF(INDEX(DB_05[版本檢查],U131)&lt;&gt;"OK","標準主檔待核",IF(INDEX(DB_05[標準單位],U131)&lt;&gt;K131,"標準單位不符",IF(INDEX(DB_05[核對狀態],U131)="停用","停用",IF(F131="","缺採樣日期",IF(OR(AND(INDEX(DB_05[生效日],U131)&lt;&gt;"",F131&lt;INDEX(DB_05[生效日],U131)),AND(INDEX(DB_05[失效日],U131)&lt;&gt;"",F131&gt;INDEX(DB_05[失效日],U131))),"日期不適用",INDEX(DB_05[核對狀態],U131)))))))))</f>
        <v/>
      </c>
      <c r="AD131" s="93">
        <f>IF(COUNTA($A131:$D131)=0,"",IF(AC131="未訂此介質／測項門檻",AC131,IF(AC131&lt;&gt;"已核對","標準待核",IF(R131="","未訂管制值",IF(NOT(ISNUMBER(L131)),"單位待核",IF(N131="ND","無法判定（ND無界限）",IF(N131="NA","不適用",IF(Z131&lt;&gt;"OK",Z131,IF(N131="數值",IF(Q131&gt;=R131,"達管制值","未達管制值"),IF(OR(N131="&lt;",N131="&lt;="),IF(OR(Q131&lt;R131,AND(N131="&lt;",Q131=R131)),"未達管制值","無法判定"),IF(OR(N131="&gt;",N131="&gt;="),IF(Q131&gt;=R131,"達管制值","無法判定"),"格式待核")))))))))))</f>
        <v/>
      </c>
      <c r="AE131" s="93">
        <f>IF(COUNTA($A131:$D131)=0,"",IF(AC131="未訂此介質／測項門檻",AC131,IF(AC131&lt;&gt;"已核對","標準待核",IF(S131="","未訂監測值",IF(NOT(ISNUMBER(L131)),"單位待核",IF(N131="ND","無法判定（ND無界限）",IF(N131="NA","不適用",IF(Z131&lt;&gt;"OK",Z131,IF(N131="數值",IF(Q131&gt;=S131,"達監測值","未達監測值"),IF(OR(N131="&lt;",N131="&lt;="),IF(OR(Q131&lt;S131,AND(N131="&lt;",Q131=S131)),"未達監測值","無法判定"),IF(OR(N131="&gt;",N131="&gt;="),IF(Q131&gt;=S131,"達監測值","無法判定"),"格式待核")))))))))))</f>
        <v/>
      </c>
      <c r="AF131" s="93">
        <f>IF(COUNTA($A131:$D131)=0,"",IF(OR(E131="",A131="",B131="",C131=""),"缺必要欄位",IF(Y131&lt;&gt;"OK","樣品資料待補",IF(T131=0,"測項未建或重複",IF(INDEX(DB_04[啟用],T131)&lt;&gt;"是","測項停用",IF(AND(Z131&lt;&gt;"OK",Z131&lt;&gt;"不適用"),Z131,IF(AND(AB131&lt;&gt;"OK",AB131&lt;&gt;"已換算"),"單位待核",IF(AA131&lt;&gt;"OK",AA131,"OK"))))))))</f>
        <v/>
      </c>
      <c r="AG131" s="93">
        <f>IF(COUNTA($A131:$D131)=0,"",IF(N131="ND","ND取0",IF(OR(N131="&lt;",N131="&lt;="),"界限除以2",IF(N131="NA","不適用",IF(OR(N131="&gt;",N131="&gt;="),"保留界限數值","保留原數值")))))</f>
        <v/>
      </c>
      <c r="AH131" s="92">
        <f>IF(O131="","",IFERROR(_xlfn.NUMBERVALUE(O131,".",","),""))</f>
        <v/>
      </c>
      <c r="AI131" s="92">
        <f>IF(H131="","",IFERROR(MATCH(H131,Samples[樣品編號],0),0))</f>
        <v/>
      </c>
    </row>
    <row r="132">
      <c r="A132" s="27" t="inlineStr">
        <is>
          <t>pH</t>
        </is>
      </c>
      <c r="B132" s="28" t="inlineStr">
        <is>
          <t>6.73</t>
        </is>
      </c>
      <c r="C132" s="27" t="inlineStr">
        <is>
          <t>無因次</t>
        </is>
      </c>
      <c r="D132" s="39" t="inlineStr">
        <is>
          <t>合成資料，非實測；method=field</t>
        </is>
      </c>
      <c r="E132" s="29">
        <f>IF(OR(I132="",I132=0),"",IF(INDEX(Samples[監測點],I132)="","",INDEX(Samples[監測點],I132)))</f>
        <v/>
      </c>
      <c r="F132" s="90">
        <f>IF(OR(I132="",I132=0),"",IF(INDEX(Samples[採樣日期],I132)="","",INDEX(Samples[採樣日期],I132)))</f>
        <v/>
      </c>
      <c r="G132" s="91">
        <f>IF(OR(M132="",M132="NA",M132="N/A"),"",IF(OR(M132="ND",M132="N.D."),0,IFERROR(IF(OR(OR(ISNUMBER(SEARCH("%",O132)),ISNUMBER(SEARCH(" ",O132)),ISNUMBER(SEARCH(",",O132))),OR(SUBSTITUTE(SUBSTITUTE(SUBSTITUTE(SUBSTITUTE(SUBSTITUTE(SUBSTITUTE(SUBSTITUTE(SUBSTITUTE(SUBSTITUTE(SUBSTITUTE(SUBSTITUTE(SUBSTITUTE(SUBSTITUTE(SUBSTITUTE(SUBSTITUTE(SUBSTITUTE(SUBSTITUTE(SUBSTITUTE("x"&amp;M132,"0",""),"1",""),"2",""),"3",""),"4",""),"5",""),"6",""),"7",""),"8",""),"9",""),".",""),"E",""),"+",""),"-",""),"&lt;",""),"&gt;",""),"=","")," ","")&lt;&gt;"x",ISNUMBER(SEARCH("-",SUBSTITUTE(SUBSTITUTE("x"&amp;MID(M132,2,99),"E-","E"),"E+","E"))),ISNUMBER(SEARCH("+",SUBSTITUTE(SUBSTITUTE("x"&amp;MID(M132,2,99),"E-","E"),"E+","E"))))),"",IF(AND(OR(LEFT(M132,1)="&lt;",LEFT(M132,1)="&gt;"),IF(O132="",0,IF(ISNUMBER(AH132),AH132,NA()))&lt;0),"",IF(O132="",0,IF(ISNUMBER(AH132),AH132,NA()))/IF(LEFT(M132,1)="&lt;",2,1))),"")))</f>
        <v/>
      </c>
      <c r="H132" s="57" t="inlineStr">
        <is>
          <t>BH03-W_20260415_02</t>
        </is>
      </c>
      <c r="I132" s="92">
        <f>IF(OR(H132="",AI132=0),0,IF(INDEX(Samples[樣品重複筆數],AI132)=1,AI132,0))</f>
        <v/>
      </c>
      <c r="J132" s="92">
        <f>IF(OR(COUNTA($A132:$D132)=0,I132=0),"",IF(INDEX(Samples[介質],I132)="","",INDEX(Samples[介質],I132)))</f>
        <v/>
      </c>
      <c r="K132" s="92">
        <f>IF(OR(COUNTA($A132:$D132)=0,T132=0),"",IF(INDEX(DB_04[標準單位],T132)="","",INDEX(DB_04[標準單位],T132)))</f>
        <v/>
      </c>
      <c r="L132" s="92">
        <f>IF(COUNTA($A132:$D132)=0,"",IF(OR(C132="",K132=""),"",IF(C132=K132,1,IF(COUNTIFS(DB_06[換算鍵],C132&amp;"|"&amp;K132,DB_06[換算檢查],"OK")=1,INDEX(DB_06[乘數],MATCH(C132&amp;"|"&amp;K132,DB_06[換算鍵],0)),""))))</f>
        <v/>
      </c>
      <c r="M132" s="92">
        <f>UPPER(SUBSTITUTE(SUBSTITUTE(SUBSTITUTE(SUBSTITUTE(TRIM(B132&amp;""),"＜","&lt;"),"＞","&gt;"),"≤","&lt;="),"≥","&gt;="))</f>
        <v/>
      </c>
      <c r="N132" s="92">
        <f>IF(M132="","",IF(OR(M132="ND",M132="N.D."),"ND",IF(OR(M132="NA",M132="N/A",M132="N.A."),"NA",IF(OR(LEFT(M132,2)="&lt;=",LEFT(M132,2)="&gt;="),LEFT(M132,2),IF(OR(LEFT(M132,1)="&lt;",LEFT(M132,1)="&gt;"),LEFT(M132,1),"數值")))))</f>
        <v/>
      </c>
      <c r="O132" s="92">
        <f>IF(OR(N132="",N132="ND",N132="NA"),"",IF(N132="數值",M132,TRIM(MID(M132,LEN(N132)+1,99))))</f>
        <v/>
      </c>
      <c r="P132" s="92">
        <f>IF(O132="","",IFERROR(IF(OR(OR(ISNUMBER(SEARCH("%",O132)),ISNUMBER(SEARCH(" ",O132)),ISNUMBER(SEARCH(",",O132))),OR(SUBSTITUTE(SUBSTITUTE(SUBSTITUTE(SUBSTITUTE(SUBSTITUTE(SUBSTITUTE(SUBSTITUTE(SUBSTITUTE(SUBSTITUTE(SUBSTITUTE(SUBSTITUTE(SUBSTITUTE(SUBSTITUTE(SUBSTITUTE(SUBSTITUTE(SUBSTITUTE(SUBSTITUTE(SUBSTITUTE("x"&amp;O132,"0",""),"1",""),"2",""),"3",""),"4",""),"5",""),"6",""),"7",""),"8",""),"9",""),".",""),"E",""),"+",""),"-",""),"&lt;",""),"&gt;",""),"=","")," ","")&lt;&gt;"x",ISNUMBER(SEARCH("-",SUBSTITUTE(SUBSTITUTE("x"&amp;MID(O132,2,99),"E-","E"),"E+","E"))),ISNUMBER(SEARCH("+",SUBSTITUTE(SUBSTITUTE("x"&amp;MID(O132,2,99),"E-","E"),"E+","E"))))),"",IF(ISNUMBER(AH132),AH132,NA())),""))</f>
        <v/>
      </c>
      <c r="Q132" s="92">
        <f>IF(AND(ISNUMBER(L132),ISNUMBER(P132)),L132*P132,"")</f>
        <v/>
      </c>
      <c r="R132" s="92">
        <f>IF(OR(COUNTA($A132:$D132)=0,U132=0),"",IF(INDEX(DB_05[管制設定值],U132)="","",INDEX(DB_05[管制設定值],U132)))</f>
        <v/>
      </c>
      <c r="S132" s="92">
        <f>IF(OR(COUNTA($A132:$D132)=0,U132=0),"",IF(INDEX(DB_05[監測設定值],U132)="","",INDEX(DB_05[監測設定值],U132)))</f>
        <v/>
      </c>
      <c r="T132" s="92">
        <f>IF(COUNTA($A132:$D132)=0,"",IF(COUNTIFS(DB_04[測項鍵],V132)=1,MATCH(V132,DB_04[測項鍵],0),0))</f>
        <v/>
      </c>
      <c r="U132" s="92">
        <f>IF(COUNTA($A132:$D132)=0,"",IF(COUNTIFS(DB_05[標準鍵],W132)=1,MATCH(W132,DB_05[標準鍵],0),0))</f>
        <v/>
      </c>
      <c r="V132" s="92">
        <f>IF(OR(J132="",A132=""),"",J132&amp;"|"&amp;A132)</f>
        <v/>
      </c>
      <c r="W132" s="92">
        <f>IF(OR('07_QAQC'!$C$3="",V132=""),"",'07_QAQC'!$C$3&amp;"|"&amp;V132)</f>
        <v/>
      </c>
      <c r="X132" s="92">
        <f>IF(OR(H132="",A132=""),"",LEN(H132)&amp;":"&amp;H132&amp;LEN(A132)&amp;":"&amp;A132)</f>
        <v/>
      </c>
      <c r="Y132" s="93">
        <f>IF(COUNTA($A132:$D132)=0,"",IF(I132=0,"樣品未建或重複",IF(INDEX(Samples[樣品檢查],I132)="","OK",INDEX(Samples[樣品檢查],I132))))</f>
        <v/>
      </c>
      <c r="Z132" s="93">
        <f>IF(COUNTA($A132:$D132)=0,"",IF(B132="","缺原始值",IF(OR(B132="-",B132="--"),"無資料",IF(N132="NA","不適用",IF(N132="ND","OK",IF(NOT(ISNUMBER(P132)),"格式待核",IF(AND(N132&lt;&gt;"數值",P132&lt;0),"界限不得為負","OK")))))))</f>
        <v/>
      </c>
      <c r="AA132" s="93">
        <f>IF(COUNTA(A132:D132)=0,"",IF(OR(A132="",H132=""),"缺識別欄位",IF(IF(LEN("="&amp;SUBSTITUTE(SUBSTITUTE(SUBSTITUTE(X132,"~","~~"),"*","~*"),"?","~?"))&lt;=255,COUNTIF(Results[結果識別鍵],"="&amp;SUBSTITUTE(SUBSTITUTE(SUBSTITUTE(X132,"~","~~"),"*","~*"),"?","~?")),COUNTIFS(Results[關聯鍵],"="&amp;SUBSTITUTE(SUBSTITUTE(SUBSTITUTE(H132,"~","~~"),"*","~*"),"?","~?"),Results[分析項目],"="&amp;SUBSTITUTE(SUBSTITUTE(SUBSTITUTE(A132,"~","~~"),"*","~*"),"?","~?")))&gt;1,"同關聯鍵測項重複","OK")))</f>
        <v/>
      </c>
      <c r="AB132" s="93">
        <f>IF(COUNTA($A132:$D132)=0,"",IF(OR(C132="",K132=""),"缺單位",IF(NOT(ISNUMBER(L132)),"單位不相容",IF(L132=1,"OK","已換算"))))</f>
        <v/>
      </c>
      <c r="AC132" s="93">
        <f>IF(COUNTA($A132:$D132)=0,"",IF('07_QAQC'!$C$3="","未選比較版本",IF(U132=0,IF(COUNTIFS(DB_05[標準鍵],W132)&gt;1,"標準鍵重複","未訂此介質／測項門檻"),IF(INDEX(DB_05[版本檢查],U132)&lt;&gt;"OK","標準主檔待核",IF(INDEX(DB_05[標準單位],U132)&lt;&gt;K132,"標準單位不符",IF(INDEX(DB_05[核對狀態],U132)="停用","停用",IF(F132="","缺採樣日期",IF(OR(AND(INDEX(DB_05[生效日],U132)&lt;&gt;"",F132&lt;INDEX(DB_05[生效日],U132)),AND(INDEX(DB_05[失效日],U132)&lt;&gt;"",F132&gt;INDEX(DB_05[失效日],U132))),"日期不適用",INDEX(DB_05[核對狀態],U132)))))))))</f>
        <v/>
      </c>
      <c r="AD132" s="93">
        <f>IF(COUNTA($A132:$D132)=0,"",IF(AC132="未訂此介質／測項門檻",AC132,IF(AC132&lt;&gt;"已核對","標準待核",IF(R132="","未訂管制值",IF(NOT(ISNUMBER(L132)),"單位待核",IF(N132="ND","無法判定（ND無界限）",IF(N132="NA","不適用",IF(Z132&lt;&gt;"OK",Z132,IF(N132="數值",IF(Q132&gt;=R132,"達管制值","未達管制值"),IF(OR(N132="&lt;",N132="&lt;="),IF(OR(Q132&lt;R132,AND(N132="&lt;",Q132=R132)),"未達管制值","無法判定"),IF(OR(N132="&gt;",N132="&gt;="),IF(Q132&gt;=R132,"達管制值","無法判定"),"格式待核")))))))))))</f>
        <v/>
      </c>
      <c r="AE132" s="93">
        <f>IF(COUNTA($A132:$D132)=0,"",IF(AC132="未訂此介質／測項門檻",AC132,IF(AC132&lt;&gt;"已核對","標準待核",IF(S132="","未訂監測值",IF(NOT(ISNUMBER(L132)),"單位待核",IF(N132="ND","無法判定（ND無界限）",IF(N132="NA","不適用",IF(Z132&lt;&gt;"OK",Z132,IF(N132="數值",IF(Q132&gt;=S132,"達監測值","未達監測值"),IF(OR(N132="&lt;",N132="&lt;="),IF(OR(Q132&lt;S132,AND(N132="&lt;",Q132=S132)),"未達監測值","無法判定"),IF(OR(N132="&gt;",N132="&gt;="),IF(Q132&gt;=S132,"達監測值","無法判定"),"格式待核")))))))))))</f>
        <v/>
      </c>
      <c r="AF132" s="93">
        <f>IF(COUNTA($A132:$D132)=0,"",IF(OR(E132="",A132="",B132="",C132=""),"缺必要欄位",IF(Y132&lt;&gt;"OK","樣品資料待補",IF(T132=0,"測項未建或重複",IF(INDEX(DB_04[啟用],T132)&lt;&gt;"是","測項停用",IF(AND(Z132&lt;&gt;"OK",Z132&lt;&gt;"不適用"),Z132,IF(AND(AB132&lt;&gt;"OK",AB132&lt;&gt;"已換算"),"單位待核",IF(AA132&lt;&gt;"OK",AA132,"OK"))))))))</f>
        <v/>
      </c>
      <c r="AG132" s="93">
        <f>IF(COUNTA($A132:$D132)=0,"",IF(N132="ND","ND取0",IF(OR(N132="&lt;",N132="&lt;="),"界限除以2",IF(N132="NA","不適用",IF(OR(N132="&gt;",N132="&gt;="),"保留界限數值","保留原數值")))))</f>
        <v/>
      </c>
      <c r="AH132" s="92">
        <f>IF(O132="","",IFERROR(_xlfn.NUMBERVALUE(O132,".",","),""))</f>
        <v/>
      </c>
      <c r="AI132" s="92">
        <f>IF(H132="","",IFERROR(MATCH(H132,Samples[樣品編號],0),0))</f>
        <v/>
      </c>
    </row>
    <row r="133">
      <c r="A133" s="27" t="inlineStr">
        <is>
          <t>EC</t>
        </is>
      </c>
      <c r="B133" s="28" t="inlineStr">
        <is>
          <t>0.6</t>
        </is>
      </c>
      <c r="C133" s="27" t="inlineStr">
        <is>
          <t>mS/cm</t>
        </is>
      </c>
      <c r="D133" s="39" t="inlineStr">
        <is>
          <t>合成資料，非實測；method=field; temperature=25; temperature_compensated=25C; reference_temperature=25</t>
        </is>
      </c>
      <c r="E133" s="29">
        <f>IF(OR(I133="",I133=0),"",IF(INDEX(Samples[監測點],I133)="","",INDEX(Samples[監測點],I133)))</f>
        <v/>
      </c>
      <c r="F133" s="90">
        <f>IF(OR(I133="",I133=0),"",IF(INDEX(Samples[採樣日期],I133)="","",INDEX(Samples[採樣日期],I133)))</f>
        <v/>
      </c>
      <c r="G133" s="91">
        <f>IF(OR(M133="",M133="NA",M133="N/A"),"",IF(OR(M133="ND",M133="N.D."),0,IFERROR(IF(OR(OR(ISNUMBER(SEARCH("%",O133)),ISNUMBER(SEARCH(" ",O133)),ISNUMBER(SEARCH(",",O133))),OR(SUBSTITUTE(SUBSTITUTE(SUBSTITUTE(SUBSTITUTE(SUBSTITUTE(SUBSTITUTE(SUBSTITUTE(SUBSTITUTE(SUBSTITUTE(SUBSTITUTE(SUBSTITUTE(SUBSTITUTE(SUBSTITUTE(SUBSTITUTE(SUBSTITUTE(SUBSTITUTE(SUBSTITUTE(SUBSTITUTE("x"&amp;M133,"0",""),"1",""),"2",""),"3",""),"4",""),"5",""),"6",""),"7",""),"8",""),"9",""),".",""),"E",""),"+",""),"-",""),"&lt;",""),"&gt;",""),"=","")," ","")&lt;&gt;"x",ISNUMBER(SEARCH("-",SUBSTITUTE(SUBSTITUTE("x"&amp;MID(M133,2,99),"E-","E"),"E+","E"))),ISNUMBER(SEARCH("+",SUBSTITUTE(SUBSTITUTE("x"&amp;MID(M133,2,99),"E-","E"),"E+","E"))))),"",IF(AND(OR(LEFT(M133,1)="&lt;",LEFT(M133,1)="&gt;"),IF(O133="",0,IF(ISNUMBER(AH133),AH133,NA()))&lt;0),"",IF(O133="",0,IF(ISNUMBER(AH133),AH133,NA()))/IF(LEFT(M133,1)="&lt;",2,1))),"")))</f>
        <v/>
      </c>
      <c r="H133" s="57" t="inlineStr">
        <is>
          <t>BH03-W_20260415_02</t>
        </is>
      </c>
      <c r="I133" s="92">
        <f>IF(OR(H133="",AI133=0),0,IF(INDEX(Samples[樣品重複筆數],AI133)=1,AI133,0))</f>
        <v/>
      </c>
      <c r="J133" s="92">
        <f>IF(OR(COUNTA($A133:$D133)=0,I133=0),"",IF(INDEX(Samples[介質],I133)="","",INDEX(Samples[介質],I133)))</f>
        <v/>
      </c>
      <c r="K133" s="92">
        <f>IF(OR(COUNTA($A133:$D133)=0,T133=0),"",IF(INDEX(DB_04[標準單位],T133)="","",INDEX(DB_04[標準單位],T133)))</f>
        <v/>
      </c>
      <c r="L133" s="92">
        <f>IF(COUNTA($A133:$D133)=0,"",IF(OR(C133="",K133=""),"",IF(C133=K133,1,IF(COUNTIFS(DB_06[換算鍵],C133&amp;"|"&amp;K133,DB_06[換算檢查],"OK")=1,INDEX(DB_06[乘數],MATCH(C133&amp;"|"&amp;K133,DB_06[換算鍵],0)),""))))</f>
        <v/>
      </c>
      <c r="M133" s="92">
        <f>UPPER(SUBSTITUTE(SUBSTITUTE(SUBSTITUTE(SUBSTITUTE(TRIM(B133&amp;""),"＜","&lt;"),"＞","&gt;"),"≤","&lt;="),"≥","&gt;="))</f>
        <v/>
      </c>
      <c r="N133" s="92">
        <f>IF(M133="","",IF(OR(M133="ND",M133="N.D."),"ND",IF(OR(M133="NA",M133="N/A",M133="N.A."),"NA",IF(OR(LEFT(M133,2)="&lt;=",LEFT(M133,2)="&gt;="),LEFT(M133,2),IF(OR(LEFT(M133,1)="&lt;",LEFT(M133,1)="&gt;"),LEFT(M133,1),"數值")))))</f>
        <v/>
      </c>
      <c r="O133" s="92">
        <f>IF(OR(N133="",N133="ND",N133="NA"),"",IF(N133="數值",M133,TRIM(MID(M133,LEN(N133)+1,99))))</f>
        <v/>
      </c>
      <c r="P133" s="92">
        <f>IF(O133="","",IFERROR(IF(OR(OR(ISNUMBER(SEARCH("%",O133)),ISNUMBER(SEARCH(" ",O133)),ISNUMBER(SEARCH(",",O133))),OR(SUBSTITUTE(SUBSTITUTE(SUBSTITUTE(SUBSTITUTE(SUBSTITUTE(SUBSTITUTE(SUBSTITUTE(SUBSTITUTE(SUBSTITUTE(SUBSTITUTE(SUBSTITUTE(SUBSTITUTE(SUBSTITUTE(SUBSTITUTE(SUBSTITUTE(SUBSTITUTE(SUBSTITUTE(SUBSTITUTE("x"&amp;O133,"0",""),"1",""),"2",""),"3",""),"4",""),"5",""),"6",""),"7",""),"8",""),"9",""),".",""),"E",""),"+",""),"-",""),"&lt;",""),"&gt;",""),"=","")," ","")&lt;&gt;"x",ISNUMBER(SEARCH("-",SUBSTITUTE(SUBSTITUTE("x"&amp;MID(O133,2,99),"E-","E"),"E+","E"))),ISNUMBER(SEARCH("+",SUBSTITUTE(SUBSTITUTE("x"&amp;MID(O133,2,99),"E-","E"),"E+","E"))))),"",IF(ISNUMBER(AH133),AH133,NA())),""))</f>
        <v/>
      </c>
      <c r="Q133" s="92">
        <f>IF(AND(ISNUMBER(L133),ISNUMBER(P133)),L133*P133,"")</f>
        <v/>
      </c>
      <c r="R133" s="92">
        <f>IF(OR(COUNTA($A133:$D133)=0,U133=0),"",IF(INDEX(DB_05[管制設定值],U133)="","",INDEX(DB_05[管制設定值],U133)))</f>
        <v/>
      </c>
      <c r="S133" s="92">
        <f>IF(OR(COUNTA($A133:$D133)=0,U133=0),"",IF(INDEX(DB_05[監測設定值],U133)="","",INDEX(DB_05[監測設定值],U133)))</f>
        <v/>
      </c>
      <c r="T133" s="92">
        <f>IF(COUNTA($A133:$D133)=0,"",IF(COUNTIFS(DB_04[測項鍵],V133)=1,MATCH(V133,DB_04[測項鍵],0),0))</f>
        <v/>
      </c>
      <c r="U133" s="92">
        <f>IF(COUNTA($A133:$D133)=0,"",IF(COUNTIFS(DB_05[標準鍵],W133)=1,MATCH(W133,DB_05[標準鍵],0),0))</f>
        <v/>
      </c>
      <c r="V133" s="92">
        <f>IF(OR(J133="",A133=""),"",J133&amp;"|"&amp;A133)</f>
        <v/>
      </c>
      <c r="W133" s="92">
        <f>IF(OR('07_QAQC'!$C$3="",V133=""),"",'07_QAQC'!$C$3&amp;"|"&amp;V133)</f>
        <v/>
      </c>
      <c r="X133" s="92">
        <f>IF(OR(H133="",A133=""),"",LEN(H133)&amp;":"&amp;H133&amp;LEN(A133)&amp;":"&amp;A133)</f>
        <v/>
      </c>
      <c r="Y133" s="93">
        <f>IF(COUNTA($A133:$D133)=0,"",IF(I133=0,"樣品未建或重複",IF(INDEX(Samples[樣品檢查],I133)="","OK",INDEX(Samples[樣品檢查],I133))))</f>
        <v/>
      </c>
      <c r="Z133" s="93">
        <f>IF(COUNTA($A133:$D133)=0,"",IF(B133="","缺原始值",IF(OR(B133="-",B133="--"),"無資料",IF(N133="NA","不適用",IF(N133="ND","OK",IF(NOT(ISNUMBER(P133)),"格式待核",IF(AND(N133&lt;&gt;"數值",P133&lt;0),"界限不得為負","OK")))))))</f>
        <v/>
      </c>
      <c r="AA133" s="93">
        <f>IF(COUNTA(A133:D133)=0,"",IF(OR(A133="",H133=""),"缺識別欄位",IF(IF(LEN("="&amp;SUBSTITUTE(SUBSTITUTE(SUBSTITUTE(X133,"~","~~"),"*","~*"),"?","~?"))&lt;=255,COUNTIF(Results[結果識別鍵],"="&amp;SUBSTITUTE(SUBSTITUTE(SUBSTITUTE(X133,"~","~~"),"*","~*"),"?","~?")),COUNTIFS(Results[關聯鍵],"="&amp;SUBSTITUTE(SUBSTITUTE(SUBSTITUTE(H133,"~","~~"),"*","~*"),"?","~?"),Results[分析項目],"="&amp;SUBSTITUTE(SUBSTITUTE(SUBSTITUTE(A133,"~","~~"),"*","~*"),"?","~?")))&gt;1,"同關聯鍵測項重複","OK")))</f>
        <v/>
      </c>
      <c r="AB133" s="93">
        <f>IF(COUNTA($A133:$D133)=0,"",IF(OR(C133="",K133=""),"缺單位",IF(NOT(ISNUMBER(L133)),"單位不相容",IF(L133=1,"OK","已換算"))))</f>
        <v/>
      </c>
      <c r="AC133" s="93">
        <f>IF(COUNTA($A133:$D133)=0,"",IF('07_QAQC'!$C$3="","未選比較版本",IF(U133=0,IF(COUNTIFS(DB_05[標準鍵],W133)&gt;1,"標準鍵重複","未訂此介質／測項門檻"),IF(INDEX(DB_05[版本檢查],U133)&lt;&gt;"OK","標準主檔待核",IF(INDEX(DB_05[標準單位],U133)&lt;&gt;K133,"標準單位不符",IF(INDEX(DB_05[核對狀態],U133)="停用","停用",IF(F133="","缺採樣日期",IF(OR(AND(INDEX(DB_05[生效日],U133)&lt;&gt;"",F133&lt;INDEX(DB_05[生效日],U133)),AND(INDEX(DB_05[失效日],U133)&lt;&gt;"",F133&gt;INDEX(DB_05[失效日],U133))),"日期不適用",INDEX(DB_05[核對狀態],U133)))))))))</f>
        <v/>
      </c>
      <c r="AD133" s="93">
        <f>IF(COUNTA($A133:$D133)=0,"",IF(AC133="未訂此介質／測項門檻",AC133,IF(AC133&lt;&gt;"已核對","標準待核",IF(R133="","未訂管制值",IF(NOT(ISNUMBER(L133)),"單位待核",IF(N133="ND","無法判定（ND無界限）",IF(N133="NA","不適用",IF(Z133&lt;&gt;"OK",Z133,IF(N133="數值",IF(Q133&gt;=R133,"達管制值","未達管制值"),IF(OR(N133="&lt;",N133="&lt;="),IF(OR(Q133&lt;R133,AND(N133="&lt;",Q133=R133)),"未達管制值","無法判定"),IF(OR(N133="&gt;",N133="&gt;="),IF(Q133&gt;=R133,"達管制值","無法判定"),"格式待核")))))))))))</f>
        <v/>
      </c>
      <c r="AE133" s="93">
        <f>IF(COUNTA($A133:$D133)=0,"",IF(AC133="未訂此介質／測項門檻",AC133,IF(AC133&lt;&gt;"已核對","標準待核",IF(S133="","未訂監測值",IF(NOT(ISNUMBER(L133)),"單位待核",IF(N133="ND","無法判定（ND無界限）",IF(N133="NA","不適用",IF(Z133&lt;&gt;"OK",Z133,IF(N133="數值",IF(Q133&gt;=S133,"達監測值","未達監測值"),IF(OR(N133="&lt;",N133="&lt;="),IF(OR(Q133&lt;S133,AND(N133="&lt;",Q133=S133)),"未達監測值","無法判定"),IF(OR(N133="&gt;",N133="&gt;="),IF(Q133&gt;=S133,"達監測值","無法判定"),"格式待核")))))))))))</f>
        <v/>
      </c>
      <c r="AF133" s="93">
        <f>IF(COUNTA($A133:$D133)=0,"",IF(OR(E133="",A133="",B133="",C133=""),"缺必要欄位",IF(Y133&lt;&gt;"OK","樣品資料待補",IF(T133=0,"測項未建或重複",IF(INDEX(DB_04[啟用],T133)&lt;&gt;"是","測項停用",IF(AND(Z133&lt;&gt;"OK",Z133&lt;&gt;"不適用"),Z133,IF(AND(AB133&lt;&gt;"OK",AB133&lt;&gt;"已換算"),"單位待核",IF(AA133&lt;&gt;"OK",AA133,"OK"))))))))</f>
        <v/>
      </c>
      <c r="AG133" s="93">
        <f>IF(COUNTA($A133:$D133)=0,"",IF(N133="ND","ND取0",IF(OR(N133="&lt;",N133="&lt;="),"界限除以2",IF(N133="NA","不適用",IF(OR(N133="&gt;",N133="&gt;="),"保留界限數值","保留原數值")))))</f>
        <v/>
      </c>
      <c r="AH133" s="92">
        <f>IF(O133="","",IFERROR(_xlfn.NUMBERVALUE(O133,".",","),""))</f>
        <v/>
      </c>
      <c r="AI133" s="92">
        <f>IF(H133="","",IFERROR(MATCH(H133,Samples[樣品編號],0),0))</f>
        <v/>
      </c>
    </row>
    <row r="134">
      <c r="A134" s="27" t="inlineStr">
        <is>
          <t>DO</t>
        </is>
      </c>
      <c r="B134" s="28" t="inlineStr">
        <is>
          <t>5.3</t>
        </is>
      </c>
      <c r="C134" s="27" t="inlineStr">
        <is>
          <t>mg/L</t>
        </is>
      </c>
      <c r="D134" s="39" t="inlineStr">
        <is>
          <t>合成資料，非實測；method=field</t>
        </is>
      </c>
      <c r="E134" s="29">
        <f>IF(OR(I134="",I134=0),"",IF(INDEX(Samples[監測點],I134)="","",INDEX(Samples[監測點],I134)))</f>
        <v/>
      </c>
      <c r="F134" s="90">
        <f>IF(OR(I134="",I134=0),"",IF(INDEX(Samples[採樣日期],I134)="","",INDEX(Samples[採樣日期],I134)))</f>
        <v/>
      </c>
      <c r="G134" s="91">
        <f>IF(OR(M134="",M134="NA",M134="N/A"),"",IF(OR(M134="ND",M134="N.D."),0,IFERROR(IF(OR(OR(ISNUMBER(SEARCH("%",O134)),ISNUMBER(SEARCH(" ",O134)),ISNUMBER(SEARCH(",",O134))),OR(SUBSTITUTE(SUBSTITUTE(SUBSTITUTE(SUBSTITUTE(SUBSTITUTE(SUBSTITUTE(SUBSTITUTE(SUBSTITUTE(SUBSTITUTE(SUBSTITUTE(SUBSTITUTE(SUBSTITUTE(SUBSTITUTE(SUBSTITUTE(SUBSTITUTE(SUBSTITUTE(SUBSTITUTE(SUBSTITUTE("x"&amp;M134,"0",""),"1",""),"2",""),"3",""),"4",""),"5",""),"6",""),"7",""),"8",""),"9",""),".",""),"E",""),"+",""),"-",""),"&lt;",""),"&gt;",""),"=","")," ","")&lt;&gt;"x",ISNUMBER(SEARCH("-",SUBSTITUTE(SUBSTITUTE("x"&amp;MID(M134,2,99),"E-","E"),"E+","E"))),ISNUMBER(SEARCH("+",SUBSTITUTE(SUBSTITUTE("x"&amp;MID(M134,2,99),"E-","E"),"E+","E"))))),"",IF(AND(OR(LEFT(M134,1)="&lt;",LEFT(M134,1)="&gt;"),IF(O134="",0,IF(ISNUMBER(AH134),AH134,NA()))&lt;0),"",IF(O134="",0,IF(ISNUMBER(AH134),AH134,NA()))/IF(LEFT(M134,1)="&lt;",2,1))),"")))</f>
        <v/>
      </c>
      <c r="H134" s="57" t="inlineStr">
        <is>
          <t>BH03-W_20260415_02</t>
        </is>
      </c>
      <c r="I134" s="92">
        <f>IF(OR(H134="",AI134=0),0,IF(INDEX(Samples[樣品重複筆數],AI134)=1,AI134,0))</f>
        <v/>
      </c>
      <c r="J134" s="92">
        <f>IF(OR(COUNTA($A134:$D134)=0,I134=0),"",IF(INDEX(Samples[介質],I134)="","",INDEX(Samples[介質],I134)))</f>
        <v/>
      </c>
      <c r="K134" s="92">
        <f>IF(OR(COUNTA($A134:$D134)=0,T134=0),"",IF(INDEX(DB_04[標準單位],T134)="","",INDEX(DB_04[標準單位],T134)))</f>
        <v/>
      </c>
      <c r="L134" s="92">
        <f>IF(COUNTA($A134:$D134)=0,"",IF(OR(C134="",K134=""),"",IF(C134=K134,1,IF(COUNTIFS(DB_06[換算鍵],C134&amp;"|"&amp;K134,DB_06[換算檢查],"OK")=1,INDEX(DB_06[乘數],MATCH(C134&amp;"|"&amp;K134,DB_06[換算鍵],0)),""))))</f>
        <v/>
      </c>
      <c r="M134" s="92">
        <f>UPPER(SUBSTITUTE(SUBSTITUTE(SUBSTITUTE(SUBSTITUTE(TRIM(B134&amp;""),"＜","&lt;"),"＞","&gt;"),"≤","&lt;="),"≥","&gt;="))</f>
        <v/>
      </c>
      <c r="N134" s="92">
        <f>IF(M134="","",IF(OR(M134="ND",M134="N.D."),"ND",IF(OR(M134="NA",M134="N/A",M134="N.A."),"NA",IF(OR(LEFT(M134,2)="&lt;=",LEFT(M134,2)="&gt;="),LEFT(M134,2),IF(OR(LEFT(M134,1)="&lt;",LEFT(M134,1)="&gt;"),LEFT(M134,1),"數值")))))</f>
        <v/>
      </c>
      <c r="O134" s="92">
        <f>IF(OR(N134="",N134="ND",N134="NA"),"",IF(N134="數值",M134,TRIM(MID(M134,LEN(N134)+1,99))))</f>
        <v/>
      </c>
      <c r="P134" s="92">
        <f>IF(O134="","",IFERROR(IF(OR(OR(ISNUMBER(SEARCH("%",O134)),ISNUMBER(SEARCH(" ",O134)),ISNUMBER(SEARCH(",",O134))),OR(SUBSTITUTE(SUBSTITUTE(SUBSTITUTE(SUBSTITUTE(SUBSTITUTE(SUBSTITUTE(SUBSTITUTE(SUBSTITUTE(SUBSTITUTE(SUBSTITUTE(SUBSTITUTE(SUBSTITUTE(SUBSTITUTE(SUBSTITUTE(SUBSTITUTE(SUBSTITUTE(SUBSTITUTE(SUBSTITUTE("x"&amp;O134,"0",""),"1",""),"2",""),"3",""),"4",""),"5",""),"6",""),"7",""),"8",""),"9",""),".",""),"E",""),"+",""),"-",""),"&lt;",""),"&gt;",""),"=","")," ","")&lt;&gt;"x",ISNUMBER(SEARCH("-",SUBSTITUTE(SUBSTITUTE("x"&amp;MID(O134,2,99),"E-","E"),"E+","E"))),ISNUMBER(SEARCH("+",SUBSTITUTE(SUBSTITUTE("x"&amp;MID(O134,2,99),"E-","E"),"E+","E"))))),"",IF(ISNUMBER(AH134),AH134,NA())),""))</f>
        <v/>
      </c>
      <c r="Q134" s="92">
        <f>IF(AND(ISNUMBER(L134),ISNUMBER(P134)),L134*P134,"")</f>
        <v/>
      </c>
      <c r="R134" s="92">
        <f>IF(OR(COUNTA($A134:$D134)=0,U134=0),"",IF(INDEX(DB_05[管制設定值],U134)="","",INDEX(DB_05[管制設定值],U134)))</f>
        <v/>
      </c>
      <c r="S134" s="92">
        <f>IF(OR(COUNTA($A134:$D134)=0,U134=0),"",IF(INDEX(DB_05[監測設定值],U134)="","",INDEX(DB_05[監測設定值],U134)))</f>
        <v/>
      </c>
      <c r="T134" s="92">
        <f>IF(COUNTA($A134:$D134)=0,"",IF(COUNTIFS(DB_04[測項鍵],V134)=1,MATCH(V134,DB_04[測項鍵],0),0))</f>
        <v/>
      </c>
      <c r="U134" s="92">
        <f>IF(COUNTA($A134:$D134)=0,"",IF(COUNTIFS(DB_05[標準鍵],W134)=1,MATCH(W134,DB_05[標準鍵],0),0))</f>
        <v/>
      </c>
      <c r="V134" s="92">
        <f>IF(OR(J134="",A134=""),"",J134&amp;"|"&amp;A134)</f>
        <v/>
      </c>
      <c r="W134" s="92">
        <f>IF(OR('07_QAQC'!$C$3="",V134=""),"",'07_QAQC'!$C$3&amp;"|"&amp;V134)</f>
        <v/>
      </c>
      <c r="X134" s="92">
        <f>IF(OR(H134="",A134=""),"",LEN(H134)&amp;":"&amp;H134&amp;LEN(A134)&amp;":"&amp;A134)</f>
        <v/>
      </c>
      <c r="Y134" s="93">
        <f>IF(COUNTA($A134:$D134)=0,"",IF(I134=0,"樣品未建或重複",IF(INDEX(Samples[樣品檢查],I134)="","OK",INDEX(Samples[樣品檢查],I134))))</f>
        <v/>
      </c>
      <c r="Z134" s="93">
        <f>IF(COUNTA($A134:$D134)=0,"",IF(B134="","缺原始值",IF(OR(B134="-",B134="--"),"無資料",IF(N134="NA","不適用",IF(N134="ND","OK",IF(NOT(ISNUMBER(P134)),"格式待核",IF(AND(N134&lt;&gt;"數值",P134&lt;0),"界限不得為負","OK")))))))</f>
        <v/>
      </c>
      <c r="AA134" s="93">
        <f>IF(COUNTA(A134:D134)=0,"",IF(OR(A134="",H134=""),"缺識別欄位",IF(IF(LEN("="&amp;SUBSTITUTE(SUBSTITUTE(SUBSTITUTE(X134,"~","~~"),"*","~*"),"?","~?"))&lt;=255,COUNTIF(Results[結果識別鍵],"="&amp;SUBSTITUTE(SUBSTITUTE(SUBSTITUTE(X134,"~","~~"),"*","~*"),"?","~?")),COUNTIFS(Results[關聯鍵],"="&amp;SUBSTITUTE(SUBSTITUTE(SUBSTITUTE(H134,"~","~~"),"*","~*"),"?","~?"),Results[分析項目],"="&amp;SUBSTITUTE(SUBSTITUTE(SUBSTITUTE(A134,"~","~~"),"*","~*"),"?","~?")))&gt;1,"同關聯鍵測項重複","OK")))</f>
        <v/>
      </c>
      <c r="AB134" s="93">
        <f>IF(COUNTA($A134:$D134)=0,"",IF(OR(C134="",K134=""),"缺單位",IF(NOT(ISNUMBER(L134)),"單位不相容",IF(L134=1,"OK","已換算"))))</f>
        <v/>
      </c>
      <c r="AC134" s="93">
        <f>IF(COUNTA($A134:$D134)=0,"",IF('07_QAQC'!$C$3="","未選比較版本",IF(U134=0,IF(COUNTIFS(DB_05[標準鍵],W134)&gt;1,"標準鍵重複","未訂此介質／測項門檻"),IF(INDEX(DB_05[版本檢查],U134)&lt;&gt;"OK","標準主檔待核",IF(INDEX(DB_05[標準單位],U134)&lt;&gt;K134,"標準單位不符",IF(INDEX(DB_05[核對狀態],U134)="停用","停用",IF(F134="","缺採樣日期",IF(OR(AND(INDEX(DB_05[生效日],U134)&lt;&gt;"",F134&lt;INDEX(DB_05[生效日],U134)),AND(INDEX(DB_05[失效日],U134)&lt;&gt;"",F134&gt;INDEX(DB_05[失效日],U134))),"日期不適用",INDEX(DB_05[核對狀態],U134)))))))))</f>
        <v/>
      </c>
      <c r="AD134" s="93">
        <f>IF(COUNTA($A134:$D134)=0,"",IF(AC134="未訂此介質／測項門檻",AC134,IF(AC134&lt;&gt;"已核對","標準待核",IF(R134="","未訂管制值",IF(NOT(ISNUMBER(L134)),"單位待核",IF(N134="ND","無法判定（ND無界限）",IF(N134="NA","不適用",IF(Z134&lt;&gt;"OK",Z134,IF(N134="數值",IF(Q134&gt;=R134,"達管制值","未達管制值"),IF(OR(N134="&lt;",N134="&lt;="),IF(OR(Q134&lt;R134,AND(N134="&lt;",Q134=R134)),"未達管制值","無法判定"),IF(OR(N134="&gt;",N134="&gt;="),IF(Q134&gt;=R134,"達管制值","無法判定"),"格式待核")))))))))))</f>
        <v/>
      </c>
      <c r="AE134" s="93">
        <f>IF(COUNTA($A134:$D134)=0,"",IF(AC134="未訂此介質／測項門檻",AC134,IF(AC134&lt;&gt;"已核對","標準待核",IF(S134="","未訂監測值",IF(NOT(ISNUMBER(L134)),"單位待核",IF(N134="ND","無法判定（ND無界限）",IF(N134="NA","不適用",IF(Z134&lt;&gt;"OK",Z134,IF(N134="數值",IF(Q134&gt;=S134,"達監測值","未達監測值"),IF(OR(N134="&lt;",N134="&lt;="),IF(OR(Q134&lt;S134,AND(N134="&lt;",Q134=S134)),"未達監測值","無法判定"),IF(OR(N134="&gt;",N134="&gt;="),IF(Q134&gt;=S134,"達監測值","無法判定"),"格式待核")))))))))))</f>
        <v/>
      </c>
      <c r="AF134" s="93">
        <f>IF(COUNTA($A134:$D134)=0,"",IF(OR(E134="",A134="",B134="",C134=""),"缺必要欄位",IF(Y134&lt;&gt;"OK","樣品資料待補",IF(T134=0,"測項未建或重複",IF(INDEX(DB_04[啟用],T134)&lt;&gt;"是","測項停用",IF(AND(Z134&lt;&gt;"OK",Z134&lt;&gt;"不適用"),Z134,IF(AND(AB134&lt;&gt;"OK",AB134&lt;&gt;"已換算"),"單位待核",IF(AA134&lt;&gt;"OK",AA134,"OK"))))))))</f>
        <v/>
      </c>
      <c r="AG134" s="93">
        <f>IF(COUNTA($A134:$D134)=0,"",IF(N134="ND","ND取0",IF(OR(N134="&lt;",N134="&lt;="),"界限除以2",IF(N134="NA","不適用",IF(OR(N134="&gt;",N134="&gt;="),"保留界限數值","保留原數值")))))</f>
        <v/>
      </c>
      <c r="AH134" s="92">
        <f>IF(O134="","",IFERROR(_xlfn.NUMBERVALUE(O134,".",","),""))</f>
        <v/>
      </c>
      <c r="AI134" s="92">
        <f>IF(H134="","",IFERROR(MATCH(H134,Samples[樣品編號],0),0))</f>
        <v/>
      </c>
    </row>
    <row r="135">
      <c r="A135" s="27" t="inlineStr">
        <is>
          <t>溶氧飽和度</t>
        </is>
      </c>
      <c r="B135" s="28" t="inlineStr">
        <is>
          <t>65</t>
        </is>
      </c>
      <c r="C135" s="27" t="inlineStr">
        <is>
          <t>%</t>
        </is>
      </c>
      <c r="D135" s="39" t="inlineStr">
        <is>
          <t>合成資料，非實測；method=field</t>
        </is>
      </c>
      <c r="E135" s="29">
        <f>IF(OR(I135="",I135=0),"",IF(INDEX(Samples[監測點],I135)="","",INDEX(Samples[監測點],I135)))</f>
        <v/>
      </c>
      <c r="F135" s="90">
        <f>IF(OR(I135="",I135=0),"",IF(INDEX(Samples[採樣日期],I135)="","",INDEX(Samples[採樣日期],I135)))</f>
        <v/>
      </c>
      <c r="G135" s="91">
        <f>IF(OR(M135="",M135="NA",M135="N/A"),"",IF(OR(M135="ND",M135="N.D."),0,IFERROR(IF(OR(OR(ISNUMBER(SEARCH("%",O135)),ISNUMBER(SEARCH(" ",O135)),ISNUMBER(SEARCH(",",O135))),OR(SUBSTITUTE(SUBSTITUTE(SUBSTITUTE(SUBSTITUTE(SUBSTITUTE(SUBSTITUTE(SUBSTITUTE(SUBSTITUTE(SUBSTITUTE(SUBSTITUTE(SUBSTITUTE(SUBSTITUTE(SUBSTITUTE(SUBSTITUTE(SUBSTITUTE(SUBSTITUTE(SUBSTITUTE(SUBSTITUTE("x"&amp;M135,"0",""),"1",""),"2",""),"3",""),"4",""),"5",""),"6",""),"7",""),"8",""),"9",""),".",""),"E",""),"+",""),"-",""),"&lt;",""),"&gt;",""),"=","")," ","")&lt;&gt;"x",ISNUMBER(SEARCH("-",SUBSTITUTE(SUBSTITUTE("x"&amp;MID(M135,2,99),"E-","E"),"E+","E"))),ISNUMBER(SEARCH("+",SUBSTITUTE(SUBSTITUTE("x"&amp;MID(M135,2,99),"E-","E"),"E+","E"))))),"",IF(AND(OR(LEFT(M135,1)="&lt;",LEFT(M135,1)="&gt;"),IF(O135="",0,IF(ISNUMBER(AH135),AH135,NA()))&lt;0),"",IF(O135="",0,IF(ISNUMBER(AH135),AH135,NA()))/IF(LEFT(M135,1)="&lt;",2,1))),"")))</f>
        <v/>
      </c>
      <c r="H135" s="57" t="inlineStr">
        <is>
          <t>BH03-W_20260415_02</t>
        </is>
      </c>
      <c r="I135" s="92">
        <f>IF(OR(H135="",AI135=0),0,IF(INDEX(Samples[樣品重複筆數],AI135)=1,AI135,0))</f>
        <v/>
      </c>
      <c r="J135" s="92">
        <f>IF(OR(COUNTA($A135:$D135)=0,I135=0),"",IF(INDEX(Samples[介質],I135)="","",INDEX(Samples[介質],I135)))</f>
        <v/>
      </c>
      <c r="K135" s="92">
        <f>IF(OR(COUNTA($A135:$D135)=0,T135=0),"",IF(INDEX(DB_04[標準單位],T135)="","",INDEX(DB_04[標準單位],T135)))</f>
        <v/>
      </c>
      <c r="L135" s="92">
        <f>IF(COUNTA($A135:$D135)=0,"",IF(OR(C135="",K135=""),"",IF(C135=K135,1,IF(COUNTIFS(DB_06[換算鍵],C135&amp;"|"&amp;K135,DB_06[換算檢查],"OK")=1,INDEX(DB_06[乘數],MATCH(C135&amp;"|"&amp;K135,DB_06[換算鍵],0)),""))))</f>
        <v/>
      </c>
      <c r="M135" s="92">
        <f>UPPER(SUBSTITUTE(SUBSTITUTE(SUBSTITUTE(SUBSTITUTE(TRIM(B135&amp;""),"＜","&lt;"),"＞","&gt;"),"≤","&lt;="),"≥","&gt;="))</f>
        <v/>
      </c>
      <c r="N135" s="92">
        <f>IF(M135="","",IF(OR(M135="ND",M135="N.D."),"ND",IF(OR(M135="NA",M135="N/A",M135="N.A."),"NA",IF(OR(LEFT(M135,2)="&lt;=",LEFT(M135,2)="&gt;="),LEFT(M135,2),IF(OR(LEFT(M135,1)="&lt;",LEFT(M135,1)="&gt;"),LEFT(M135,1),"數值")))))</f>
        <v/>
      </c>
      <c r="O135" s="92">
        <f>IF(OR(N135="",N135="ND",N135="NA"),"",IF(N135="數值",M135,TRIM(MID(M135,LEN(N135)+1,99))))</f>
        <v/>
      </c>
      <c r="P135" s="92">
        <f>IF(O135="","",IFERROR(IF(OR(OR(ISNUMBER(SEARCH("%",O135)),ISNUMBER(SEARCH(" ",O135)),ISNUMBER(SEARCH(",",O135))),OR(SUBSTITUTE(SUBSTITUTE(SUBSTITUTE(SUBSTITUTE(SUBSTITUTE(SUBSTITUTE(SUBSTITUTE(SUBSTITUTE(SUBSTITUTE(SUBSTITUTE(SUBSTITUTE(SUBSTITUTE(SUBSTITUTE(SUBSTITUTE(SUBSTITUTE(SUBSTITUTE(SUBSTITUTE(SUBSTITUTE("x"&amp;O135,"0",""),"1",""),"2",""),"3",""),"4",""),"5",""),"6",""),"7",""),"8",""),"9",""),".",""),"E",""),"+",""),"-",""),"&lt;",""),"&gt;",""),"=","")," ","")&lt;&gt;"x",ISNUMBER(SEARCH("-",SUBSTITUTE(SUBSTITUTE("x"&amp;MID(O135,2,99),"E-","E"),"E+","E"))),ISNUMBER(SEARCH("+",SUBSTITUTE(SUBSTITUTE("x"&amp;MID(O135,2,99),"E-","E"),"E+","E"))))),"",IF(ISNUMBER(AH135),AH135,NA())),""))</f>
        <v/>
      </c>
      <c r="Q135" s="92">
        <f>IF(AND(ISNUMBER(L135),ISNUMBER(P135)),L135*P135,"")</f>
        <v/>
      </c>
      <c r="R135" s="92">
        <f>IF(OR(COUNTA($A135:$D135)=0,U135=0),"",IF(INDEX(DB_05[管制設定值],U135)="","",INDEX(DB_05[管制設定值],U135)))</f>
        <v/>
      </c>
      <c r="S135" s="92">
        <f>IF(OR(COUNTA($A135:$D135)=0,U135=0),"",IF(INDEX(DB_05[監測設定值],U135)="","",INDEX(DB_05[監測設定值],U135)))</f>
        <v/>
      </c>
      <c r="T135" s="92">
        <f>IF(COUNTA($A135:$D135)=0,"",IF(COUNTIFS(DB_04[測項鍵],V135)=1,MATCH(V135,DB_04[測項鍵],0),0))</f>
        <v/>
      </c>
      <c r="U135" s="92">
        <f>IF(COUNTA($A135:$D135)=0,"",IF(COUNTIFS(DB_05[標準鍵],W135)=1,MATCH(W135,DB_05[標準鍵],0),0))</f>
        <v/>
      </c>
      <c r="V135" s="92">
        <f>IF(OR(J135="",A135=""),"",J135&amp;"|"&amp;A135)</f>
        <v/>
      </c>
      <c r="W135" s="92">
        <f>IF(OR('07_QAQC'!$C$3="",V135=""),"",'07_QAQC'!$C$3&amp;"|"&amp;V135)</f>
        <v/>
      </c>
      <c r="X135" s="92">
        <f>IF(OR(H135="",A135=""),"",LEN(H135)&amp;":"&amp;H135&amp;LEN(A135)&amp;":"&amp;A135)</f>
        <v/>
      </c>
      <c r="Y135" s="93">
        <f>IF(COUNTA($A135:$D135)=0,"",IF(I135=0,"樣品未建或重複",IF(INDEX(Samples[樣品檢查],I135)="","OK",INDEX(Samples[樣品檢查],I135))))</f>
        <v/>
      </c>
      <c r="Z135" s="93">
        <f>IF(COUNTA($A135:$D135)=0,"",IF(B135="","缺原始值",IF(OR(B135="-",B135="--"),"無資料",IF(N135="NA","不適用",IF(N135="ND","OK",IF(NOT(ISNUMBER(P135)),"格式待核",IF(AND(N135&lt;&gt;"數值",P135&lt;0),"界限不得為負","OK")))))))</f>
        <v/>
      </c>
      <c r="AA135" s="93">
        <f>IF(COUNTA(A135:D135)=0,"",IF(OR(A135="",H135=""),"缺識別欄位",IF(IF(LEN("="&amp;SUBSTITUTE(SUBSTITUTE(SUBSTITUTE(X135,"~","~~"),"*","~*"),"?","~?"))&lt;=255,COUNTIF(Results[結果識別鍵],"="&amp;SUBSTITUTE(SUBSTITUTE(SUBSTITUTE(X135,"~","~~"),"*","~*"),"?","~?")),COUNTIFS(Results[關聯鍵],"="&amp;SUBSTITUTE(SUBSTITUTE(SUBSTITUTE(H135,"~","~~"),"*","~*"),"?","~?"),Results[分析項目],"="&amp;SUBSTITUTE(SUBSTITUTE(SUBSTITUTE(A135,"~","~~"),"*","~*"),"?","~?")))&gt;1,"同關聯鍵測項重複","OK")))</f>
        <v/>
      </c>
      <c r="AB135" s="93">
        <f>IF(COUNTA($A135:$D135)=0,"",IF(OR(C135="",K135=""),"缺單位",IF(NOT(ISNUMBER(L135)),"單位不相容",IF(L135=1,"OK","已換算"))))</f>
        <v/>
      </c>
      <c r="AC135" s="93">
        <f>IF(COUNTA($A135:$D135)=0,"",IF('07_QAQC'!$C$3="","未選比較版本",IF(U135=0,IF(COUNTIFS(DB_05[標準鍵],W135)&gt;1,"標準鍵重複","未訂此介質／測項門檻"),IF(INDEX(DB_05[版本檢查],U135)&lt;&gt;"OK","標準主檔待核",IF(INDEX(DB_05[標準單位],U135)&lt;&gt;K135,"標準單位不符",IF(INDEX(DB_05[核對狀態],U135)="停用","停用",IF(F135="","缺採樣日期",IF(OR(AND(INDEX(DB_05[生效日],U135)&lt;&gt;"",F135&lt;INDEX(DB_05[生效日],U135)),AND(INDEX(DB_05[失效日],U135)&lt;&gt;"",F135&gt;INDEX(DB_05[失效日],U135))),"日期不適用",INDEX(DB_05[核對狀態],U135)))))))))</f>
        <v/>
      </c>
      <c r="AD135" s="93">
        <f>IF(COUNTA($A135:$D135)=0,"",IF(AC135="未訂此介質／測項門檻",AC135,IF(AC135&lt;&gt;"已核對","標準待核",IF(R135="","未訂管制值",IF(NOT(ISNUMBER(L135)),"單位待核",IF(N135="ND","無法判定（ND無界限）",IF(N135="NA","不適用",IF(Z135&lt;&gt;"OK",Z135,IF(N135="數值",IF(Q135&gt;=R135,"達管制值","未達管制值"),IF(OR(N135="&lt;",N135="&lt;="),IF(OR(Q135&lt;R135,AND(N135="&lt;",Q135=R135)),"未達管制值","無法判定"),IF(OR(N135="&gt;",N135="&gt;="),IF(Q135&gt;=R135,"達管制值","無法判定"),"格式待核")))))))))))</f>
        <v/>
      </c>
      <c r="AE135" s="93">
        <f>IF(COUNTA($A135:$D135)=0,"",IF(AC135="未訂此介質／測項門檻",AC135,IF(AC135&lt;&gt;"已核對","標準待核",IF(S135="","未訂監測值",IF(NOT(ISNUMBER(L135)),"單位待核",IF(N135="ND","無法判定（ND無界限）",IF(N135="NA","不適用",IF(Z135&lt;&gt;"OK",Z135,IF(N135="數值",IF(Q135&gt;=S135,"達監測值","未達監測值"),IF(OR(N135="&lt;",N135="&lt;="),IF(OR(Q135&lt;S135,AND(N135="&lt;",Q135=S135)),"未達監測值","無法判定"),IF(OR(N135="&gt;",N135="&gt;="),IF(Q135&gt;=S135,"達監測值","無法判定"),"格式待核")))))))))))</f>
        <v/>
      </c>
      <c r="AF135" s="93">
        <f>IF(COUNTA($A135:$D135)=0,"",IF(OR(E135="",A135="",B135="",C135=""),"缺必要欄位",IF(Y135&lt;&gt;"OK","樣品資料待補",IF(T135=0,"測項未建或重複",IF(INDEX(DB_04[啟用],T135)&lt;&gt;"是","測項停用",IF(AND(Z135&lt;&gt;"OK",Z135&lt;&gt;"不適用"),Z135,IF(AND(AB135&lt;&gt;"OK",AB135&lt;&gt;"已換算"),"單位待核",IF(AA135&lt;&gt;"OK",AA135,"OK"))))))))</f>
        <v/>
      </c>
      <c r="AG135" s="93">
        <f>IF(COUNTA($A135:$D135)=0,"",IF(N135="ND","ND取0",IF(OR(N135="&lt;",N135="&lt;="),"界限除以2",IF(N135="NA","不適用",IF(OR(N135="&gt;",N135="&gt;="),"保留界限數值","保留原數值")))))</f>
        <v/>
      </c>
      <c r="AH135" s="92">
        <f>IF(O135="","",IFERROR(_xlfn.NUMBERVALUE(O135,".",","),""))</f>
        <v/>
      </c>
      <c r="AI135" s="92">
        <f>IF(H135="","",IFERROR(MATCH(H135,Samples[樣品編號],0),0))</f>
        <v/>
      </c>
    </row>
    <row r="136">
      <c r="A136" s="27" t="inlineStr">
        <is>
          <t>ORP</t>
        </is>
      </c>
      <c r="B136" s="28" t="inlineStr">
        <is>
          <t>-20</t>
        </is>
      </c>
      <c r="C136" s="27" t="inlineStr">
        <is>
          <t>mV</t>
        </is>
      </c>
      <c r="D136" s="39" t="inlineStr">
        <is>
          <t>合成資料，非實測；method=field; reference_electrode=Ag/AgCl; calibration=verified</t>
        </is>
      </c>
      <c r="E136" s="29">
        <f>IF(OR(I136="",I136=0),"",IF(INDEX(Samples[監測點],I136)="","",INDEX(Samples[監測點],I136)))</f>
        <v/>
      </c>
      <c r="F136" s="90">
        <f>IF(OR(I136="",I136=0),"",IF(INDEX(Samples[採樣日期],I136)="","",INDEX(Samples[採樣日期],I136)))</f>
        <v/>
      </c>
      <c r="G136" s="91">
        <f>IF(OR(M136="",M136="NA",M136="N/A"),"",IF(OR(M136="ND",M136="N.D."),0,IFERROR(IF(OR(OR(ISNUMBER(SEARCH("%",O136)),ISNUMBER(SEARCH(" ",O136)),ISNUMBER(SEARCH(",",O136))),OR(SUBSTITUTE(SUBSTITUTE(SUBSTITUTE(SUBSTITUTE(SUBSTITUTE(SUBSTITUTE(SUBSTITUTE(SUBSTITUTE(SUBSTITUTE(SUBSTITUTE(SUBSTITUTE(SUBSTITUTE(SUBSTITUTE(SUBSTITUTE(SUBSTITUTE(SUBSTITUTE(SUBSTITUTE(SUBSTITUTE("x"&amp;M136,"0",""),"1",""),"2",""),"3",""),"4",""),"5",""),"6",""),"7",""),"8",""),"9",""),".",""),"E",""),"+",""),"-",""),"&lt;",""),"&gt;",""),"=","")," ","")&lt;&gt;"x",ISNUMBER(SEARCH("-",SUBSTITUTE(SUBSTITUTE("x"&amp;MID(M136,2,99),"E-","E"),"E+","E"))),ISNUMBER(SEARCH("+",SUBSTITUTE(SUBSTITUTE("x"&amp;MID(M136,2,99),"E-","E"),"E+","E"))))),"",IF(AND(OR(LEFT(M136,1)="&lt;",LEFT(M136,1)="&gt;"),IF(O136="",0,IF(ISNUMBER(AH136),AH136,NA()))&lt;0),"",IF(O136="",0,IF(ISNUMBER(AH136),AH136,NA()))/IF(LEFT(M136,1)="&lt;",2,1))),"")))</f>
        <v/>
      </c>
      <c r="H136" s="57" t="inlineStr">
        <is>
          <t>BH03-W_20260415_02</t>
        </is>
      </c>
      <c r="I136" s="92">
        <f>IF(OR(H136="",AI136=0),0,IF(INDEX(Samples[樣品重複筆數],AI136)=1,AI136,0))</f>
        <v/>
      </c>
      <c r="J136" s="92">
        <f>IF(OR(COUNTA($A136:$D136)=0,I136=0),"",IF(INDEX(Samples[介質],I136)="","",INDEX(Samples[介質],I136)))</f>
        <v/>
      </c>
      <c r="K136" s="92">
        <f>IF(OR(COUNTA($A136:$D136)=0,T136=0),"",IF(INDEX(DB_04[標準單位],T136)="","",INDEX(DB_04[標準單位],T136)))</f>
        <v/>
      </c>
      <c r="L136" s="92">
        <f>IF(COUNTA($A136:$D136)=0,"",IF(OR(C136="",K136=""),"",IF(C136=K136,1,IF(COUNTIFS(DB_06[換算鍵],C136&amp;"|"&amp;K136,DB_06[換算檢查],"OK")=1,INDEX(DB_06[乘數],MATCH(C136&amp;"|"&amp;K136,DB_06[換算鍵],0)),""))))</f>
        <v/>
      </c>
      <c r="M136" s="92">
        <f>UPPER(SUBSTITUTE(SUBSTITUTE(SUBSTITUTE(SUBSTITUTE(TRIM(B136&amp;""),"＜","&lt;"),"＞","&gt;"),"≤","&lt;="),"≥","&gt;="))</f>
        <v/>
      </c>
      <c r="N136" s="92">
        <f>IF(M136="","",IF(OR(M136="ND",M136="N.D."),"ND",IF(OR(M136="NA",M136="N/A",M136="N.A."),"NA",IF(OR(LEFT(M136,2)="&lt;=",LEFT(M136,2)="&gt;="),LEFT(M136,2),IF(OR(LEFT(M136,1)="&lt;",LEFT(M136,1)="&gt;"),LEFT(M136,1),"數值")))))</f>
        <v/>
      </c>
      <c r="O136" s="92">
        <f>IF(OR(N136="",N136="ND",N136="NA"),"",IF(N136="數值",M136,TRIM(MID(M136,LEN(N136)+1,99))))</f>
        <v/>
      </c>
      <c r="P136" s="92">
        <f>IF(O136="","",IFERROR(IF(OR(OR(ISNUMBER(SEARCH("%",O136)),ISNUMBER(SEARCH(" ",O136)),ISNUMBER(SEARCH(",",O136))),OR(SUBSTITUTE(SUBSTITUTE(SUBSTITUTE(SUBSTITUTE(SUBSTITUTE(SUBSTITUTE(SUBSTITUTE(SUBSTITUTE(SUBSTITUTE(SUBSTITUTE(SUBSTITUTE(SUBSTITUTE(SUBSTITUTE(SUBSTITUTE(SUBSTITUTE(SUBSTITUTE(SUBSTITUTE(SUBSTITUTE("x"&amp;O136,"0",""),"1",""),"2",""),"3",""),"4",""),"5",""),"6",""),"7",""),"8",""),"9",""),".",""),"E",""),"+",""),"-",""),"&lt;",""),"&gt;",""),"=","")," ","")&lt;&gt;"x",ISNUMBER(SEARCH("-",SUBSTITUTE(SUBSTITUTE("x"&amp;MID(O136,2,99),"E-","E"),"E+","E"))),ISNUMBER(SEARCH("+",SUBSTITUTE(SUBSTITUTE("x"&amp;MID(O136,2,99),"E-","E"),"E+","E"))))),"",IF(ISNUMBER(AH136),AH136,NA())),""))</f>
        <v/>
      </c>
      <c r="Q136" s="92">
        <f>IF(AND(ISNUMBER(L136),ISNUMBER(P136)),L136*P136,"")</f>
        <v/>
      </c>
      <c r="R136" s="92">
        <f>IF(OR(COUNTA($A136:$D136)=0,U136=0),"",IF(INDEX(DB_05[管制設定值],U136)="","",INDEX(DB_05[管制設定值],U136)))</f>
        <v/>
      </c>
      <c r="S136" s="92">
        <f>IF(OR(COUNTA($A136:$D136)=0,U136=0),"",IF(INDEX(DB_05[監測設定值],U136)="","",INDEX(DB_05[監測設定值],U136)))</f>
        <v/>
      </c>
      <c r="T136" s="92">
        <f>IF(COUNTA($A136:$D136)=0,"",IF(COUNTIFS(DB_04[測項鍵],V136)=1,MATCH(V136,DB_04[測項鍵],0),0))</f>
        <v/>
      </c>
      <c r="U136" s="92">
        <f>IF(COUNTA($A136:$D136)=0,"",IF(COUNTIFS(DB_05[標準鍵],W136)=1,MATCH(W136,DB_05[標準鍵],0),0))</f>
        <v/>
      </c>
      <c r="V136" s="92">
        <f>IF(OR(J136="",A136=""),"",J136&amp;"|"&amp;A136)</f>
        <v/>
      </c>
      <c r="W136" s="92">
        <f>IF(OR('07_QAQC'!$C$3="",V136=""),"",'07_QAQC'!$C$3&amp;"|"&amp;V136)</f>
        <v/>
      </c>
      <c r="X136" s="92">
        <f>IF(OR(H136="",A136=""),"",LEN(H136)&amp;":"&amp;H136&amp;LEN(A136)&amp;":"&amp;A136)</f>
        <v/>
      </c>
      <c r="Y136" s="93">
        <f>IF(COUNTA($A136:$D136)=0,"",IF(I136=0,"樣品未建或重複",IF(INDEX(Samples[樣品檢查],I136)="","OK",INDEX(Samples[樣品檢查],I136))))</f>
        <v/>
      </c>
      <c r="Z136" s="93">
        <f>IF(COUNTA($A136:$D136)=0,"",IF(B136="","缺原始值",IF(OR(B136="-",B136="--"),"無資料",IF(N136="NA","不適用",IF(N136="ND","OK",IF(NOT(ISNUMBER(P136)),"格式待核",IF(AND(N136&lt;&gt;"數值",P136&lt;0),"界限不得為負","OK")))))))</f>
        <v/>
      </c>
      <c r="AA136" s="93">
        <f>IF(COUNTA(A136:D136)=0,"",IF(OR(A136="",H136=""),"缺識別欄位",IF(IF(LEN("="&amp;SUBSTITUTE(SUBSTITUTE(SUBSTITUTE(X136,"~","~~"),"*","~*"),"?","~?"))&lt;=255,COUNTIF(Results[結果識別鍵],"="&amp;SUBSTITUTE(SUBSTITUTE(SUBSTITUTE(X136,"~","~~"),"*","~*"),"?","~?")),COUNTIFS(Results[關聯鍵],"="&amp;SUBSTITUTE(SUBSTITUTE(SUBSTITUTE(H136,"~","~~"),"*","~*"),"?","~?"),Results[分析項目],"="&amp;SUBSTITUTE(SUBSTITUTE(SUBSTITUTE(A136,"~","~~"),"*","~*"),"?","~?")))&gt;1,"同關聯鍵測項重複","OK")))</f>
        <v/>
      </c>
      <c r="AB136" s="93">
        <f>IF(COUNTA($A136:$D136)=0,"",IF(OR(C136="",K136=""),"缺單位",IF(NOT(ISNUMBER(L136)),"單位不相容",IF(L136=1,"OK","已換算"))))</f>
        <v/>
      </c>
      <c r="AC136" s="93">
        <f>IF(COUNTA($A136:$D136)=0,"",IF('07_QAQC'!$C$3="","未選比較版本",IF(U136=0,IF(COUNTIFS(DB_05[標準鍵],W136)&gt;1,"標準鍵重複","未訂此介質／測項門檻"),IF(INDEX(DB_05[版本檢查],U136)&lt;&gt;"OK","標準主檔待核",IF(INDEX(DB_05[標準單位],U136)&lt;&gt;K136,"標準單位不符",IF(INDEX(DB_05[核對狀態],U136)="停用","停用",IF(F136="","缺採樣日期",IF(OR(AND(INDEX(DB_05[生效日],U136)&lt;&gt;"",F136&lt;INDEX(DB_05[生效日],U136)),AND(INDEX(DB_05[失效日],U136)&lt;&gt;"",F136&gt;INDEX(DB_05[失效日],U136))),"日期不適用",INDEX(DB_05[核對狀態],U136)))))))))</f>
        <v/>
      </c>
      <c r="AD136" s="93">
        <f>IF(COUNTA($A136:$D136)=0,"",IF(AC136="未訂此介質／測項門檻",AC136,IF(AC136&lt;&gt;"已核對","標準待核",IF(R136="","未訂管制值",IF(NOT(ISNUMBER(L136)),"單位待核",IF(N136="ND","無法判定（ND無界限）",IF(N136="NA","不適用",IF(Z136&lt;&gt;"OK",Z136,IF(N136="數值",IF(Q136&gt;=R136,"達管制值","未達管制值"),IF(OR(N136="&lt;",N136="&lt;="),IF(OR(Q136&lt;R136,AND(N136="&lt;",Q136=R136)),"未達管制值","無法判定"),IF(OR(N136="&gt;",N136="&gt;="),IF(Q136&gt;=R136,"達管制值","無法判定"),"格式待核")))))))))))</f>
        <v/>
      </c>
      <c r="AE136" s="93">
        <f>IF(COUNTA($A136:$D136)=0,"",IF(AC136="未訂此介質／測項門檻",AC136,IF(AC136&lt;&gt;"已核對","標準待核",IF(S136="","未訂監測值",IF(NOT(ISNUMBER(L136)),"單位待核",IF(N136="ND","無法判定（ND無界限）",IF(N136="NA","不適用",IF(Z136&lt;&gt;"OK",Z136,IF(N136="數值",IF(Q136&gt;=S136,"達監測值","未達監測值"),IF(OR(N136="&lt;",N136="&lt;="),IF(OR(Q136&lt;S136,AND(N136="&lt;",Q136=S136)),"未達監測值","無法判定"),IF(OR(N136="&gt;",N136="&gt;="),IF(Q136&gt;=S136,"達監測值","無法判定"),"格式待核")))))))))))</f>
        <v/>
      </c>
      <c r="AF136" s="93">
        <f>IF(COUNTA($A136:$D136)=0,"",IF(OR(E136="",A136="",B136="",C136=""),"缺必要欄位",IF(Y136&lt;&gt;"OK","樣品資料待補",IF(T136=0,"測項未建或重複",IF(INDEX(DB_04[啟用],T136)&lt;&gt;"是","測項停用",IF(AND(Z136&lt;&gt;"OK",Z136&lt;&gt;"不適用"),Z136,IF(AND(AB136&lt;&gt;"OK",AB136&lt;&gt;"已換算"),"單位待核",IF(AA136&lt;&gt;"OK",AA136,"OK"))))))))</f>
        <v/>
      </c>
      <c r="AG136" s="93">
        <f>IF(COUNTA($A136:$D136)=0,"",IF(N136="ND","ND取0",IF(OR(N136="&lt;",N136="&lt;="),"界限除以2",IF(N136="NA","不適用",IF(OR(N136="&gt;",N136="&gt;="),"保留界限數值","保留原數值")))))</f>
        <v/>
      </c>
      <c r="AH136" s="92">
        <f>IF(O136="","",IFERROR(_xlfn.NUMBERVALUE(O136,".",","),""))</f>
        <v/>
      </c>
      <c r="AI136" s="92">
        <f>IF(H136="","",IFERROR(MATCH(H136,Samples[樣品編號],0),0))</f>
        <v/>
      </c>
    </row>
    <row r="137">
      <c r="A137" s="27" t="inlineStr">
        <is>
          <t>總有機碳</t>
        </is>
      </c>
      <c r="B137" s="28" t="inlineStr">
        <is>
          <t>3.0</t>
        </is>
      </c>
      <c r="C137" s="27" t="inlineStr">
        <is>
          <t>mg/L</t>
        </is>
      </c>
      <c r="D137" s="39" t="inlineStr">
        <is>
          <t>合成資料，非實測；method=lab</t>
        </is>
      </c>
      <c r="E137" s="29">
        <f>IF(OR(I137="",I137=0),"",IF(INDEX(Samples[監測點],I137)="","",INDEX(Samples[監測點],I137)))</f>
        <v/>
      </c>
      <c r="F137" s="90">
        <f>IF(OR(I137="",I137=0),"",IF(INDEX(Samples[採樣日期],I137)="","",INDEX(Samples[採樣日期],I137)))</f>
        <v/>
      </c>
      <c r="G137" s="91">
        <f>IF(OR(M137="",M137="NA",M137="N/A"),"",IF(OR(M137="ND",M137="N.D."),0,IFERROR(IF(OR(OR(ISNUMBER(SEARCH("%",O137)),ISNUMBER(SEARCH(" ",O137)),ISNUMBER(SEARCH(",",O137))),OR(SUBSTITUTE(SUBSTITUTE(SUBSTITUTE(SUBSTITUTE(SUBSTITUTE(SUBSTITUTE(SUBSTITUTE(SUBSTITUTE(SUBSTITUTE(SUBSTITUTE(SUBSTITUTE(SUBSTITUTE(SUBSTITUTE(SUBSTITUTE(SUBSTITUTE(SUBSTITUTE(SUBSTITUTE(SUBSTITUTE("x"&amp;M137,"0",""),"1",""),"2",""),"3",""),"4",""),"5",""),"6",""),"7",""),"8",""),"9",""),".",""),"E",""),"+",""),"-",""),"&lt;",""),"&gt;",""),"=","")," ","")&lt;&gt;"x",ISNUMBER(SEARCH("-",SUBSTITUTE(SUBSTITUTE("x"&amp;MID(M137,2,99),"E-","E"),"E+","E"))),ISNUMBER(SEARCH("+",SUBSTITUTE(SUBSTITUTE("x"&amp;MID(M137,2,99),"E-","E"),"E+","E"))))),"",IF(AND(OR(LEFT(M137,1)="&lt;",LEFT(M137,1)="&gt;"),IF(O137="",0,IF(ISNUMBER(AH137),AH137,NA()))&lt;0),"",IF(O137="",0,IF(ISNUMBER(AH137),AH137,NA()))/IF(LEFT(M137,1)="&lt;",2,1))),"")))</f>
        <v/>
      </c>
      <c r="H137" s="57" t="inlineStr">
        <is>
          <t>BH03-W_20260415_02</t>
        </is>
      </c>
      <c r="I137" s="92">
        <f>IF(OR(H137="",AI137=0),0,IF(INDEX(Samples[樣品重複筆數],AI137)=1,AI137,0))</f>
        <v/>
      </c>
      <c r="J137" s="92">
        <f>IF(OR(COUNTA($A137:$D137)=0,I137=0),"",IF(INDEX(Samples[介質],I137)="","",INDEX(Samples[介質],I137)))</f>
        <v/>
      </c>
      <c r="K137" s="92">
        <f>IF(OR(COUNTA($A137:$D137)=0,T137=0),"",IF(INDEX(DB_04[標準單位],T137)="","",INDEX(DB_04[標準單位],T137)))</f>
        <v/>
      </c>
      <c r="L137" s="92">
        <f>IF(COUNTA($A137:$D137)=0,"",IF(OR(C137="",K137=""),"",IF(C137=K137,1,IF(COUNTIFS(DB_06[換算鍵],C137&amp;"|"&amp;K137,DB_06[換算檢查],"OK")=1,INDEX(DB_06[乘數],MATCH(C137&amp;"|"&amp;K137,DB_06[換算鍵],0)),""))))</f>
        <v/>
      </c>
      <c r="M137" s="92">
        <f>UPPER(SUBSTITUTE(SUBSTITUTE(SUBSTITUTE(SUBSTITUTE(TRIM(B137&amp;""),"＜","&lt;"),"＞","&gt;"),"≤","&lt;="),"≥","&gt;="))</f>
        <v/>
      </c>
      <c r="N137" s="92">
        <f>IF(M137="","",IF(OR(M137="ND",M137="N.D."),"ND",IF(OR(M137="NA",M137="N/A",M137="N.A."),"NA",IF(OR(LEFT(M137,2)="&lt;=",LEFT(M137,2)="&gt;="),LEFT(M137,2),IF(OR(LEFT(M137,1)="&lt;",LEFT(M137,1)="&gt;"),LEFT(M137,1),"數值")))))</f>
        <v/>
      </c>
      <c r="O137" s="92">
        <f>IF(OR(N137="",N137="ND",N137="NA"),"",IF(N137="數值",M137,TRIM(MID(M137,LEN(N137)+1,99))))</f>
        <v/>
      </c>
      <c r="P137" s="92">
        <f>IF(O137="","",IFERROR(IF(OR(OR(ISNUMBER(SEARCH("%",O137)),ISNUMBER(SEARCH(" ",O137)),ISNUMBER(SEARCH(",",O137))),OR(SUBSTITUTE(SUBSTITUTE(SUBSTITUTE(SUBSTITUTE(SUBSTITUTE(SUBSTITUTE(SUBSTITUTE(SUBSTITUTE(SUBSTITUTE(SUBSTITUTE(SUBSTITUTE(SUBSTITUTE(SUBSTITUTE(SUBSTITUTE(SUBSTITUTE(SUBSTITUTE(SUBSTITUTE(SUBSTITUTE("x"&amp;O137,"0",""),"1",""),"2",""),"3",""),"4",""),"5",""),"6",""),"7",""),"8",""),"9",""),".",""),"E",""),"+",""),"-",""),"&lt;",""),"&gt;",""),"=","")," ","")&lt;&gt;"x",ISNUMBER(SEARCH("-",SUBSTITUTE(SUBSTITUTE("x"&amp;MID(O137,2,99),"E-","E"),"E+","E"))),ISNUMBER(SEARCH("+",SUBSTITUTE(SUBSTITUTE("x"&amp;MID(O137,2,99),"E-","E"),"E+","E"))))),"",IF(ISNUMBER(AH137),AH137,NA())),""))</f>
        <v/>
      </c>
      <c r="Q137" s="92">
        <f>IF(AND(ISNUMBER(L137),ISNUMBER(P137)),L137*P137,"")</f>
        <v/>
      </c>
      <c r="R137" s="92">
        <f>IF(OR(COUNTA($A137:$D137)=0,U137=0),"",IF(INDEX(DB_05[管制設定值],U137)="","",INDEX(DB_05[管制設定值],U137)))</f>
        <v/>
      </c>
      <c r="S137" s="92">
        <f>IF(OR(COUNTA($A137:$D137)=0,U137=0),"",IF(INDEX(DB_05[監測設定值],U137)="","",INDEX(DB_05[監測設定值],U137)))</f>
        <v/>
      </c>
      <c r="T137" s="92">
        <f>IF(COUNTA($A137:$D137)=0,"",IF(COUNTIFS(DB_04[測項鍵],V137)=1,MATCH(V137,DB_04[測項鍵],0),0))</f>
        <v/>
      </c>
      <c r="U137" s="92">
        <f>IF(COUNTA($A137:$D137)=0,"",IF(COUNTIFS(DB_05[標準鍵],W137)=1,MATCH(W137,DB_05[標準鍵],0),0))</f>
        <v/>
      </c>
      <c r="V137" s="92">
        <f>IF(OR(J137="",A137=""),"",J137&amp;"|"&amp;A137)</f>
        <v/>
      </c>
      <c r="W137" s="92">
        <f>IF(OR('07_QAQC'!$C$3="",V137=""),"",'07_QAQC'!$C$3&amp;"|"&amp;V137)</f>
        <v/>
      </c>
      <c r="X137" s="92">
        <f>IF(OR(H137="",A137=""),"",LEN(H137)&amp;":"&amp;H137&amp;LEN(A137)&amp;":"&amp;A137)</f>
        <v/>
      </c>
      <c r="Y137" s="93">
        <f>IF(COUNTA($A137:$D137)=0,"",IF(I137=0,"樣品未建或重複",IF(INDEX(Samples[樣品檢查],I137)="","OK",INDEX(Samples[樣品檢查],I137))))</f>
        <v/>
      </c>
      <c r="Z137" s="93">
        <f>IF(COUNTA($A137:$D137)=0,"",IF(B137="","缺原始值",IF(OR(B137="-",B137="--"),"無資料",IF(N137="NA","不適用",IF(N137="ND","OK",IF(NOT(ISNUMBER(P137)),"格式待核",IF(AND(N137&lt;&gt;"數值",P137&lt;0),"界限不得為負","OK")))))))</f>
        <v/>
      </c>
      <c r="AA137" s="93">
        <f>IF(COUNTA(A137:D137)=0,"",IF(OR(A137="",H137=""),"缺識別欄位",IF(IF(LEN("="&amp;SUBSTITUTE(SUBSTITUTE(SUBSTITUTE(X137,"~","~~"),"*","~*"),"?","~?"))&lt;=255,COUNTIF(Results[結果識別鍵],"="&amp;SUBSTITUTE(SUBSTITUTE(SUBSTITUTE(X137,"~","~~"),"*","~*"),"?","~?")),COUNTIFS(Results[關聯鍵],"="&amp;SUBSTITUTE(SUBSTITUTE(SUBSTITUTE(H137,"~","~~"),"*","~*"),"?","~?"),Results[分析項目],"="&amp;SUBSTITUTE(SUBSTITUTE(SUBSTITUTE(A137,"~","~~"),"*","~*"),"?","~?")))&gt;1,"同關聯鍵測項重複","OK")))</f>
        <v/>
      </c>
      <c r="AB137" s="93">
        <f>IF(COUNTA($A137:$D137)=0,"",IF(OR(C137="",K137=""),"缺單位",IF(NOT(ISNUMBER(L137)),"單位不相容",IF(L137=1,"OK","已換算"))))</f>
        <v/>
      </c>
      <c r="AC137" s="93">
        <f>IF(COUNTA($A137:$D137)=0,"",IF('07_QAQC'!$C$3="","未選比較版本",IF(U137=0,IF(COUNTIFS(DB_05[標準鍵],W137)&gt;1,"標準鍵重複","未訂此介質／測項門檻"),IF(INDEX(DB_05[版本檢查],U137)&lt;&gt;"OK","標準主檔待核",IF(INDEX(DB_05[標準單位],U137)&lt;&gt;K137,"標準單位不符",IF(INDEX(DB_05[核對狀態],U137)="停用","停用",IF(F137="","缺採樣日期",IF(OR(AND(INDEX(DB_05[生效日],U137)&lt;&gt;"",F137&lt;INDEX(DB_05[生效日],U137)),AND(INDEX(DB_05[失效日],U137)&lt;&gt;"",F137&gt;INDEX(DB_05[失效日],U137))),"日期不適用",INDEX(DB_05[核對狀態],U137)))))))))</f>
        <v/>
      </c>
      <c r="AD137" s="93">
        <f>IF(COUNTA($A137:$D137)=0,"",IF(AC137="未訂此介質／測項門檻",AC137,IF(AC137&lt;&gt;"已核對","標準待核",IF(R137="","未訂管制值",IF(NOT(ISNUMBER(L137)),"單位待核",IF(N137="ND","無法判定（ND無界限）",IF(N137="NA","不適用",IF(Z137&lt;&gt;"OK",Z137,IF(N137="數值",IF(Q137&gt;=R137,"達管制值","未達管制值"),IF(OR(N137="&lt;",N137="&lt;="),IF(OR(Q137&lt;R137,AND(N137="&lt;",Q137=R137)),"未達管制值","無法判定"),IF(OR(N137="&gt;",N137="&gt;="),IF(Q137&gt;=R137,"達管制值","無法判定"),"格式待核")))))))))))</f>
        <v/>
      </c>
      <c r="AE137" s="93">
        <f>IF(COUNTA($A137:$D137)=0,"",IF(AC137="未訂此介質／測項門檻",AC137,IF(AC137&lt;&gt;"已核對","標準待核",IF(S137="","未訂監測值",IF(NOT(ISNUMBER(L137)),"單位待核",IF(N137="ND","無法判定（ND無界限）",IF(N137="NA","不適用",IF(Z137&lt;&gt;"OK",Z137,IF(N137="數值",IF(Q137&gt;=S137,"達監測值","未達監測值"),IF(OR(N137="&lt;",N137="&lt;="),IF(OR(Q137&lt;S137,AND(N137="&lt;",Q137=S137)),"未達監測值","無法判定"),IF(OR(N137="&gt;",N137="&gt;="),IF(Q137&gt;=S137,"達監測值","無法判定"),"格式待核")))))))))))</f>
        <v/>
      </c>
      <c r="AF137" s="93">
        <f>IF(COUNTA($A137:$D137)=0,"",IF(OR(E137="",A137="",B137="",C137=""),"缺必要欄位",IF(Y137&lt;&gt;"OK","樣品資料待補",IF(T137=0,"測項未建或重複",IF(INDEX(DB_04[啟用],T137)&lt;&gt;"是","測項停用",IF(AND(Z137&lt;&gt;"OK",Z137&lt;&gt;"不適用"),Z137,IF(AND(AB137&lt;&gt;"OK",AB137&lt;&gt;"已換算"),"單位待核",IF(AA137&lt;&gt;"OK",AA137,"OK"))))))))</f>
        <v/>
      </c>
      <c r="AG137" s="93">
        <f>IF(COUNTA($A137:$D137)=0,"",IF(N137="ND","ND取0",IF(OR(N137="&lt;",N137="&lt;="),"界限除以2",IF(N137="NA","不適用",IF(OR(N137="&gt;",N137="&gt;="),"保留界限數值","保留原數值")))))</f>
        <v/>
      </c>
      <c r="AH137" s="92">
        <f>IF(O137="","",IFERROR(_xlfn.NUMBERVALUE(O137,".",","),""))</f>
        <v/>
      </c>
      <c r="AI137" s="92">
        <f>IF(H137="","",IFERROR(MATCH(H137,Samples[樣品編號],0),0))</f>
        <v/>
      </c>
    </row>
    <row r="138">
      <c r="A138" s="27" t="inlineStr">
        <is>
          <t>鋅</t>
        </is>
      </c>
      <c r="B138" s="28" t="inlineStr">
        <is>
          <t>156</t>
        </is>
      </c>
      <c r="C138" s="27" t="inlineStr">
        <is>
          <t>mg/kg</t>
        </is>
      </c>
      <c r="D138" s="39" t="inlineStr">
        <is>
          <t>合成資料，非實測；method=XRF; basis=dry</t>
        </is>
      </c>
      <c r="E138" s="29">
        <f>IF(OR(I138="",I138=0),"",IF(INDEX(Samples[監測點],I138)="","",INDEX(Samples[監測點],I138)))</f>
        <v/>
      </c>
      <c r="F138" s="90">
        <f>IF(OR(I138="",I138=0),"",IF(INDEX(Samples[採樣日期],I138)="","",INDEX(Samples[採樣日期],I138)))</f>
        <v/>
      </c>
      <c r="G138" s="91">
        <f>IF(OR(M138="",M138="NA",M138="N/A"),"",IF(OR(M138="ND",M138="N.D."),0,IFERROR(IF(OR(OR(ISNUMBER(SEARCH("%",O138)),ISNUMBER(SEARCH(" ",O138)),ISNUMBER(SEARCH(",",O138))),OR(SUBSTITUTE(SUBSTITUTE(SUBSTITUTE(SUBSTITUTE(SUBSTITUTE(SUBSTITUTE(SUBSTITUTE(SUBSTITUTE(SUBSTITUTE(SUBSTITUTE(SUBSTITUTE(SUBSTITUTE(SUBSTITUTE(SUBSTITUTE(SUBSTITUTE(SUBSTITUTE(SUBSTITUTE(SUBSTITUTE("x"&amp;M138,"0",""),"1",""),"2",""),"3",""),"4",""),"5",""),"6",""),"7",""),"8",""),"9",""),".",""),"E",""),"+",""),"-",""),"&lt;",""),"&gt;",""),"=","")," ","")&lt;&gt;"x",ISNUMBER(SEARCH("-",SUBSTITUTE(SUBSTITUTE("x"&amp;MID(M138,2,99),"E-","E"),"E+","E"))),ISNUMBER(SEARCH("+",SUBSTITUTE(SUBSTITUTE("x"&amp;MID(M138,2,99),"E-","E"),"E+","E"))))),"",IF(AND(OR(LEFT(M138,1)="&lt;",LEFT(M138,1)="&gt;"),IF(O138="",0,IF(ISNUMBER(AH138),AH138,NA()))&lt;0),"",IF(O138="",0,IF(ISNUMBER(AH138),AH138,NA()))/IF(LEFT(M138,1)="&lt;",2,1))),"")))</f>
        <v/>
      </c>
      <c r="H138" s="57" t="inlineStr">
        <is>
          <t>BH03-S_20260415_03</t>
        </is>
      </c>
      <c r="I138" s="92">
        <f>IF(OR(H138="",AI138=0),0,IF(INDEX(Samples[樣品重複筆數],AI138)=1,AI138,0))</f>
        <v/>
      </c>
      <c r="J138" s="92">
        <f>IF(OR(COUNTA($A138:$D138)=0,I138=0),"",IF(INDEX(Samples[介質],I138)="","",INDEX(Samples[介質],I138)))</f>
        <v/>
      </c>
      <c r="K138" s="92">
        <f>IF(OR(COUNTA($A138:$D138)=0,T138=0),"",IF(INDEX(DB_04[標準單位],T138)="","",INDEX(DB_04[標準單位],T138)))</f>
        <v/>
      </c>
      <c r="L138" s="92">
        <f>IF(COUNTA($A138:$D138)=0,"",IF(OR(C138="",K138=""),"",IF(C138=K138,1,IF(COUNTIFS(DB_06[換算鍵],C138&amp;"|"&amp;K138,DB_06[換算檢查],"OK")=1,INDEX(DB_06[乘數],MATCH(C138&amp;"|"&amp;K138,DB_06[換算鍵],0)),""))))</f>
        <v/>
      </c>
      <c r="M138" s="92">
        <f>UPPER(SUBSTITUTE(SUBSTITUTE(SUBSTITUTE(SUBSTITUTE(TRIM(B138&amp;""),"＜","&lt;"),"＞","&gt;"),"≤","&lt;="),"≥","&gt;="))</f>
        <v/>
      </c>
      <c r="N138" s="92">
        <f>IF(M138="","",IF(OR(M138="ND",M138="N.D."),"ND",IF(OR(M138="NA",M138="N/A",M138="N.A."),"NA",IF(OR(LEFT(M138,2)="&lt;=",LEFT(M138,2)="&gt;="),LEFT(M138,2),IF(OR(LEFT(M138,1)="&lt;",LEFT(M138,1)="&gt;"),LEFT(M138,1),"數值")))))</f>
        <v/>
      </c>
      <c r="O138" s="92">
        <f>IF(OR(N138="",N138="ND",N138="NA"),"",IF(N138="數值",M138,TRIM(MID(M138,LEN(N138)+1,99))))</f>
        <v/>
      </c>
      <c r="P138" s="92">
        <f>IF(O138="","",IFERROR(IF(OR(OR(ISNUMBER(SEARCH("%",O138)),ISNUMBER(SEARCH(" ",O138)),ISNUMBER(SEARCH(",",O138))),OR(SUBSTITUTE(SUBSTITUTE(SUBSTITUTE(SUBSTITUTE(SUBSTITUTE(SUBSTITUTE(SUBSTITUTE(SUBSTITUTE(SUBSTITUTE(SUBSTITUTE(SUBSTITUTE(SUBSTITUTE(SUBSTITUTE(SUBSTITUTE(SUBSTITUTE(SUBSTITUTE(SUBSTITUTE(SUBSTITUTE("x"&amp;O138,"0",""),"1",""),"2",""),"3",""),"4",""),"5",""),"6",""),"7",""),"8",""),"9",""),".",""),"E",""),"+",""),"-",""),"&lt;",""),"&gt;",""),"=","")," ","")&lt;&gt;"x",ISNUMBER(SEARCH("-",SUBSTITUTE(SUBSTITUTE("x"&amp;MID(O138,2,99),"E-","E"),"E+","E"))),ISNUMBER(SEARCH("+",SUBSTITUTE(SUBSTITUTE("x"&amp;MID(O138,2,99),"E-","E"),"E+","E"))))),"",IF(ISNUMBER(AH138),AH138,NA())),""))</f>
        <v/>
      </c>
      <c r="Q138" s="92">
        <f>IF(AND(ISNUMBER(L138),ISNUMBER(P138)),L138*P138,"")</f>
        <v/>
      </c>
      <c r="R138" s="92">
        <f>IF(OR(COUNTA($A138:$D138)=0,U138=0),"",IF(INDEX(DB_05[管制設定值],U138)="","",INDEX(DB_05[管制設定值],U138)))</f>
        <v/>
      </c>
      <c r="S138" s="92">
        <f>IF(OR(COUNTA($A138:$D138)=0,U138=0),"",IF(INDEX(DB_05[監測設定值],U138)="","",INDEX(DB_05[監測設定值],U138)))</f>
        <v/>
      </c>
      <c r="T138" s="92">
        <f>IF(COUNTA($A138:$D138)=0,"",IF(COUNTIFS(DB_04[測項鍵],V138)=1,MATCH(V138,DB_04[測項鍵],0),0))</f>
        <v/>
      </c>
      <c r="U138" s="92">
        <f>IF(COUNTA($A138:$D138)=0,"",IF(COUNTIFS(DB_05[標準鍵],W138)=1,MATCH(W138,DB_05[標準鍵],0),0))</f>
        <v/>
      </c>
      <c r="V138" s="92">
        <f>IF(OR(J138="",A138=""),"",J138&amp;"|"&amp;A138)</f>
        <v/>
      </c>
      <c r="W138" s="92">
        <f>IF(OR('07_QAQC'!$C$3="",V138=""),"",'07_QAQC'!$C$3&amp;"|"&amp;V138)</f>
        <v/>
      </c>
      <c r="X138" s="92">
        <f>IF(OR(H138="",A138=""),"",LEN(H138)&amp;":"&amp;H138&amp;LEN(A138)&amp;":"&amp;A138)</f>
        <v/>
      </c>
      <c r="Y138" s="93">
        <f>IF(COUNTA($A138:$D138)=0,"",IF(I138=0,"樣品未建或重複",IF(INDEX(Samples[樣品檢查],I138)="","OK",INDEX(Samples[樣品檢查],I138))))</f>
        <v/>
      </c>
      <c r="Z138" s="93">
        <f>IF(COUNTA($A138:$D138)=0,"",IF(B138="","缺原始值",IF(OR(B138="-",B138="--"),"無資料",IF(N138="NA","不適用",IF(N138="ND","OK",IF(NOT(ISNUMBER(P138)),"格式待核",IF(AND(N138&lt;&gt;"數值",P138&lt;0),"界限不得為負","OK")))))))</f>
        <v/>
      </c>
      <c r="AA138" s="93">
        <f>IF(COUNTA(A138:D138)=0,"",IF(OR(A138="",H138=""),"缺識別欄位",IF(IF(LEN("="&amp;SUBSTITUTE(SUBSTITUTE(SUBSTITUTE(X138,"~","~~"),"*","~*"),"?","~?"))&lt;=255,COUNTIF(Results[結果識別鍵],"="&amp;SUBSTITUTE(SUBSTITUTE(SUBSTITUTE(X138,"~","~~"),"*","~*"),"?","~?")),COUNTIFS(Results[關聯鍵],"="&amp;SUBSTITUTE(SUBSTITUTE(SUBSTITUTE(H138,"~","~~"),"*","~*"),"?","~?"),Results[分析項目],"="&amp;SUBSTITUTE(SUBSTITUTE(SUBSTITUTE(A138,"~","~~"),"*","~*"),"?","~?")))&gt;1,"同關聯鍵測項重複","OK")))</f>
        <v/>
      </c>
      <c r="AB138" s="93">
        <f>IF(COUNTA($A138:$D138)=0,"",IF(OR(C138="",K138=""),"缺單位",IF(NOT(ISNUMBER(L138)),"單位不相容",IF(L138=1,"OK","已換算"))))</f>
        <v/>
      </c>
      <c r="AC138" s="93">
        <f>IF(COUNTA($A138:$D138)=0,"",IF('07_QAQC'!$C$3="","未選比較版本",IF(U138=0,IF(COUNTIFS(DB_05[標準鍵],W138)&gt;1,"標準鍵重複","未訂此介質／測項門檻"),IF(INDEX(DB_05[版本檢查],U138)&lt;&gt;"OK","標準主檔待核",IF(INDEX(DB_05[標準單位],U138)&lt;&gt;K138,"標準單位不符",IF(INDEX(DB_05[核對狀態],U138)="停用","停用",IF(F138="","缺採樣日期",IF(OR(AND(INDEX(DB_05[生效日],U138)&lt;&gt;"",F138&lt;INDEX(DB_05[生效日],U138)),AND(INDEX(DB_05[失效日],U138)&lt;&gt;"",F138&gt;INDEX(DB_05[失效日],U138))),"日期不適用",INDEX(DB_05[核對狀態],U138)))))))))</f>
        <v/>
      </c>
      <c r="AD138" s="93">
        <f>IF(COUNTA($A138:$D138)=0,"",IF(AC138="未訂此介質／測項門檻",AC138,IF(AC138&lt;&gt;"已核對","標準待核",IF(R138="","未訂管制值",IF(NOT(ISNUMBER(L138)),"單位待核",IF(N138="ND","無法判定（ND無界限）",IF(N138="NA","不適用",IF(Z138&lt;&gt;"OK",Z138,IF(N138="數值",IF(Q138&gt;=R138,"達管制值","未達管制值"),IF(OR(N138="&lt;",N138="&lt;="),IF(OR(Q138&lt;R138,AND(N138="&lt;",Q138=R138)),"未達管制值","無法判定"),IF(OR(N138="&gt;",N138="&gt;="),IF(Q138&gt;=R138,"達管制值","無法判定"),"格式待核")))))))))))</f>
        <v/>
      </c>
      <c r="AE138" s="93">
        <f>IF(COUNTA($A138:$D138)=0,"",IF(AC138="未訂此介質／測項門檻",AC138,IF(AC138&lt;&gt;"已核對","標準待核",IF(S138="","未訂監測值",IF(NOT(ISNUMBER(L138)),"單位待核",IF(N138="ND","無法判定（ND無界限）",IF(N138="NA","不適用",IF(Z138&lt;&gt;"OK",Z138,IF(N138="數值",IF(Q138&gt;=S138,"達監測值","未達監測值"),IF(OR(N138="&lt;",N138="&lt;="),IF(OR(Q138&lt;S138,AND(N138="&lt;",Q138=S138)),"未達監測值","無法判定"),IF(OR(N138="&gt;",N138="&gt;="),IF(Q138&gt;=S138,"達監測值","無法判定"),"格式待核")))))))))))</f>
        <v/>
      </c>
      <c r="AF138" s="93">
        <f>IF(COUNTA($A138:$D138)=0,"",IF(OR(E138="",A138="",B138="",C138=""),"缺必要欄位",IF(Y138&lt;&gt;"OK","樣品資料待補",IF(T138=0,"測項未建或重複",IF(INDEX(DB_04[啟用],T138)&lt;&gt;"是","測項停用",IF(AND(Z138&lt;&gt;"OK",Z138&lt;&gt;"不適用"),Z138,IF(AND(AB138&lt;&gt;"OK",AB138&lt;&gt;"已換算"),"單位待核",IF(AA138&lt;&gt;"OK",AA138,"OK"))))))))</f>
        <v/>
      </c>
      <c r="AG138" s="93">
        <f>IF(COUNTA($A138:$D138)=0,"",IF(N138="ND","ND取0",IF(OR(N138="&lt;",N138="&lt;="),"界限除以2",IF(N138="NA","不適用",IF(OR(N138="&gt;",N138="&gt;="),"保留界限數值","保留原數值")))))</f>
        <v/>
      </c>
      <c r="AH138" s="92">
        <f>IF(O138="","",IFERROR(_xlfn.NUMBERVALUE(O138,".",","),""))</f>
        <v/>
      </c>
      <c r="AI138" s="92">
        <f>IF(H138="","",IFERROR(MATCH(H138,Samples[樣品編號],0),0))</f>
        <v/>
      </c>
    </row>
    <row r="139">
      <c r="A139" s="27" t="inlineStr">
        <is>
          <t>總有機碳</t>
        </is>
      </c>
      <c r="B139" s="28" t="inlineStr">
        <is>
          <t>0.44</t>
        </is>
      </c>
      <c r="C139" s="27" t="inlineStr">
        <is>
          <t>%</t>
        </is>
      </c>
      <c r="D139" s="39" t="inlineStr">
        <is>
          <t>合成資料，非實測；method=lab; basis=dry</t>
        </is>
      </c>
      <c r="E139" s="29">
        <f>IF(OR(I139="",I139=0),"",IF(INDEX(Samples[監測點],I139)="","",INDEX(Samples[監測點],I139)))</f>
        <v/>
      </c>
      <c r="F139" s="90">
        <f>IF(OR(I139="",I139=0),"",IF(INDEX(Samples[採樣日期],I139)="","",INDEX(Samples[採樣日期],I139)))</f>
        <v/>
      </c>
      <c r="G139" s="91">
        <f>IF(OR(M139="",M139="NA",M139="N/A"),"",IF(OR(M139="ND",M139="N.D."),0,IFERROR(IF(OR(OR(ISNUMBER(SEARCH("%",O139)),ISNUMBER(SEARCH(" ",O139)),ISNUMBER(SEARCH(",",O139))),OR(SUBSTITUTE(SUBSTITUTE(SUBSTITUTE(SUBSTITUTE(SUBSTITUTE(SUBSTITUTE(SUBSTITUTE(SUBSTITUTE(SUBSTITUTE(SUBSTITUTE(SUBSTITUTE(SUBSTITUTE(SUBSTITUTE(SUBSTITUTE(SUBSTITUTE(SUBSTITUTE(SUBSTITUTE(SUBSTITUTE("x"&amp;M139,"0",""),"1",""),"2",""),"3",""),"4",""),"5",""),"6",""),"7",""),"8",""),"9",""),".",""),"E",""),"+",""),"-",""),"&lt;",""),"&gt;",""),"=","")," ","")&lt;&gt;"x",ISNUMBER(SEARCH("-",SUBSTITUTE(SUBSTITUTE("x"&amp;MID(M139,2,99),"E-","E"),"E+","E"))),ISNUMBER(SEARCH("+",SUBSTITUTE(SUBSTITUTE("x"&amp;MID(M139,2,99),"E-","E"),"E+","E"))))),"",IF(AND(OR(LEFT(M139,1)="&lt;",LEFT(M139,1)="&gt;"),IF(O139="",0,IF(ISNUMBER(AH139),AH139,NA()))&lt;0),"",IF(O139="",0,IF(ISNUMBER(AH139),AH139,NA()))/IF(LEFT(M139,1)="&lt;",2,1))),"")))</f>
        <v/>
      </c>
      <c r="H139" s="57" t="inlineStr">
        <is>
          <t>BH03-S_20260415_03</t>
        </is>
      </c>
      <c r="I139" s="92">
        <f>IF(OR(H139="",AI139=0),0,IF(INDEX(Samples[樣品重複筆數],AI139)=1,AI139,0))</f>
        <v/>
      </c>
      <c r="J139" s="92">
        <f>IF(OR(COUNTA($A139:$D139)=0,I139=0),"",IF(INDEX(Samples[介質],I139)="","",INDEX(Samples[介質],I139)))</f>
        <v/>
      </c>
      <c r="K139" s="92">
        <f>IF(OR(COUNTA($A139:$D139)=0,T139=0),"",IF(INDEX(DB_04[標準單位],T139)="","",INDEX(DB_04[標準單位],T139)))</f>
        <v/>
      </c>
      <c r="L139" s="92">
        <f>IF(COUNTA($A139:$D139)=0,"",IF(OR(C139="",K139=""),"",IF(C139=K139,1,IF(COUNTIFS(DB_06[換算鍵],C139&amp;"|"&amp;K139,DB_06[換算檢查],"OK")=1,INDEX(DB_06[乘數],MATCH(C139&amp;"|"&amp;K139,DB_06[換算鍵],0)),""))))</f>
        <v/>
      </c>
      <c r="M139" s="92">
        <f>UPPER(SUBSTITUTE(SUBSTITUTE(SUBSTITUTE(SUBSTITUTE(TRIM(B139&amp;""),"＜","&lt;"),"＞","&gt;"),"≤","&lt;="),"≥","&gt;="))</f>
        <v/>
      </c>
      <c r="N139" s="92">
        <f>IF(M139="","",IF(OR(M139="ND",M139="N.D."),"ND",IF(OR(M139="NA",M139="N/A",M139="N.A."),"NA",IF(OR(LEFT(M139,2)="&lt;=",LEFT(M139,2)="&gt;="),LEFT(M139,2),IF(OR(LEFT(M139,1)="&lt;",LEFT(M139,1)="&gt;"),LEFT(M139,1),"數值")))))</f>
        <v/>
      </c>
      <c r="O139" s="92">
        <f>IF(OR(N139="",N139="ND",N139="NA"),"",IF(N139="數值",M139,TRIM(MID(M139,LEN(N139)+1,99))))</f>
        <v/>
      </c>
      <c r="P139" s="92">
        <f>IF(O139="","",IFERROR(IF(OR(OR(ISNUMBER(SEARCH("%",O139)),ISNUMBER(SEARCH(" ",O139)),ISNUMBER(SEARCH(",",O139))),OR(SUBSTITUTE(SUBSTITUTE(SUBSTITUTE(SUBSTITUTE(SUBSTITUTE(SUBSTITUTE(SUBSTITUTE(SUBSTITUTE(SUBSTITUTE(SUBSTITUTE(SUBSTITUTE(SUBSTITUTE(SUBSTITUTE(SUBSTITUTE(SUBSTITUTE(SUBSTITUTE(SUBSTITUTE(SUBSTITUTE("x"&amp;O139,"0",""),"1",""),"2",""),"3",""),"4",""),"5",""),"6",""),"7",""),"8",""),"9",""),".",""),"E",""),"+",""),"-",""),"&lt;",""),"&gt;",""),"=","")," ","")&lt;&gt;"x",ISNUMBER(SEARCH("-",SUBSTITUTE(SUBSTITUTE("x"&amp;MID(O139,2,99),"E-","E"),"E+","E"))),ISNUMBER(SEARCH("+",SUBSTITUTE(SUBSTITUTE("x"&amp;MID(O139,2,99),"E-","E"),"E+","E"))))),"",IF(ISNUMBER(AH139),AH139,NA())),""))</f>
        <v/>
      </c>
      <c r="Q139" s="92">
        <f>IF(AND(ISNUMBER(L139),ISNUMBER(P139)),L139*P139,"")</f>
        <v/>
      </c>
      <c r="R139" s="92">
        <f>IF(OR(COUNTA($A139:$D139)=0,U139=0),"",IF(INDEX(DB_05[管制設定值],U139)="","",INDEX(DB_05[管制設定值],U139)))</f>
        <v/>
      </c>
      <c r="S139" s="92">
        <f>IF(OR(COUNTA($A139:$D139)=0,U139=0),"",IF(INDEX(DB_05[監測設定值],U139)="","",INDEX(DB_05[監測設定值],U139)))</f>
        <v/>
      </c>
      <c r="T139" s="92">
        <f>IF(COUNTA($A139:$D139)=0,"",IF(COUNTIFS(DB_04[測項鍵],V139)=1,MATCH(V139,DB_04[測項鍵],0),0))</f>
        <v/>
      </c>
      <c r="U139" s="92">
        <f>IF(COUNTA($A139:$D139)=0,"",IF(COUNTIFS(DB_05[標準鍵],W139)=1,MATCH(W139,DB_05[標準鍵],0),0))</f>
        <v/>
      </c>
      <c r="V139" s="92">
        <f>IF(OR(J139="",A139=""),"",J139&amp;"|"&amp;A139)</f>
        <v/>
      </c>
      <c r="W139" s="92">
        <f>IF(OR('07_QAQC'!$C$3="",V139=""),"",'07_QAQC'!$C$3&amp;"|"&amp;V139)</f>
        <v/>
      </c>
      <c r="X139" s="92">
        <f>IF(OR(H139="",A139=""),"",LEN(H139)&amp;":"&amp;H139&amp;LEN(A139)&amp;":"&amp;A139)</f>
        <v/>
      </c>
      <c r="Y139" s="93">
        <f>IF(COUNTA($A139:$D139)=0,"",IF(I139=0,"樣品未建或重複",IF(INDEX(Samples[樣品檢查],I139)="","OK",INDEX(Samples[樣品檢查],I139))))</f>
        <v/>
      </c>
      <c r="Z139" s="93">
        <f>IF(COUNTA($A139:$D139)=0,"",IF(B139="","缺原始值",IF(OR(B139="-",B139="--"),"無資料",IF(N139="NA","不適用",IF(N139="ND","OK",IF(NOT(ISNUMBER(P139)),"格式待核",IF(AND(N139&lt;&gt;"數值",P139&lt;0),"界限不得為負","OK")))))))</f>
        <v/>
      </c>
      <c r="AA139" s="93">
        <f>IF(COUNTA(A139:D139)=0,"",IF(OR(A139="",H139=""),"缺識別欄位",IF(IF(LEN("="&amp;SUBSTITUTE(SUBSTITUTE(SUBSTITUTE(X139,"~","~~"),"*","~*"),"?","~?"))&lt;=255,COUNTIF(Results[結果識別鍵],"="&amp;SUBSTITUTE(SUBSTITUTE(SUBSTITUTE(X139,"~","~~"),"*","~*"),"?","~?")),COUNTIFS(Results[關聯鍵],"="&amp;SUBSTITUTE(SUBSTITUTE(SUBSTITUTE(H139,"~","~~"),"*","~*"),"?","~?"),Results[分析項目],"="&amp;SUBSTITUTE(SUBSTITUTE(SUBSTITUTE(A139,"~","~~"),"*","~*"),"?","~?")))&gt;1,"同關聯鍵測項重複","OK")))</f>
        <v/>
      </c>
      <c r="AB139" s="93">
        <f>IF(COUNTA($A139:$D139)=0,"",IF(OR(C139="",K139=""),"缺單位",IF(NOT(ISNUMBER(L139)),"單位不相容",IF(L139=1,"OK","已換算"))))</f>
        <v/>
      </c>
      <c r="AC139" s="93">
        <f>IF(COUNTA($A139:$D139)=0,"",IF('07_QAQC'!$C$3="","未選比較版本",IF(U139=0,IF(COUNTIFS(DB_05[標準鍵],W139)&gt;1,"標準鍵重複","未訂此介質／測項門檻"),IF(INDEX(DB_05[版本檢查],U139)&lt;&gt;"OK","標準主檔待核",IF(INDEX(DB_05[標準單位],U139)&lt;&gt;K139,"標準單位不符",IF(INDEX(DB_05[核對狀態],U139)="停用","停用",IF(F139="","缺採樣日期",IF(OR(AND(INDEX(DB_05[生效日],U139)&lt;&gt;"",F139&lt;INDEX(DB_05[生效日],U139)),AND(INDEX(DB_05[失效日],U139)&lt;&gt;"",F139&gt;INDEX(DB_05[失效日],U139))),"日期不適用",INDEX(DB_05[核對狀態],U139)))))))))</f>
        <v/>
      </c>
      <c r="AD139" s="93">
        <f>IF(COUNTA($A139:$D139)=0,"",IF(AC139="未訂此介質／測項門檻",AC139,IF(AC139&lt;&gt;"已核對","標準待核",IF(R139="","未訂管制值",IF(NOT(ISNUMBER(L139)),"單位待核",IF(N139="ND","無法判定（ND無界限）",IF(N139="NA","不適用",IF(Z139&lt;&gt;"OK",Z139,IF(N139="數值",IF(Q139&gt;=R139,"達管制值","未達管制值"),IF(OR(N139="&lt;",N139="&lt;="),IF(OR(Q139&lt;R139,AND(N139="&lt;",Q139=R139)),"未達管制值","無法判定"),IF(OR(N139="&gt;",N139="&gt;="),IF(Q139&gt;=R139,"達管制值","無法判定"),"格式待核")))))))))))</f>
        <v/>
      </c>
      <c r="AE139" s="93">
        <f>IF(COUNTA($A139:$D139)=0,"",IF(AC139="未訂此介質／測項門檻",AC139,IF(AC139&lt;&gt;"已核對","標準待核",IF(S139="","未訂監測值",IF(NOT(ISNUMBER(L139)),"單位待核",IF(N139="ND","無法判定（ND無界限）",IF(N139="NA","不適用",IF(Z139&lt;&gt;"OK",Z139,IF(N139="數值",IF(Q139&gt;=S139,"達監測值","未達監測值"),IF(OR(N139="&lt;",N139="&lt;="),IF(OR(Q139&lt;S139,AND(N139="&lt;",Q139=S139)),"未達監測值","無法判定"),IF(OR(N139="&gt;",N139="&gt;="),IF(Q139&gt;=S139,"達監測值","無法判定"),"格式待核")))))))))))</f>
        <v/>
      </c>
      <c r="AF139" s="93">
        <f>IF(COUNTA($A139:$D139)=0,"",IF(OR(E139="",A139="",B139="",C139=""),"缺必要欄位",IF(Y139&lt;&gt;"OK","樣品資料待補",IF(T139=0,"測項未建或重複",IF(INDEX(DB_04[啟用],T139)&lt;&gt;"是","測項停用",IF(AND(Z139&lt;&gt;"OK",Z139&lt;&gt;"不適用"),Z139,IF(AND(AB139&lt;&gt;"OK",AB139&lt;&gt;"已換算"),"單位待核",IF(AA139&lt;&gt;"OK",AA139,"OK"))))))))</f>
        <v/>
      </c>
      <c r="AG139" s="93">
        <f>IF(COUNTA($A139:$D139)=0,"",IF(N139="ND","ND取0",IF(OR(N139="&lt;",N139="&lt;="),"界限除以2",IF(N139="NA","不適用",IF(OR(N139="&gt;",N139="&gt;="),"保留界限數值","保留原數值")))))</f>
        <v/>
      </c>
      <c r="AH139" s="92">
        <f>IF(O139="","",IFERROR(_xlfn.NUMBERVALUE(O139,".",","),""))</f>
        <v/>
      </c>
      <c r="AI139" s="92">
        <f>IF(H139="","",IFERROR(MATCH(H139,Samples[樣品編號],0),0))</f>
        <v/>
      </c>
    </row>
    <row r="140">
      <c r="A140" s="27" t="inlineStr">
        <is>
          <t>pH</t>
        </is>
      </c>
      <c r="B140" s="28" t="inlineStr">
        <is>
          <t>6.77</t>
        </is>
      </c>
      <c r="C140" s="27" t="inlineStr">
        <is>
          <t>無因次</t>
        </is>
      </c>
      <c r="D140" s="39" t="inlineStr">
        <is>
          <t>合成資料，非實測；method=field</t>
        </is>
      </c>
      <c r="E140" s="29">
        <f>IF(OR(I140="",I140=0),"",IF(INDEX(Samples[監測點],I140)="","",INDEX(Samples[監測點],I140)))</f>
        <v/>
      </c>
      <c r="F140" s="90">
        <f>IF(OR(I140="",I140=0),"",IF(INDEX(Samples[採樣日期],I140)="","",INDEX(Samples[採樣日期],I140)))</f>
        <v/>
      </c>
      <c r="G140" s="91">
        <f>IF(OR(M140="",M140="NA",M140="N/A"),"",IF(OR(M140="ND",M140="N.D."),0,IFERROR(IF(OR(OR(ISNUMBER(SEARCH("%",O140)),ISNUMBER(SEARCH(" ",O140)),ISNUMBER(SEARCH(",",O140))),OR(SUBSTITUTE(SUBSTITUTE(SUBSTITUTE(SUBSTITUTE(SUBSTITUTE(SUBSTITUTE(SUBSTITUTE(SUBSTITUTE(SUBSTITUTE(SUBSTITUTE(SUBSTITUTE(SUBSTITUTE(SUBSTITUTE(SUBSTITUTE(SUBSTITUTE(SUBSTITUTE(SUBSTITUTE(SUBSTITUTE("x"&amp;M140,"0",""),"1",""),"2",""),"3",""),"4",""),"5",""),"6",""),"7",""),"8",""),"9",""),".",""),"E",""),"+",""),"-",""),"&lt;",""),"&gt;",""),"=","")," ","")&lt;&gt;"x",ISNUMBER(SEARCH("-",SUBSTITUTE(SUBSTITUTE("x"&amp;MID(M140,2,99),"E-","E"),"E+","E"))),ISNUMBER(SEARCH("+",SUBSTITUTE(SUBSTITUTE("x"&amp;MID(M140,2,99),"E-","E"),"E+","E"))))),"",IF(AND(OR(LEFT(M140,1)="&lt;",LEFT(M140,1)="&gt;"),IF(O140="",0,IF(ISNUMBER(AH140),AH140,NA()))&lt;0),"",IF(O140="",0,IF(ISNUMBER(AH140),AH140,NA()))/IF(LEFT(M140,1)="&lt;",2,1))),"")))</f>
        <v/>
      </c>
      <c r="H140" s="57" t="inlineStr">
        <is>
          <t>BH03-W_20260415_03</t>
        </is>
      </c>
      <c r="I140" s="92">
        <f>IF(OR(H140="",AI140=0),0,IF(INDEX(Samples[樣品重複筆數],AI140)=1,AI140,0))</f>
        <v/>
      </c>
      <c r="J140" s="92">
        <f>IF(OR(COUNTA($A140:$D140)=0,I140=0),"",IF(INDEX(Samples[介質],I140)="","",INDEX(Samples[介質],I140)))</f>
        <v/>
      </c>
      <c r="K140" s="92">
        <f>IF(OR(COUNTA($A140:$D140)=0,T140=0),"",IF(INDEX(DB_04[標準單位],T140)="","",INDEX(DB_04[標準單位],T140)))</f>
        <v/>
      </c>
      <c r="L140" s="92">
        <f>IF(COUNTA($A140:$D140)=0,"",IF(OR(C140="",K140=""),"",IF(C140=K140,1,IF(COUNTIFS(DB_06[換算鍵],C140&amp;"|"&amp;K140,DB_06[換算檢查],"OK")=1,INDEX(DB_06[乘數],MATCH(C140&amp;"|"&amp;K140,DB_06[換算鍵],0)),""))))</f>
        <v/>
      </c>
      <c r="M140" s="92">
        <f>UPPER(SUBSTITUTE(SUBSTITUTE(SUBSTITUTE(SUBSTITUTE(TRIM(B140&amp;""),"＜","&lt;"),"＞","&gt;"),"≤","&lt;="),"≥","&gt;="))</f>
        <v/>
      </c>
      <c r="N140" s="92">
        <f>IF(M140="","",IF(OR(M140="ND",M140="N.D."),"ND",IF(OR(M140="NA",M140="N/A",M140="N.A."),"NA",IF(OR(LEFT(M140,2)="&lt;=",LEFT(M140,2)="&gt;="),LEFT(M140,2),IF(OR(LEFT(M140,1)="&lt;",LEFT(M140,1)="&gt;"),LEFT(M140,1),"數值")))))</f>
        <v/>
      </c>
      <c r="O140" s="92">
        <f>IF(OR(N140="",N140="ND",N140="NA"),"",IF(N140="數值",M140,TRIM(MID(M140,LEN(N140)+1,99))))</f>
        <v/>
      </c>
      <c r="P140" s="92">
        <f>IF(O140="","",IFERROR(IF(OR(OR(ISNUMBER(SEARCH("%",O140)),ISNUMBER(SEARCH(" ",O140)),ISNUMBER(SEARCH(",",O140))),OR(SUBSTITUTE(SUBSTITUTE(SUBSTITUTE(SUBSTITUTE(SUBSTITUTE(SUBSTITUTE(SUBSTITUTE(SUBSTITUTE(SUBSTITUTE(SUBSTITUTE(SUBSTITUTE(SUBSTITUTE(SUBSTITUTE(SUBSTITUTE(SUBSTITUTE(SUBSTITUTE(SUBSTITUTE(SUBSTITUTE("x"&amp;O140,"0",""),"1",""),"2",""),"3",""),"4",""),"5",""),"6",""),"7",""),"8",""),"9",""),".",""),"E",""),"+",""),"-",""),"&lt;",""),"&gt;",""),"=","")," ","")&lt;&gt;"x",ISNUMBER(SEARCH("-",SUBSTITUTE(SUBSTITUTE("x"&amp;MID(O140,2,99),"E-","E"),"E+","E"))),ISNUMBER(SEARCH("+",SUBSTITUTE(SUBSTITUTE("x"&amp;MID(O140,2,99),"E-","E"),"E+","E"))))),"",IF(ISNUMBER(AH140),AH140,NA())),""))</f>
        <v/>
      </c>
      <c r="Q140" s="92">
        <f>IF(AND(ISNUMBER(L140),ISNUMBER(P140)),L140*P140,"")</f>
        <v/>
      </c>
      <c r="R140" s="92">
        <f>IF(OR(COUNTA($A140:$D140)=0,U140=0),"",IF(INDEX(DB_05[管制設定值],U140)="","",INDEX(DB_05[管制設定值],U140)))</f>
        <v/>
      </c>
      <c r="S140" s="92">
        <f>IF(OR(COUNTA($A140:$D140)=0,U140=0),"",IF(INDEX(DB_05[監測設定值],U140)="","",INDEX(DB_05[監測設定值],U140)))</f>
        <v/>
      </c>
      <c r="T140" s="92">
        <f>IF(COUNTA($A140:$D140)=0,"",IF(COUNTIFS(DB_04[測項鍵],V140)=1,MATCH(V140,DB_04[測項鍵],0),0))</f>
        <v/>
      </c>
      <c r="U140" s="92">
        <f>IF(COUNTA($A140:$D140)=0,"",IF(COUNTIFS(DB_05[標準鍵],W140)=1,MATCH(W140,DB_05[標準鍵],0),0))</f>
        <v/>
      </c>
      <c r="V140" s="92">
        <f>IF(OR(J140="",A140=""),"",J140&amp;"|"&amp;A140)</f>
        <v/>
      </c>
      <c r="W140" s="92">
        <f>IF(OR('07_QAQC'!$C$3="",V140=""),"",'07_QAQC'!$C$3&amp;"|"&amp;V140)</f>
        <v/>
      </c>
      <c r="X140" s="92">
        <f>IF(OR(H140="",A140=""),"",LEN(H140)&amp;":"&amp;H140&amp;LEN(A140)&amp;":"&amp;A140)</f>
        <v/>
      </c>
      <c r="Y140" s="93">
        <f>IF(COUNTA($A140:$D140)=0,"",IF(I140=0,"樣品未建或重複",IF(INDEX(Samples[樣品檢查],I140)="","OK",INDEX(Samples[樣品檢查],I140))))</f>
        <v/>
      </c>
      <c r="Z140" s="93">
        <f>IF(COUNTA($A140:$D140)=0,"",IF(B140="","缺原始值",IF(OR(B140="-",B140="--"),"無資料",IF(N140="NA","不適用",IF(N140="ND","OK",IF(NOT(ISNUMBER(P140)),"格式待核",IF(AND(N140&lt;&gt;"數值",P140&lt;0),"界限不得為負","OK")))))))</f>
        <v/>
      </c>
      <c r="AA140" s="93">
        <f>IF(COUNTA(A140:D140)=0,"",IF(OR(A140="",H140=""),"缺識別欄位",IF(IF(LEN("="&amp;SUBSTITUTE(SUBSTITUTE(SUBSTITUTE(X140,"~","~~"),"*","~*"),"?","~?"))&lt;=255,COUNTIF(Results[結果識別鍵],"="&amp;SUBSTITUTE(SUBSTITUTE(SUBSTITUTE(X140,"~","~~"),"*","~*"),"?","~?")),COUNTIFS(Results[關聯鍵],"="&amp;SUBSTITUTE(SUBSTITUTE(SUBSTITUTE(H140,"~","~~"),"*","~*"),"?","~?"),Results[分析項目],"="&amp;SUBSTITUTE(SUBSTITUTE(SUBSTITUTE(A140,"~","~~"),"*","~*"),"?","~?")))&gt;1,"同關聯鍵測項重複","OK")))</f>
        <v/>
      </c>
      <c r="AB140" s="93">
        <f>IF(COUNTA($A140:$D140)=0,"",IF(OR(C140="",K140=""),"缺單位",IF(NOT(ISNUMBER(L140)),"單位不相容",IF(L140=1,"OK","已換算"))))</f>
        <v/>
      </c>
      <c r="AC140" s="93">
        <f>IF(COUNTA($A140:$D140)=0,"",IF('07_QAQC'!$C$3="","未選比較版本",IF(U140=0,IF(COUNTIFS(DB_05[標準鍵],W140)&gt;1,"標準鍵重複","未訂此介質／測項門檻"),IF(INDEX(DB_05[版本檢查],U140)&lt;&gt;"OK","標準主檔待核",IF(INDEX(DB_05[標準單位],U140)&lt;&gt;K140,"標準單位不符",IF(INDEX(DB_05[核對狀態],U140)="停用","停用",IF(F140="","缺採樣日期",IF(OR(AND(INDEX(DB_05[生效日],U140)&lt;&gt;"",F140&lt;INDEX(DB_05[生效日],U140)),AND(INDEX(DB_05[失效日],U140)&lt;&gt;"",F140&gt;INDEX(DB_05[失效日],U140))),"日期不適用",INDEX(DB_05[核對狀態],U140)))))))))</f>
        <v/>
      </c>
      <c r="AD140" s="93">
        <f>IF(COUNTA($A140:$D140)=0,"",IF(AC140="未訂此介質／測項門檻",AC140,IF(AC140&lt;&gt;"已核對","標準待核",IF(R140="","未訂管制值",IF(NOT(ISNUMBER(L140)),"單位待核",IF(N140="ND","無法判定（ND無界限）",IF(N140="NA","不適用",IF(Z140&lt;&gt;"OK",Z140,IF(N140="數值",IF(Q140&gt;=R140,"達管制值","未達管制值"),IF(OR(N140="&lt;",N140="&lt;="),IF(OR(Q140&lt;R140,AND(N140="&lt;",Q140=R140)),"未達管制值","無法判定"),IF(OR(N140="&gt;",N140="&gt;="),IF(Q140&gt;=R140,"達管制值","無法判定"),"格式待核")))))))))))</f>
        <v/>
      </c>
      <c r="AE140" s="93">
        <f>IF(COUNTA($A140:$D140)=0,"",IF(AC140="未訂此介質／測項門檻",AC140,IF(AC140&lt;&gt;"已核對","標準待核",IF(S140="","未訂監測值",IF(NOT(ISNUMBER(L140)),"單位待核",IF(N140="ND","無法判定（ND無界限）",IF(N140="NA","不適用",IF(Z140&lt;&gt;"OK",Z140,IF(N140="數值",IF(Q140&gt;=S140,"達監測值","未達監測值"),IF(OR(N140="&lt;",N140="&lt;="),IF(OR(Q140&lt;S140,AND(N140="&lt;",Q140=S140)),"未達監測值","無法判定"),IF(OR(N140="&gt;",N140="&gt;="),IF(Q140&gt;=S140,"達監測值","無法判定"),"格式待核")))))))))))</f>
        <v/>
      </c>
      <c r="AF140" s="93">
        <f>IF(COUNTA($A140:$D140)=0,"",IF(OR(E140="",A140="",B140="",C140=""),"缺必要欄位",IF(Y140&lt;&gt;"OK","樣品資料待補",IF(T140=0,"測項未建或重複",IF(INDEX(DB_04[啟用],T140)&lt;&gt;"是","測項停用",IF(AND(Z140&lt;&gt;"OK",Z140&lt;&gt;"不適用"),Z140,IF(AND(AB140&lt;&gt;"OK",AB140&lt;&gt;"已換算"),"單位待核",IF(AA140&lt;&gt;"OK",AA140,"OK"))))))))</f>
        <v/>
      </c>
      <c r="AG140" s="93">
        <f>IF(COUNTA($A140:$D140)=0,"",IF(N140="ND","ND取0",IF(OR(N140="&lt;",N140="&lt;="),"界限除以2",IF(N140="NA","不適用",IF(OR(N140="&gt;",N140="&gt;="),"保留界限數值","保留原數值")))))</f>
        <v/>
      </c>
      <c r="AH140" s="92">
        <f>IF(O140="","",IFERROR(_xlfn.NUMBERVALUE(O140,".",","),""))</f>
        <v/>
      </c>
      <c r="AI140" s="92">
        <f>IF(H140="","",IFERROR(MATCH(H140,Samples[樣品編號],0),0))</f>
        <v/>
      </c>
    </row>
    <row r="141">
      <c r="A141" s="27" t="inlineStr">
        <is>
          <t>EC</t>
        </is>
      </c>
      <c r="B141" s="28" t="inlineStr">
        <is>
          <t>0.7</t>
        </is>
      </c>
      <c r="C141" s="27" t="inlineStr">
        <is>
          <t>mS/cm</t>
        </is>
      </c>
      <c r="D141" s="39" t="inlineStr">
        <is>
          <t>合成資料，非實測；method=field; temperature=25; temperature_compensated=25C; reference_temperature=25</t>
        </is>
      </c>
      <c r="E141" s="29">
        <f>IF(OR(I141="",I141=0),"",IF(INDEX(Samples[監測點],I141)="","",INDEX(Samples[監測點],I141)))</f>
        <v/>
      </c>
      <c r="F141" s="90">
        <f>IF(OR(I141="",I141=0),"",IF(INDEX(Samples[採樣日期],I141)="","",INDEX(Samples[採樣日期],I141)))</f>
        <v/>
      </c>
      <c r="G141" s="91">
        <f>IF(OR(M141="",M141="NA",M141="N/A"),"",IF(OR(M141="ND",M141="N.D."),0,IFERROR(IF(OR(OR(ISNUMBER(SEARCH("%",O141)),ISNUMBER(SEARCH(" ",O141)),ISNUMBER(SEARCH(",",O141))),OR(SUBSTITUTE(SUBSTITUTE(SUBSTITUTE(SUBSTITUTE(SUBSTITUTE(SUBSTITUTE(SUBSTITUTE(SUBSTITUTE(SUBSTITUTE(SUBSTITUTE(SUBSTITUTE(SUBSTITUTE(SUBSTITUTE(SUBSTITUTE(SUBSTITUTE(SUBSTITUTE(SUBSTITUTE(SUBSTITUTE("x"&amp;M141,"0",""),"1",""),"2",""),"3",""),"4",""),"5",""),"6",""),"7",""),"8",""),"9",""),".",""),"E",""),"+",""),"-",""),"&lt;",""),"&gt;",""),"=","")," ","")&lt;&gt;"x",ISNUMBER(SEARCH("-",SUBSTITUTE(SUBSTITUTE("x"&amp;MID(M141,2,99),"E-","E"),"E+","E"))),ISNUMBER(SEARCH("+",SUBSTITUTE(SUBSTITUTE("x"&amp;MID(M141,2,99),"E-","E"),"E+","E"))))),"",IF(AND(OR(LEFT(M141,1)="&lt;",LEFT(M141,1)="&gt;"),IF(O141="",0,IF(ISNUMBER(AH141),AH141,NA()))&lt;0),"",IF(O141="",0,IF(ISNUMBER(AH141),AH141,NA()))/IF(LEFT(M141,1)="&lt;",2,1))),"")))</f>
        <v/>
      </c>
      <c r="H141" s="57" t="inlineStr">
        <is>
          <t>BH03-W_20260415_03</t>
        </is>
      </c>
      <c r="I141" s="92">
        <f>IF(OR(H141="",AI141=0),0,IF(INDEX(Samples[樣品重複筆數],AI141)=1,AI141,0))</f>
        <v/>
      </c>
      <c r="J141" s="92">
        <f>IF(OR(COUNTA($A141:$D141)=0,I141=0),"",IF(INDEX(Samples[介質],I141)="","",INDEX(Samples[介質],I141)))</f>
        <v/>
      </c>
      <c r="K141" s="92">
        <f>IF(OR(COUNTA($A141:$D141)=0,T141=0),"",IF(INDEX(DB_04[標準單位],T141)="","",INDEX(DB_04[標準單位],T141)))</f>
        <v/>
      </c>
      <c r="L141" s="92">
        <f>IF(COUNTA($A141:$D141)=0,"",IF(OR(C141="",K141=""),"",IF(C141=K141,1,IF(COUNTIFS(DB_06[換算鍵],C141&amp;"|"&amp;K141,DB_06[換算檢查],"OK")=1,INDEX(DB_06[乘數],MATCH(C141&amp;"|"&amp;K141,DB_06[換算鍵],0)),""))))</f>
        <v/>
      </c>
      <c r="M141" s="92">
        <f>UPPER(SUBSTITUTE(SUBSTITUTE(SUBSTITUTE(SUBSTITUTE(TRIM(B141&amp;""),"＜","&lt;"),"＞","&gt;"),"≤","&lt;="),"≥","&gt;="))</f>
        <v/>
      </c>
      <c r="N141" s="92">
        <f>IF(M141="","",IF(OR(M141="ND",M141="N.D."),"ND",IF(OR(M141="NA",M141="N/A",M141="N.A."),"NA",IF(OR(LEFT(M141,2)="&lt;=",LEFT(M141,2)="&gt;="),LEFT(M141,2),IF(OR(LEFT(M141,1)="&lt;",LEFT(M141,1)="&gt;"),LEFT(M141,1),"數值")))))</f>
        <v/>
      </c>
      <c r="O141" s="92">
        <f>IF(OR(N141="",N141="ND",N141="NA"),"",IF(N141="數值",M141,TRIM(MID(M141,LEN(N141)+1,99))))</f>
        <v/>
      </c>
      <c r="P141" s="92">
        <f>IF(O141="","",IFERROR(IF(OR(OR(ISNUMBER(SEARCH("%",O141)),ISNUMBER(SEARCH(" ",O141)),ISNUMBER(SEARCH(",",O141))),OR(SUBSTITUTE(SUBSTITUTE(SUBSTITUTE(SUBSTITUTE(SUBSTITUTE(SUBSTITUTE(SUBSTITUTE(SUBSTITUTE(SUBSTITUTE(SUBSTITUTE(SUBSTITUTE(SUBSTITUTE(SUBSTITUTE(SUBSTITUTE(SUBSTITUTE(SUBSTITUTE(SUBSTITUTE(SUBSTITUTE("x"&amp;O141,"0",""),"1",""),"2",""),"3",""),"4",""),"5",""),"6",""),"7",""),"8",""),"9",""),".",""),"E",""),"+",""),"-",""),"&lt;",""),"&gt;",""),"=","")," ","")&lt;&gt;"x",ISNUMBER(SEARCH("-",SUBSTITUTE(SUBSTITUTE("x"&amp;MID(O141,2,99),"E-","E"),"E+","E"))),ISNUMBER(SEARCH("+",SUBSTITUTE(SUBSTITUTE("x"&amp;MID(O141,2,99),"E-","E"),"E+","E"))))),"",IF(ISNUMBER(AH141),AH141,NA())),""))</f>
        <v/>
      </c>
      <c r="Q141" s="92">
        <f>IF(AND(ISNUMBER(L141),ISNUMBER(P141)),L141*P141,"")</f>
        <v/>
      </c>
      <c r="R141" s="92">
        <f>IF(OR(COUNTA($A141:$D141)=0,U141=0),"",IF(INDEX(DB_05[管制設定值],U141)="","",INDEX(DB_05[管制設定值],U141)))</f>
        <v/>
      </c>
      <c r="S141" s="92">
        <f>IF(OR(COUNTA($A141:$D141)=0,U141=0),"",IF(INDEX(DB_05[監測設定值],U141)="","",INDEX(DB_05[監測設定值],U141)))</f>
        <v/>
      </c>
      <c r="T141" s="92">
        <f>IF(COUNTA($A141:$D141)=0,"",IF(COUNTIFS(DB_04[測項鍵],V141)=1,MATCH(V141,DB_04[測項鍵],0),0))</f>
        <v/>
      </c>
      <c r="U141" s="92">
        <f>IF(COUNTA($A141:$D141)=0,"",IF(COUNTIFS(DB_05[標準鍵],W141)=1,MATCH(W141,DB_05[標準鍵],0),0))</f>
        <v/>
      </c>
      <c r="V141" s="92">
        <f>IF(OR(J141="",A141=""),"",J141&amp;"|"&amp;A141)</f>
        <v/>
      </c>
      <c r="W141" s="92">
        <f>IF(OR('07_QAQC'!$C$3="",V141=""),"",'07_QAQC'!$C$3&amp;"|"&amp;V141)</f>
        <v/>
      </c>
      <c r="X141" s="92">
        <f>IF(OR(H141="",A141=""),"",LEN(H141)&amp;":"&amp;H141&amp;LEN(A141)&amp;":"&amp;A141)</f>
        <v/>
      </c>
      <c r="Y141" s="93">
        <f>IF(COUNTA($A141:$D141)=0,"",IF(I141=0,"樣品未建或重複",IF(INDEX(Samples[樣品檢查],I141)="","OK",INDEX(Samples[樣品檢查],I141))))</f>
        <v/>
      </c>
      <c r="Z141" s="93">
        <f>IF(COUNTA($A141:$D141)=0,"",IF(B141="","缺原始值",IF(OR(B141="-",B141="--"),"無資料",IF(N141="NA","不適用",IF(N141="ND","OK",IF(NOT(ISNUMBER(P141)),"格式待核",IF(AND(N141&lt;&gt;"數值",P141&lt;0),"界限不得為負","OK")))))))</f>
        <v/>
      </c>
      <c r="AA141" s="93">
        <f>IF(COUNTA(A141:D141)=0,"",IF(OR(A141="",H141=""),"缺識別欄位",IF(IF(LEN("="&amp;SUBSTITUTE(SUBSTITUTE(SUBSTITUTE(X141,"~","~~"),"*","~*"),"?","~?"))&lt;=255,COUNTIF(Results[結果識別鍵],"="&amp;SUBSTITUTE(SUBSTITUTE(SUBSTITUTE(X141,"~","~~"),"*","~*"),"?","~?")),COUNTIFS(Results[關聯鍵],"="&amp;SUBSTITUTE(SUBSTITUTE(SUBSTITUTE(H141,"~","~~"),"*","~*"),"?","~?"),Results[分析項目],"="&amp;SUBSTITUTE(SUBSTITUTE(SUBSTITUTE(A141,"~","~~"),"*","~*"),"?","~?")))&gt;1,"同關聯鍵測項重複","OK")))</f>
        <v/>
      </c>
      <c r="AB141" s="93">
        <f>IF(COUNTA($A141:$D141)=0,"",IF(OR(C141="",K141=""),"缺單位",IF(NOT(ISNUMBER(L141)),"單位不相容",IF(L141=1,"OK","已換算"))))</f>
        <v/>
      </c>
      <c r="AC141" s="93">
        <f>IF(COUNTA($A141:$D141)=0,"",IF('07_QAQC'!$C$3="","未選比較版本",IF(U141=0,IF(COUNTIFS(DB_05[標準鍵],W141)&gt;1,"標準鍵重複","未訂此介質／測項門檻"),IF(INDEX(DB_05[版本檢查],U141)&lt;&gt;"OK","標準主檔待核",IF(INDEX(DB_05[標準單位],U141)&lt;&gt;K141,"標準單位不符",IF(INDEX(DB_05[核對狀態],U141)="停用","停用",IF(F141="","缺採樣日期",IF(OR(AND(INDEX(DB_05[生效日],U141)&lt;&gt;"",F141&lt;INDEX(DB_05[生效日],U141)),AND(INDEX(DB_05[失效日],U141)&lt;&gt;"",F141&gt;INDEX(DB_05[失效日],U141))),"日期不適用",INDEX(DB_05[核對狀態],U141)))))))))</f>
        <v/>
      </c>
      <c r="AD141" s="93">
        <f>IF(COUNTA($A141:$D141)=0,"",IF(AC141="未訂此介質／測項門檻",AC141,IF(AC141&lt;&gt;"已核對","標準待核",IF(R141="","未訂管制值",IF(NOT(ISNUMBER(L141)),"單位待核",IF(N141="ND","無法判定（ND無界限）",IF(N141="NA","不適用",IF(Z141&lt;&gt;"OK",Z141,IF(N141="數值",IF(Q141&gt;=R141,"達管制值","未達管制值"),IF(OR(N141="&lt;",N141="&lt;="),IF(OR(Q141&lt;R141,AND(N141="&lt;",Q141=R141)),"未達管制值","無法判定"),IF(OR(N141="&gt;",N141="&gt;="),IF(Q141&gt;=R141,"達管制值","無法判定"),"格式待核")))))))))))</f>
        <v/>
      </c>
      <c r="AE141" s="93">
        <f>IF(COUNTA($A141:$D141)=0,"",IF(AC141="未訂此介質／測項門檻",AC141,IF(AC141&lt;&gt;"已核對","標準待核",IF(S141="","未訂監測值",IF(NOT(ISNUMBER(L141)),"單位待核",IF(N141="ND","無法判定（ND無界限）",IF(N141="NA","不適用",IF(Z141&lt;&gt;"OK",Z141,IF(N141="數值",IF(Q141&gt;=S141,"達監測值","未達監測值"),IF(OR(N141="&lt;",N141="&lt;="),IF(OR(Q141&lt;S141,AND(N141="&lt;",Q141=S141)),"未達監測值","無法判定"),IF(OR(N141="&gt;",N141="&gt;="),IF(Q141&gt;=S141,"達監測值","無法判定"),"格式待核")))))))))))</f>
        <v/>
      </c>
      <c r="AF141" s="93">
        <f>IF(COUNTA($A141:$D141)=0,"",IF(OR(E141="",A141="",B141="",C141=""),"缺必要欄位",IF(Y141&lt;&gt;"OK","樣品資料待補",IF(T141=0,"測項未建或重複",IF(INDEX(DB_04[啟用],T141)&lt;&gt;"是","測項停用",IF(AND(Z141&lt;&gt;"OK",Z141&lt;&gt;"不適用"),Z141,IF(AND(AB141&lt;&gt;"OK",AB141&lt;&gt;"已換算"),"單位待核",IF(AA141&lt;&gt;"OK",AA141,"OK"))))))))</f>
        <v/>
      </c>
      <c r="AG141" s="93">
        <f>IF(COUNTA($A141:$D141)=0,"",IF(N141="ND","ND取0",IF(OR(N141="&lt;",N141="&lt;="),"界限除以2",IF(N141="NA","不適用",IF(OR(N141="&gt;",N141="&gt;="),"保留界限數值","保留原數值")))))</f>
        <v/>
      </c>
      <c r="AH141" s="92">
        <f>IF(O141="","",IFERROR(_xlfn.NUMBERVALUE(O141,".",","),""))</f>
        <v/>
      </c>
      <c r="AI141" s="92">
        <f>IF(H141="","",IFERROR(MATCH(H141,Samples[樣品編號],0),0))</f>
        <v/>
      </c>
    </row>
    <row r="142">
      <c r="A142" s="27" t="inlineStr">
        <is>
          <t>DO</t>
        </is>
      </c>
      <c r="B142" s="28" t="inlineStr">
        <is>
          <t>4.5</t>
        </is>
      </c>
      <c r="C142" s="27" t="inlineStr">
        <is>
          <t>mg/L</t>
        </is>
      </c>
      <c r="D142" s="39" t="inlineStr">
        <is>
          <t>合成資料，非實測；method=field</t>
        </is>
      </c>
      <c r="E142" s="29">
        <f>IF(OR(I142="",I142=0),"",IF(INDEX(Samples[監測點],I142)="","",INDEX(Samples[監測點],I142)))</f>
        <v/>
      </c>
      <c r="F142" s="90">
        <f>IF(OR(I142="",I142=0),"",IF(INDEX(Samples[採樣日期],I142)="","",INDEX(Samples[採樣日期],I142)))</f>
        <v/>
      </c>
      <c r="G142" s="91">
        <f>IF(OR(M142="",M142="NA",M142="N/A"),"",IF(OR(M142="ND",M142="N.D."),0,IFERROR(IF(OR(OR(ISNUMBER(SEARCH("%",O142)),ISNUMBER(SEARCH(" ",O142)),ISNUMBER(SEARCH(",",O142))),OR(SUBSTITUTE(SUBSTITUTE(SUBSTITUTE(SUBSTITUTE(SUBSTITUTE(SUBSTITUTE(SUBSTITUTE(SUBSTITUTE(SUBSTITUTE(SUBSTITUTE(SUBSTITUTE(SUBSTITUTE(SUBSTITUTE(SUBSTITUTE(SUBSTITUTE(SUBSTITUTE(SUBSTITUTE(SUBSTITUTE("x"&amp;M142,"0",""),"1",""),"2",""),"3",""),"4",""),"5",""),"6",""),"7",""),"8",""),"9",""),".",""),"E",""),"+",""),"-",""),"&lt;",""),"&gt;",""),"=","")," ","")&lt;&gt;"x",ISNUMBER(SEARCH("-",SUBSTITUTE(SUBSTITUTE("x"&amp;MID(M142,2,99),"E-","E"),"E+","E"))),ISNUMBER(SEARCH("+",SUBSTITUTE(SUBSTITUTE("x"&amp;MID(M142,2,99),"E-","E"),"E+","E"))))),"",IF(AND(OR(LEFT(M142,1)="&lt;",LEFT(M142,1)="&gt;"),IF(O142="",0,IF(ISNUMBER(AH142),AH142,NA()))&lt;0),"",IF(O142="",0,IF(ISNUMBER(AH142),AH142,NA()))/IF(LEFT(M142,1)="&lt;",2,1))),"")))</f>
        <v/>
      </c>
      <c r="H142" s="57" t="inlineStr">
        <is>
          <t>BH03-W_20260415_03</t>
        </is>
      </c>
      <c r="I142" s="92">
        <f>IF(OR(H142="",AI142=0),0,IF(INDEX(Samples[樣品重複筆數],AI142)=1,AI142,0))</f>
        <v/>
      </c>
      <c r="J142" s="92">
        <f>IF(OR(COUNTA($A142:$D142)=0,I142=0),"",IF(INDEX(Samples[介質],I142)="","",INDEX(Samples[介質],I142)))</f>
        <v/>
      </c>
      <c r="K142" s="92">
        <f>IF(OR(COUNTA($A142:$D142)=0,T142=0),"",IF(INDEX(DB_04[標準單位],T142)="","",INDEX(DB_04[標準單位],T142)))</f>
        <v/>
      </c>
      <c r="L142" s="92">
        <f>IF(COUNTA($A142:$D142)=0,"",IF(OR(C142="",K142=""),"",IF(C142=K142,1,IF(COUNTIFS(DB_06[換算鍵],C142&amp;"|"&amp;K142,DB_06[換算檢查],"OK")=1,INDEX(DB_06[乘數],MATCH(C142&amp;"|"&amp;K142,DB_06[換算鍵],0)),""))))</f>
        <v/>
      </c>
      <c r="M142" s="92">
        <f>UPPER(SUBSTITUTE(SUBSTITUTE(SUBSTITUTE(SUBSTITUTE(TRIM(B142&amp;""),"＜","&lt;"),"＞","&gt;"),"≤","&lt;="),"≥","&gt;="))</f>
        <v/>
      </c>
      <c r="N142" s="92">
        <f>IF(M142="","",IF(OR(M142="ND",M142="N.D."),"ND",IF(OR(M142="NA",M142="N/A",M142="N.A."),"NA",IF(OR(LEFT(M142,2)="&lt;=",LEFT(M142,2)="&gt;="),LEFT(M142,2),IF(OR(LEFT(M142,1)="&lt;",LEFT(M142,1)="&gt;"),LEFT(M142,1),"數值")))))</f>
        <v/>
      </c>
      <c r="O142" s="92">
        <f>IF(OR(N142="",N142="ND",N142="NA"),"",IF(N142="數值",M142,TRIM(MID(M142,LEN(N142)+1,99))))</f>
        <v/>
      </c>
      <c r="P142" s="92">
        <f>IF(O142="","",IFERROR(IF(OR(OR(ISNUMBER(SEARCH("%",O142)),ISNUMBER(SEARCH(" ",O142)),ISNUMBER(SEARCH(",",O142))),OR(SUBSTITUTE(SUBSTITUTE(SUBSTITUTE(SUBSTITUTE(SUBSTITUTE(SUBSTITUTE(SUBSTITUTE(SUBSTITUTE(SUBSTITUTE(SUBSTITUTE(SUBSTITUTE(SUBSTITUTE(SUBSTITUTE(SUBSTITUTE(SUBSTITUTE(SUBSTITUTE(SUBSTITUTE(SUBSTITUTE("x"&amp;O142,"0",""),"1",""),"2",""),"3",""),"4",""),"5",""),"6",""),"7",""),"8",""),"9",""),".",""),"E",""),"+",""),"-",""),"&lt;",""),"&gt;",""),"=","")," ","")&lt;&gt;"x",ISNUMBER(SEARCH("-",SUBSTITUTE(SUBSTITUTE("x"&amp;MID(O142,2,99),"E-","E"),"E+","E"))),ISNUMBER(SEARCH("+",SUBSTITUTE(SUBSTITUTE("x"&amp;MID(O142,2,99),"E-","E"),"E+","E"))))),"",IF(ISNUMBER(AH142),AH142,NA())),""))</f>
        <v/>
      </c>
      <c r="Q142" s="92">
        <f>IF(AND(ISNUMBER(L142),ISNUMBER(P142)),L142*P142,"")</f>
        <v/>
      </c>
      <c r="R142" s="92">
        <f>IF(OR(COUNTA($A142:$D142)=0,U142=0),"",IF(INDEX(DB_05[管制設定值],U142)="","",INDEX(DB_05[管制設定值],U142)))</f>
        <v/>
      </c>
      <c r="S142" s="92">
        <f>IF(OR(COUNTA($A142:$D142)=0,U142=0),"",IF(INDEX(DB_05[監測設定值],U142)="","",INDEX(DB_05[監測設定值],U142)))</f>
        <v/>
      </c>
      <c r="T142" s="92">
        <f>IF(COUNTA($A142:$D142)=0,"",IF(COUNTIFS(DB_04[測項鍵],V142)=1,MATCH(V142,DB_04[測項鍵],0),0))</f>
        <v/>
      </c>
      <c r="U142" s="92">
        <f>IF(COUNTA($A142:$D142)=0,"",IF(COUNTIFS(DB_05[標準鍵],W142)=1,MATCH(W142,DB_05[標準鍵],0),0))</f>
        <v/>
      </c>
      <c r="V142" s="92">
        <f>IF(OR(J142="",A142=""),"",J142&amp;"|"&amp;A142)</f>
        <v/>
      </c>
      <c r="W142" s="92">
        <f>IF(OR('07_QAQC'!$C$3="",V142=""),"",'07_QAQC'!$C$3&amp;"|"&amp;V142)</f>
        <v/>
      </c>
      <c r="X142" s="92">
        <f>IF(OR(H142="",A142=""),"",LEN(H142)&amp;":"&amp;H142&amp;LEN(A142)&amp;":"&amp;A142)</f>
        <v/>
      </c>
      <c r="Y142" s="93">
        <f>IF(COUNTA($A142:$D142)=0,"",IF(I142=0,"樣品未建或重複",IF(INDEX(Samples[樣品檢查],I142)="","OK",INDEX(Samples[樣品檢查],I142))))</f>
        <v/>
      </c>
      <c r="Z142" s="93">
        <f>IF(COUNTA($A142:$D142)=0,"",IF(B142="","缺原始值",IF(OR(B142="-",B142="--"),"無資料",IF(N142="NA","不適用",IF(N142="ND","OK",IF(NOT(ISNUMBER(P142)),"格式待核",IF(AND(N142&lt;&gt;"數值",P142&lt;0),"界限不得為負","OK")))))))</f>
        <v/>
      </c>
      <c r="AA142" s="93">
        <f>IF(COUNTA(A142:D142)=0,"",IF(OR(A142="",H142=""),"缺識別欄位",IF(IF(LEN("="&amp;SUBSTITUTE(SUBSTITUTE(SUBSTITUTE(X142,"~","~~"),"*","~*"),"?","~?"))&lt;=255,COUNTIF(Results[結果識別鍵],"="&amp;SUBSTITUTE(SUBSTITUTE(SUBSTITUTE(X142,"~","~~"),"*","~*"),"?","~?")),COUNTIFS(Results[關聯鍵],"="&amp;SUBSTITUTE(SUBSTITUTE(SUBSTITUTE(H142,"~","~~"),"*","~*"),"?","~?"),Results[分析項目],"="&amp;SUBSTITUTE(SUBSTITUTE(SUBSTITUTE(A142,"~","~~"),"*","~*"),"?","~?")))&gt;1,"同關聯鍵測項重複","OK")))</f>
        <v/>
      </c>
      <c r="AB142" s="93">
        <f>IF(COUNTA($A142:$D142)=0,"",IF(OR(C142="",K142=""),"缺單位",IF(NOT(ISNUMBER(L142)),"單位不相容",IF(L142=1,"OK","已換算"))))</f>
        <v/>
      </c>
      <c r="AC142" s="93">
        <f>IF(COUNTA($A142:$D142)=0,"",IF('07_QAQC'!$C$3="","未選比較版本",IF(U142=0,IF(COUNTIFS(DB_05[標準鍵],W142)&gt;1,"標準鍵重複","未訂此介質／測項門檻"),IF(INDEX(DB_05[版本檢查],U142)&lt;&gt;"OK","標準主檔待核",IF(INDEX(DB_05[標準單位],U142)&lt;&gt;K142,"標準單位不符",IF(INDEX(DB_05[核對狀態],U142)="停用","停用",IF(F142="","缺採樣日期",IF(OR(AND(INDEX(DB_05[生效日],U142)&lt;&gt;"",F142&lt;INDEX(DB_05[生效日],U142)),AND(INDEX(DB_05[失效日],U142)&lt;&gt;"",F142&gt;INDEX(DB_05[失效日],U142))),"日期不適用",INDEX(DB_05[核對狀態],U142)))))))))</f>
        <v/>
      </c>
      <c r="AD142" s="93">
        <f>IF(COUNTA($A142:$D142)=0,"",IF(AC142="未訂此介質／測項門檻",AC142,IF(AC142&lt;&gt;"已核對","標準待核",IF(R142="","未訂管制值",IF(NOT(ISNUMBER(L142)),"單位待核",IF(N142="ND","無法判定（ND無界限）",IF(N142="NA","不適用",IF(Z142&lt;&gt;"OK",Z142,IF(N142="數值",IF(Q142&gt;=R142,"達管制值","未達管制值"),IF(OR(N142="&lt;",N142="&lt;="),IF(OR(Q142&lt;R142,AND(N142="&lt;",Q142=R142)),"未達管制值","無法判定"),IF(OR(N142="&gt;",N142="&gt;="),IF(Q142&gt;=R142,"達管制值","無法判定"),"格式待核")))))))))))</f>
        <v/>
      </c>
      <c r="AE142" s="93">
        <f>IF(COUNTA($A142:$D142)=0,"",IF(AC142="未訂此介質／測項門檻",AC142,IF(AC142&lt;&gt;"已核對","標準待核",IF(S142="","未訂監測值",IF(NOT(ISNUMBER(L142)),"單位待核",IF(N142="ND","無法判定（ND無界限）",IF(N142="NA","不適用",IF(Z142&lt;&gt;"OK",Z142,IF(N142="數值",IF(Q142&gt;=S142,"達監測值","未達監測值"),IF(OR(N142="&lt;",N142="&lt;="),IF(OR(Q142&lt;S142,AND(N142="&lt;",Q142=S142)),"未達監測值","無法判定"),IF(OR(N142="&gt;",N142="&gt;="),IF(Q142&gt;=S142,"達監測值","無法判定"),"格式待核")))))))))))</f>
        <v/>
      </c>
      <c r="AF142" s="93">
        <f>IF(COUNTA($A142:$D142)=0,"",IF(OR(E142="",A142="",B142="",C142=""),"缺必要欄位",IF(Y142&lt;&gt;"OK","樣品資料待補",IF(T142=0,"測項未建或重複",IF(INDEX(DB_04[啟用],T142)&lt;&gt;"是","測項停用",IF(AND(Z142&lt;&gt;"OK",Z142&lt;&gt;"不適用"),Z142,IF(AND(AB142&lt;&gt;"OK",AB142&lt;&gt;"已換算"),"單位待核",IF(AA142&lt;&gt;"OK",AA142,"OK"))))))))</f>
        <v/>
      </c>
      <c r="AG142" s="93">
        <f>IF(COUNTA($A142:$D142)=0,"",IF(N142="ND","ND取0",IF(OR(N142="&lt;",N142="&lt;="),"界限除以2",IF(N142="NA","不適用",IF(OR(N142="&gt;",N142="&gt;="),"保留界限數值","保留原數值")))))</f>
        <v/>
      </c>
      <c r="AH142" s="92">
        <f>IF(O142="","",IFERROR(_xlfn.NUMBERVALUE(O142,".",","),""))</f>
        <v/>
      </c>
      <c r="AI142" s="92">
        <f>IF(H142="","",IFERROR(MATCH(H142,Samples[樣品編號],0),0))</f>
        <v/>
      </c>
    </row>
    <row r="143">
      <c r="A143" s="27" t="inlineStr">
        <is>
          <t>溶氧飽和度</t>
        </is>
      </c>
      <c r="B143" s="28" t="inlineStr">
        <is>
          <t>57</t>
        </is>
      </c>
      <c r="C143" s="27" t="inlineStr">
        <is>
          <t>%</t>
        </is>
      </c>
      <c r="D143" s="39" t="inlineStr">
        <is>
          <t>合成資料，非實測；method=field</t>
        </is>
      </c>
      <c r="E143" s="29">
        <f>IF(OR(I143="",I143=0),"",IF(INDEX(Samples[監測點],I143)="","",INDEX(Samples[監測點],I143)))</f>
        <v/>
      </c>
      <c r="F143" s="90">
        <f>IF(OR(I143="",I143=0),"",IF(INDEX(Samples[採樣日期],I143)="","",INDEX(Samples[採樣日期],I143)))</f>
        <v/>
      </c>
      <c r="G143" s="91">
        <f>IF(OR(M143="",M143="NA",M143="N/A"),"",IF(OR(M143="ND",M143="N.D."),0,IFERROR(IF(OR(OR(ISNUMBER(SEARCH("%",O143)),ISNUMBER(SEARCH(" ",O143)),ISNUMBER(SEARCH(",",O143))),OR(SUBSTITUTE(SUBSTITUTE(SUBSTITUTE(SUBSTITUTE(SUBSTITUTE(SUBSTITUTE(SUBSTITUTE(SUBSTITUTE(SUBSTITUTE(SUBSTITUTE(SUBSTITUTE(SUBSTITUTE(SUBSTITUTE(SUBSTITUTE(SUBSTITUTE(SUBSTITUTE(SUBSTITUTE(SUBSTITUTE("x"&amp;M143,"0",""),"1",""),"2",""),"3",""),"4",""),"5",""),"6",""),"7",""),"8",""),"9",""),".",""),"E",""),"+",""),"-",""),"&lt;",""),"&gt;",""),"=","")," ","")&lt;&gt;"x",ISNUMBER(SEARCH("-",SUBSTITUTE(SUBSTITUTE("x"&amp;MID(M143,2,99),"E-","E"),"E+","E"))),ISNUMBER(SEARCH("+",SUBSTITUTE(SUBSTITUTE("x"&amp;MID(M143,2,99),"E-","E"),"E+","E"))))),"",IF(AND(OR(LEFT(M143,1)="&lt;",LEFT(M143,1)="&gt;"),IF(O143="",0,IF(ISNUMBER(AH143),AH143,NA()))&lt;0),"",IF(O143="",0,IF(ISNUMBER(AH143),AH143,NA()))/IF(LEFT(M143,1)="&lt;",2,1))),"")))</f>
        <v/>
      </c>
      <c r="H143" s="57" t="inlineStr">
        <is>
          <t>BH03-W_20260415_03</t>
        </is>
      </c>
      <c r="I143" s="92">
        <f>IF(OR(H143="",AI143=0),0,IF(INDEX(Samples[樣品重複筆數],AI143)=1,AI143,0))</f>
        <v/>
      </c>
      <c r="J143" s="92">
        <f>IF(OR(COUNTA($A143:$D143)=0,I143=0),"",IF(INDEX(Samples[介質],I143)="","",INDEX(Samples[介質],I143)))</f>
        <v/>
      </c>
      <c r="K143" s="92">
        <f>IF(OR(COUNTA($A143:$D143)=0,T143=0),"",IF(INDEX(DB_04[標準單位],T143)="","",INDEX(DB_04[標準單位],T143)))</f>
        <v/>
      </c>
      <c r="L143" s="92">
        <f>IF(COUNTA($A143:$D143)=0,"",IF(OR(C143="",K143=""),"",IF(C143=K143,1,IF(COUNTIFS(DB_06[換算鍵],C143&amp;"|"&amp;K143,DB_06[換算檢查],"OK")=1,INDEX(DB_06[乘數],MATCH(C143&amp;"|"&amp;K143,DB_06[換算鍵],0)),""))))</f>
        <v/>
      </c>
      <c r="M143" s="92">
        <f>UPPER(SUBSTITUTE(SUBSTITUTE(SUBSTITUTE(SUBSTITUTE(TRIM(B143&amp;""),"＜","&lt;"),"＞","&gt;"),"≤","&lt;="),"≥","&gt;="))</f>
        <v/>
      </c>
      <c r="N143" s="92">
        <f>IF(M143="","",IF(OR(M143="ND",M143="N.D."),"ND",IF(OR(M143="NA",M143="N/A",M143="N.A."),"NA",IF(OR(LEFT(M143,2)="&lt;=",LEFT(M143,2)="&gt;="),LEFT(M143,2),IF(OR(LEFT(M143,1)="&lt;",LEFT(M143,1)="&gt;"),LEFT(M143,1),"數值")))))</f>
        <v/>
      </c>
      <c r="O143" s="92">
        <f>IF(OR(N143="",N143="ND",N143="NA"),"",IF(N143="數值",M143,TRIM(MID(M143,LEN(N143)+1,99))))</f>
        <v/>
      </c>
      <c r="P143" s="92">
        <f>IF(O143="","",IFERROR(IF(OR(OR(ISNUMBER(SEARCH("%",O143)),ISNUMBER(SEARCH(" ",O143)),ISNUMBER(SEARCH(",",O143))),OR(SUBSTITUTE(SUBSTITUTE(SUBSTITUTE(SUBSTITUTE(SUBSTITUTE(SUBSTITUTE(SUBSTITUTE(SUBSTITUTE(SUBSTITUTE(SUBSTITUTE(SUBSTITUTE(SUBSTITUTE(SUBSTITUTE(SUBSTITUTE(SUBSTITUTE(SUBSTITUTE(SUBSTITUTE(SUBSTITUTE("x"&amp;O143,"0",""),"1",""),"2",""),"3",""),"4",""),"5",""),"6",""),"7",""),"8",""),"9",""),".",""),"E",""),"+",""),"-",""),"&lt;",""),"&gt;",""),"=","")," ","")&lt;&gt;"x",ISNUMBER(SEARCH("-",SUBSTITUTE(SUBSTITUTE("x"&amp;MID(O143,2,99),"E-","E"),"E+","E"))),ISNUMBER(SEARCH("+",SUBSTITUTE(SUBSTITUTE("x"&amp;MID(O143,2,99),"E-","E"),"E+","E"))))),"",IF(ISNUMBER(AH143),AH143,NA())),""))</f>
        <v/>
      </c>
      <c r="Q143" s="92">
        <f>IF(AND(ISNUMBER(L143),ISNUMBER(P143)),L143*P143,"")</f>
        <v/>
      </c>
      <c r="R143" s="92">
        <f>IF(OR(COUNTA($A143:$D143)=0,U143=0),"",IF(INDEX(DB_05[管制設定值],U143)="","",INDEX(DB_05[管制設定值],U143)))</f>
        <v/>
      </c>
      <c r="S143" s="92">
        <f>IF(OR(COUNTA($A143:$D143)=0,U143=0),"",IF(INDEX(DB_05[監測設定值],U143)="","",INDEX(DB_05[監測設定值],U143)))</f>
        <v/>
      </c>
      <c r="T143" s="92">
        <f>IF(COUNTA($A143:$D143)=0,"",IF(COUNTIFS(DB_04[測項鍵],V143)=1,MATCH(V143,DB_04[測項鍵],0),0))</f>
        <v/>
      </c>
      <c r="U143" s="92">
        <f>IF(COUNTA($A143:$D143)=0,"",IF(COUNTIFS(DB_05[標準鍵],W143)=1,MATCH(W143,DB_05[標準鍵],0),0))</f>
        <v/>
      </c>
      <c r="V143" s="92">
        <f>IF(OR(J143="",A143=""),"",J143&amp;"|"&amp;A143)</f>
        <v/>
      </c>
      <c r="W143" s="92">
        <f>IF(OR('07_QAQC'!$C$3="",V143=""),"",'07_QAQC'!$C$3&amp;"|"&amp;V143)</f>
        <v/>
      </c>
      <c r="X143" s="92">
        <f>IF(OR(H143="",A143=""),"",LEN(H143)&amp;":"&amp;H143&amp;LEN(A143)&amp;":"&amp;A143)</f>
        <v/>
      </c>
      <c r="Y143" s="93">
        <f>IF(COUNTA($A143:$D143)=0,"",IF(I143=0,"樣品未建或重複",IF(INDEX(Samples[樣品檢查],I143)="","OK",INDEX(Samples[樣品檢查],I143))))</f>
        <v/>
      </c>
      <c r="Z143" s="93">
        <f>IF(COUNTA($A143:$D143)=0,"",IF(B143="","缺原始值",IF(OR(B143="-",B143="--"),"無資料",IF(N143="NA","不適用",IF(N143="ND","OK",IF(NOT(ISNUMBER(P143)),"格式待核",IF(AND(N143&lt;&gt;"數值",P143&lt;0),"界限不得為負","OK")))))))</f>
        <v/>
      </c>
      <c r="AA143" s="93">
        <f>IF(COUNTA(A143:D143)=0,"",IF(OR(A143="",H143=""),"缺識別欄位",IF(IF(LEN("="&amp;SUBSTITUTE(SUBSTITUTE(SUBSTITUTE(X143,"~","~~"),"*","~*"),"?","~?"))&lt;=255,COUNTIF(Results[結果識別鍵],"="&amp;SUBSTITUTE(SUBSTITUTE(SUBSTITUTE(X143,"~","~~"),"*","~*"),"?","~?")),COUNTIFS(Results[關聯鍵],"="&amp;SUBSTITUTE(SUBSTITUTE(SUBSTITUTE(H143,"~","~~"),"*","~*"),"?","~?"),Results[分析項目],"="&amp;SUBSTITUTE(SUBSTITUTE(SUBSTITUTE(A143,"~","~~"),"*","~*"),"?","~?")))&gt;1,"同關聯鍵測項重複","OK")))</f>
        <v/>
      </c>
      <c r="AB143" s="93">
        <f>IF(COUNTA($A143:$D143)=0,"",IF(OR(C143="",K143=""),"缺單位",IF(NOT(ISNUMBER(L143)),"單位不相容",IF(L143=1,"OK","已換算"))))</f>
        <v/>
      </c>
      <c r="AC143" s="93">
        <f>IF(COUNTA($A143:$D143)=0,"",IF('07_QAQC'!$C$3="","未選比較版本",IF(U143=0,IF(COUNTIFS(DB_05[標準鍵],W143)&gt;1,"標準鍵重複","未訂此介質／測項門檻"),IF(INDEX(DB_05[版本檢查],U143)&lt;&gt;"OK","標準主檔待核",IF(INDEX(DB_05[標準單位],U143)&lt;&gt;K143,"標準單位不符",IF(INDEX(DB_05[核對狀態],U143)="停用","停用",IF(F143="","缺採樣日期",IF(OR(AND(INDEX(DB_05[生效日],U143)&lt;&gt;"",F143&lt;INDEX(DB_05[生效日],U143)),AND(INDEX(DB_05[失效日],U143)&lt;&gt;"",F143&gt;INDEX(DB_05[失效日],U143))),"日期不適用",INDEX(DB_05[核對狀態],U143)))))))))</f>
        <v/>
      </c>
      <c r="AD143" s="93">
        <f>IF(COUNTA($A143:$D143)=0,"",IF(AC143="未訂此介質／測項門檻",AC143,IF(AC143&lt;&gt;"已核對","標準待核",IF(R143="","未訂管制值",IF(NOT(ISNUMBER(L143)),"單位待核",IF(N143="ND","無法判定（ND無界限）",IF(N143="NA","不適用",IF(Z143&lt;&gt;"OK",Z143,IF(N143="數值",IF(Q143&gt;=R143,"達管制值","未達管制值"),IF(OR(N143="&lt;",N143="&lt;="),IF(OR(Q143&lt;R143,AND(N143="&lt;",Q143=R143)),"未達管制值","無法判定"),IF(OR(N143="&gt;",N143="&gt;="),IF(Q143&gt;=R143,"達管制值","無法判定"),"格式待核")))))))))))</f>
        <v/>
      </c>
      <c r="AE143" s="93">
        <f>IF(COUNTA($A143:$D143)=0,"",IF(AC143="未訂此介質／測項門檻",AC143,IF(AC143&lt;&gt;"已核對","標準待核",IF(S143="","未訂監測值",IF(NOT(ISNUMBER(L143)),"單位待核",IF(N143="ND","無法判定（ND無界限）",IF(N143="NA","不適用",IF(Z143&lt;&gt;"OK",Z143,IF(N143="數值",IF(Q143&gt;=S143,"達監測值","未達監測值"),IF(OR(N143="&lt;",N143="&lt;="),IF(OR(Q143&lt;S143,AND(N143="&lt;",Q143=S143)),"未達監測值","無法判定"),IF(OR(N143="&gt;",N143="&gt;="),IF(Q143&gt;=S143,"達監測值","無法判定"),"格式待核")))))))))))</f>
        <v/>
      </c>
      <c r="AF143" s="93">
        <f>IF(COUNTA($A143:$D143)=0,"",IF(OR(E143="",A143="",B143="",C143=""),"缺必要欄位",IF(Y143&lt;&gt;"OK","樣品資料待補",IF(T143=0,"測項未建或重複",IF(INDEX(DB_04[啟用],T143)&lt;&gt;"是","測項停用",IF(AND(Z143&lt;&gt;"OK",Z143&lt;&gt;"不適用"),Z143,IF(AND(AB143&lt;&gt;"OK",AB143&lt;&gt;"已換算"),"單位待核",IF(AA143&lt;&gt;"OK",AA143,"OK"))))))))</f>
        <v/>
      </c>
      <c r="AG143" s="93">
        <f>IF(COUNTA($A143:$D143)=0,"",IF(N143="ND","ND取0",IF(OR(N143="&lt;",N143="&lt;="),"界限除以2",IF(N143="NA","不適用",IF(OR(N143="&gt;",N143="&gt;="),"保留界限數值","保留原數值")))))</f>
        <v/>
      </c>
      <c r="AH143" s="92">
        <f>IF(O143="","",IFERROR(_xlfn.NUMBERVALUE(O143,".",","),""))</f>
        <v/>
      </c>
      <c r="AI143" s="92">
        <f>IF(H143="","",IFERROR(MATCH(H143,Samples[樣品編號],0),0))</f>
        <v/>
      </c>
    </row>
    <row r="144">
      <c r="A144" s="27" t="inlineStr">
        <is>
          <t>ORP</t>
        </is>
      </c>
      <c r="B144" s="28" t="inlineStr">
        <is>
          <t>-55</t>
        </is>
      </c>
      <c r="C144" s="27" t="inlineStr">
        <is>
          <t>mV</t>
        </is>
      </c>
      <c r="D144" s="39" t="inlineStr">
        <is>
          <t>合成資料，非實測；method=field; reference_electrode=Ag/AgCl; calibration=verified</t>
        </is>
      </c>
      <c r="E144" s="29">
        <f>IF(OR(I144="",I144=0),"",IF(INDEX(Samples[監測點],I144)="","",INDEX(Samples[監測點],I144)))</f>
        <v/>
      </c>
      <c r="F144" s="90">
        <f>IF(OR(I144="",I144=0),"",IF(INDEX(Samples[採樣日期],I144)="","",INDEX(Samples[採樣日期],I144)))</f>
        <v/>
      </c>
      <c r="G144" s="91">
        <f>IF(OR(M144="",M144="NA",M144="N/A"),"",IF(OR(M144="ND",M144="N.D."),0,IFERROR(IF(OR(OR(ISNUMBER(SEARCH("%",O144)),ISNUMBER(SEARCH(" ",O144)),ISNUMBER(SEARCH(",",O144))),OR(SUBSTITUTE(SUBSTITUTE(SUBSTITUTE(SUBSTITUTE(SUBSTITUTE(SUBSTITUTE(SUBSTITUTE(SUBSTITUTE(SUBSTITUTE(SUBSTITUTE(SUBSTITUTE(SUBSTITUTE(SUBSTITUTE(SUBSTITUTE(SUBSTITUTE(SUBSTITUTE(SUBSTITUTE(SUBSTITUTE("x"&amp;M144,"0",""),"1",""),"2",""),"3",""),"4",""),"5",""),"6",""),"7",""),"8",""),"9",""),".",""),"E",""),"+",""),"-",""),"&lt;",""),"&gt;",""),"=","")," ","")&lt;&gt;"x",ISNUMBER(SEARCH("-",SUBSTITUTE(SUBSTITUTE("x"&amp;MID(M144,2,99),"E-","E"),"E+","E"))),ISNUMBER(SEARCH("+",SUBSTITUTE(SUBSTITUTE("x"&amp;MID(M144,2,99),"E-","E"),"E+","E"))))),"",IF(AND(OR(LEFT(M144,1)="&lt;",LEFT(M144,1)="&gt;"),IF(O144="",0,IF(ISNUMBER(AH144),AH144,NA()))&lt;0),"",IF(O144="",0,IF(ISNUMBER(AH144),AH144,NA()))/IF(LEFT(M144,1)="&lt;",2,1))),"")))</f>
        <v/>
      </c>
      <c r="H144" s="57" t="inlineStr">
        <is>
          <t>BH03-W_20260415_03</t>
        </is>
      </c>
      <c r="I144" s="92">
        <f>IF(OR(H144="",AI144=0),0,IF(INDEX(Samples[樣品重複筆數],AI144)=1,AI144,0))</f>
        <v/>
      </c>
      <c r="J144" s="92">
        <f>IF(OR(COUNTA($A144:$D144)=0,I144=0),"",IF(INDEX(Samples[介質],I144)="","",INDEX(Samples[介質],I144)))</f>
        <v/>
      </c>
      <c r="K144" s="92">
        <f>IF(OR(COUNTA($A144:$D144)=0,T144=0),"",IF(INDEX(DB_04[標準單位],T144)="","",INDEX(DB_04[標準單位],T144)))</f>
        <v/>
      </c>
      <c r="L144" s="92">
        <f>IF(COUNTA($A144:$D144)=0,"",IF(OR(C144="",K144=""),"",IF(C144=K144,1,IF(COUNTIFS(DB_06[換算鍵],C144&amp;"|"&amp;K144,DB_06[換算檢查],"OK")=1,INDEX(DB_06[乘數],MATCH(C144&amp;"|"&amp;K144,DB_06[換算鍵],0)),""))))</f>
        <v/>
      </c>
      <c r="M144" s="92">
        <f>UPPER(SUBSTITUTE(SUBSTITUTE(SUBSTITUTE(SUBSTITUTE(TRIM(B144&amp;""),"＜","&lt;"),"＞","&gt;"),"≤","&lt;="),"≥","&gt;="))</f>
        <v/>
      </c>
      <c r="N144" s="92">
        <f>IF(M144="","",IF(OR(M144="ND",M144="N.D."),"ND",IF(OR(M144="NA",M144="N/A",M144="N.A."),"NA",IF(OR(LEFT(M144,2)="&lt;=",LEFT(M144,2)="&gt;="),LEFT(M144,2),IF(OR(LEFT(M144,1)="&lt;",LEFT(M144,1)="&gt;"),LEFT(M144,1),"數值")))))</f>
        <v/>
      </c>
      <c r="O144" s="92">
        <f>IF(OR(N144="",N144="ND",N144="NA"),"",IF(N144="數值",M144,TRIM(MID(M144,LEN(N144)+1,99))))</f>
        <v/>
      </c>
      <c r="P144" s="92">
        <f>IF(O144="","",IFERROR(IF(OR(OR(ISNUMBER(SEARCH("%",O144)),ISNUMBER(SEARCH(" ",O144)),ISNUMBER(SEARCH(",",O144))),OR(SUBSTITUTE(SUBSTITUTE(SUBSTITUTE(SUBSTITUTE(SUBSTITUTE(SUBSTITUTE(SUBSTITUTE(SUBSTITUTE(SUBSTITUTE(SUBSTITUTE(SUBSTITUTE(SUBSTITUTE(SUBSTITUTE(SUBSTITUTE(SUBSTITUTE(SUBSTITUTE(SUBSTITUTE(SUBSTITUTE("x"&amp;O144,"0",""),"1",""),"2",""),"3",""),"4",""),"5",""),"6",""),"7",""),"8",""),"9",""),".",""),"E",""),"+",""),"-",""),"&lt;",""),"&gt;",""),"=","")," ","")&lt;&gt;"x",ISNUMBER(SEARCH("-",SUBSTITUTE(SUBSTITUTE("x"&amp;MID(O144,2,99),"E-","E"),"E+","E"))),ISNUMBER(SEARCH("+",SUBSTITUTE(SUBSTITUTE("x"&amp;MID(O144,2,99),"E-","E"),"E+","E"))))),"",IF(ISNUMBER(AH144),AH144,NA())),""))</f>
        <v/>
      </c>
      <c r="Q144" s="92">
        <f>IF(AND(ISNUMBER(L144),ISNUMBER(P144)),L144*P144,"")</f>
        <v/>
      </c>
      <c r="R144" s="92">
        <f>IF(OR(COUNTA($A144:$D144)=0,U144=0),"",IF(INDEX(DB_05[管制設定值],U144)="","",INDEX(DB_05[管制設定值],U144)))</f>
        <v/>
      </c>
      <c r="S144" s="92">
        <f>IF(OR(COUNTA($A144:$D144)=0,U144=0),"",IF(INDEX(DB_05[監測設定值],U144)="","",INDEX(DB_05[監測設定值],U144)))</f>
        <v/>
      </c>
      <c r="T144" s="92">
        <f>IF(COUNTA($A144:$D144)=0,"",IF(COUNTIFS(DB_04[測項鍵],V144)=1,MATCH(V144,DB_04[測項鍵],0),0))</f>
        <v/>
      </c>
      <c r="U144" s="92">
        <f>IF(COUNTA($A144:$D144)=0,"",IF(COUNTIFS(DB_05[標準鍵],W144)=1,MATCH(W144,DB_05[標準鍵],0),0))</f>
        <v/>
      </c>
      <c r="V144" s="92">
        <f>IF(OR(J144="",A144=""),"",J144&amp;"|"&amp;A144)</f>
        <v/>
      </c>
      <c r="W144" s="92">
        <f>IF(OR('07_QAQC'!$C$3="",V144=""),"",'07_QAQC'!$C$3&amp;"|"&amp;V144)</f>
        <v/>
      </c>
      <c r="X144" s="92">
        <f>IF(OR(H144="",A144=""),"",LEN(H144)&amp;":"&amp;H144&amp;LEN(A144)&amp;":"&amp;A144)</f>
        <v/>
      </c>
      <c r="Y144" s="93">
        <f>IF(COUNTA($A144:$D144)=0,"",IF(I144=0,"樣品未建或重複",IF(INDEX(Samples[樣品檢查],I144)="","OK",INDEX(Samples[樣品檢查],I144))))</f>
        <v/>
      </c>
      <c r="Z144" s="93">
        <f>IF(COUNTA($A144:$D144)=0,"",IF(B144="","缺原始值",IF(OR(B144="-",B144="--"),"無資料",IF(N144="NA","不適用",IF(N144="ND","OK",IF(NOT(ISNUMBER(P144)),"格式待核",IF(AND(N144&lt;&gt;"數值",P144&lt;0),"界限不得為負","OK")))))))</f>
        <v/>
      </c>
      <c r="AA144" s="93">
        <f>IF(COUNTA(A144:D144)=0,"",IF(OR(A144="",H144=""),"缺識別欄位",IF(IF(LEN("="&amp;SUBSTITUTE(SUBSTITUTE(SUBSTITUTE(X144,"~","~~"),"*","~*"),"?","~?"))&lt;=255,COUNTIF(Results[結果識別鍵],"="&amp;SUBSTITUTE(SUBSTITUTE(SUBSTITUTE(X144,"~","~~"),"*","~*"),"?","~?")),COUNTIFS(Results[關聯鍵],"="&amp;SUBSTITUTE(SUBSTITUTE(SUBSTITUTE(H144,"~","~~"),"*","~*"),"?","~?"),Results[分析項目],"="&amp;SUBSTITUTE(SUBSTITUTE(SUBSTITUTE(A144,"~","~~"),"*","~*"),"?","~?")))&gt;1,"同關聯鍵測項重複","OK")))</f>
        <v/>
      </c>
      <c r="AB144" s="93">
        <f>IF(COUNTA($A144:$D144)=0,"",IF(OR(C144="",K144=""),"缺單位",IF(NOT(ISNUMBER(L144)),"單位不相容",IF(L144=1,"OK","已換算"))))</f>
        <v/>
      </c>
      <c r="AC144" s="93">
        <f>IF(COUNTA($A144:$D144)=0,"",IF('07_QAQC'!$C$3="","未選比較版本",IF(U144=0,IF(COUNTIFS(DB_05[標準鍵],W144)&gt;1,"標準鍵重複","未訂此介質／測項門檻"),IF(INDEX(DB_05[版本檢查],U144)&lt;&gt;"OK","標準主檔待核",IF(INDEX(DB_05[標準單位],U144)&lt;&gt;K144,"標準單位不符",IF(INDEX(DB_05[核對狀態],U144)="停用","停用",IF(F144="","缺採樣日期",IF(OR(AND(INDEX(DB_05[生效日],U144)&lt;&gt;"",F144&lt;INDEX(DB_05[生效日],U144)),AND(INDEX(DB_05[失效日],U144)&lt;&gt;"",F144&gt;INDEX(DB_05[失效日],U144))),"日期不適用",INDEX(DB_05[核對狀態],U144)))))))))</f>
        <v/>
      </c>
      <c r="AD144" s="93">
        <f>IF(COUNTA($A144:$D144)=0,"",IF(AC144="未訂此介質／測項門檻",AC144,IF(AC144&lt;&gt;"已核對","標準待核",IF(R144="","未訂管制值",IF(NOT(ISNUMBER(L144)),"單位待核",IF(N144="ND","無法判定（ND無界限）",IF(N144="NA","不適用",IF(Z144&lt;&gt;"OK",Z144,IF(N144="數值",IF(Q144&gt;=R144,"達管制值","未達管制值"),IF(OR(N144="&lt;",N144="&lt;="),IF(OR(Q144&lt;R144,AND(N144="&lt;",Q144=R144)),"未達管制值","無法判定"),IF(OR(N144="&gt;",N144="&gt;="),IF(Q144&gt;=R144,"達管制值","無法判定"),"格式待核")))))))))))</f>
        <v/>
      </c>
      <c r="AE144" s="93">
        <f>IF(COUNTA($A144:$D144)=0,"",IF(AC144="未訂此介質／測項門檻",AC144,IF(AC144&lt;&gt;"已核對","標準待核",IF(S144="","未訂監測值",IF(NOT(ISNUMBER(L144)),"單位待核",IF(N144="ND","無法判定（ND無界限）",IF(N144="NA","不適用",IF(Z144&lt;&gt;"OK",Z144,IF(N144="數值",IF(Q144&gt;=S144,"達監測值","未達監測值"),IF(OR(N144="&lt;",N144="&lt;="),IF(OR(Q144&lt;S144,AND(N144="&lt;",Q144=S144)),"未達監測值","無法判定"),IF(OR(N144="&gt;",N144="&gt;="),IF(Q144&gt;=S144,"達監測值","無法判定"),"格式待核")))))))))))</f>
        <v/>
      </c>
      <c r="AF144" s="93">
        <f>IF(COUNTA($A144:$D144)=0,"",IF(OR(E144="",A144="",B144="",C144=""),"缺必要欄位",IF(Y144&lt;&gt;"OK","樣品資料待補",IF(T144=0,"測項未建或重複",IF(INDEX(DB_04[啟用],T144)&lt;&gt;"是","測項停用",IF(AND(Z144&lt;&gt;"OK",Z144&lt;&gt;"不適用"),Z144,IF(AND(AB144&lt;&gt;"OK",AB144&lt;&gt;"已換算"),"單位待核",IF(AA144&lt;&gt;"OK",AA144,"OK"))))))))</f>
        <v/>
      </c>
      <c r="AG144" s="93">
        <f>IF(COUNTA($A144:$D144)=0,"",IF(N144="ND","ND取0",IF(OR(N144="&lt;",N144="&lt;="),"界限除以2",IF(N144="NA","不適用",IF(OR(N144="&gt;",N144="&gt;="),"保留界限數值","保留原數值")))))</f>
        <v/>
      </c>
      <c r="AH144" s="92">
        <f>IF(O144="","",IFERROR(_xlfn.NUMBERVALUE(O144,".",","),""))</f>
        <v/>
      </c>
      <c r="AI144" s="92">
        <f>IF(H144="","",IFERROR(MATCH(H144,Samples[樣品編號],0),0))</f>
        <v/>
      </c>
    </row>
    <row r="145">
      <c r="A145" s="27" t="inlineStr">
        <is>
          <t>總有機碳</t>
        </is>
      </c>
      <c r="B145" s="28" t="inlineStr">
        <is>
          <t>3.3</t>
        </is>
      </c>
      <c r="C145" s="27" t="inlineStr">
        <is>
          <t>mg/L</t>
        </is>
      </c>
      <c r="D145" s="39" t="inlineStr">
        <is>
          <t>合成資料，非實測；method=lab</t>
        </is>
      </c>
      <c r="E145" s="29">
        <f>IF(OR(I145="",I145=0),"",IF(INDEX(Samples[監測點],I145)="","",INDEX(Samples[監測點],I145)))</f>
        <v/>
      </c>
      <c r="F145" s="90">
        <f>IF(OR(I145="",I145=0),"",IF(INDEX(Samples[採樣日期],I145)="","",INDEX(Samples[採樣日期],I145)))</f>
        <v/>
      </c>
      <c r="G145" s="91">
        <f>IF(OR(M145="",M145="NA",M145="N/A"),"",IF(OR(M145="ND",M145="N.D."),0,IFERROR(IF(OR(OR(ISNUMBER(SEARCH("%",O145)),ISNUMBER(SEARCH(" ",O145)),ISNUMBER(SEARCH(",",O145))),OR(SUBSTITUTE(SUBSTITUTE(SUBSTITUTE(SUBSTITUTE(SUBSTITUTE(SUBSTITUTE(SUBSTITUTE(SUBSTITUTE(SUBSTITUTE(SUBSTITUTE(SUBSTITUTE(SUBSTITUTE(SUBSTITUTE(SUBSTITUTE(SUBSTITUTE(SUBSTITUTE(SUBSTITUTE(SUBSTITUTE("x"&amp;M145,"0",""),"1",""),"2",""),"3",""),"4",""),"5",""),"6",""),"7",""),"8",""),"9",""),".",""),"E",""),"+",""),"-",""),"&lt;",""),"&gt;",""),"=","")," ","")&lt;&gt;"x",ISNUMBER(SEARCH("-",SUBSTITUTE(SUBSTITUTE("x"&amp;MID(M145,2,99),"E-","E"),"E+","E"))),ISNUMBER(SEARCH("+",SUBSTITUTE(SUBSTITUTE("x"&amp;MID(M145,2,99),"E-","E"),"E+","E"))))),"",IF(AND(OR(LEFT(M145,1)="&lt;",LEFT(M145,1)="&gt;"),IF(O145="",0,IF(ISNUMBER(AH145),AH145,NA()))&lt;0),"",IF(O145="",0,IF(ISNUMBER(AH145),AH145,NA()))/IF(LEFT(M145,1)="&lt;",2,1))),"")))</f>
        <v/>
      </c>
      <c r="H145" s="57" t="inlineStr">
        <is>
          <t>BH03-W_20260415_03</t>
        </is>
      </c>
      <c r="I145" s="92">
        <f>IF(OR(H145="",AI145=0),0,IF(INDEX(Samples[樣品重複筆數],AI145)=1,AI145,0))</f>
        <v/>
      </c>
      <c r="J145" s="92">
        <f>IF(OR(COUNTA($A145:$D145)=0,I145=0),"",IF(INDEX(Samples[介質],I145)="","",INDEX(Samples[介質],I145)))</f>
        <v/>
      </c>
      <c r="K145" s="92">
        <f>IF(OR(COUNTA($A145:$D145)=0,T145=0),"",IF(INDEX(DB_04[標準單位],T145)="","",INDEX(DB_04[標準單位],T145)))</f>
        <v/>
      </c>
      <c r="L145" s="92">
        <f>IF(COUNTA($A145:$D145)=0,"",IF(OR(C145="",K145=""),"",IF(C145=K145,1,IF(COUNTIFS(DB_06[換算鍵],C145&amp;"|"&amp;K145,DB_06[換算檢查],"OK")=1,INDEX(DB_06[乘數],MATCH(C145&amp;"|"&amp;K145,DB_06[換算鍵],0)),""))))</f>
        <v/>
      </c>
      <c r="M145" s="92">
        <f>UPPER(SUBSTITUTE(SUBSTITUTE(SUBSTITUTE(SUBSTITUTE(TRIM(B145&amp;""),"＜","&lt;"),"＞","&gt;"),"≤","&lt;="),"≥","&gt;="))</f>
        <v/>
      </c>
      <c r="N145" s="92">
        <f>IF(M145="","",IF(OR(M145="ND",M145="N.D."),"ND",IF(OR(M145="NA",M145="N/A",M145="N.A."),"NA",IF(OR(LEFT(M145,2)="&lt;=",LEFT(M145,2)="&gt;="),LEFT(M145,2),IF(OR(LEFT(M145,1)="&lt;",LEFT(M145,1)="&gt;"),LEFT(M145,1),"數值")))))</f>
        <v/>
      </c>
      <c r="O145" s="92">
        <f>IF(OR(N145="",N145="ND",N145="NA"),"",IF(N145="數值",M145,TRIM(MID(M145,LEN(N145)+1,99))))</f>
        <v/>
      </c>
      <c r="P145" s="92">
        <f>IF(O145="","",IFERROR(IF(OR(OR(ISNUMBER(SEARCH("%",O145)),ISNUMBER(SEARCH(" ",O145)),ISNUMBER(SEARCH(",",O145))),OR(SUBSTITUTE(SUBSTITUTE(SUBSTITUTE(SUBSTITUTE(SUBSTITUTE(SUBSTITUTE(SUBSTITUTE(SUBSTITUTE(SUBSTITUTE(SUBSTITUTE(SUBSTITUTE(SUBSTITUTE(SUBSTITUTE(SUBSTITUTE(SUBSTITUTE(SUBSTITUTE(SUBSTITUTE(SUBSTITUTE("x"&amp;O145,"0",""),"1",""),"2",""),"3",""),"4",""),"5",""),"6",""),"7",""),"8",""),"9",""),".",""),"E",""),"+",""),"-",""),"&lt;",""),"&gt;",""),"=","")," ","")&lt;&gt;"x",ISNUMBER(SEARCH("-",SUBSTITUTE(SUBSTITUTE("x"&amp;MID(O145,2,99),"E-","E"),"E+","E"))),ISNUMBER(SEARCH("+",SUBSTITUTE(SUBSTITUTE("x"&amp;MID(O145,2,99),"E-","E"),"E+","E"))))),"",IF(ISNUMBER(AH145),AH145,NA())),""))</f>
        <v/>
      </c>
      <c r="Q145" s="92">
        <f>IF(AND(ISNUMBER(L145),ISNUMBER(P145)),L145*P145,"")</f>
        <v/>
      </c>
      <c r="R145" s="92">
        <f>IF(OR(COUNTA($A145:$D145)=0,U145=0),"",IF(INDEX(DB_05[管制設定值],U145)="","",INDEX(DB_05[管制設定值],U145)))</f>
        <v/>
      </c>
      <c r="S145" s="92">
        <f>IF(OR(COUNTA($A145:$D145)=0,U145=0),"",IF(INDEX(DB_05[監測設定值],U145)="","",INDEX(DB_05[監測設定值],U145)))</f>
        <v/>
      </c>
      <c r="T145" s="92">
        <f>IF(COUNTA($A145:$D145)=0,"",IF(COUNTIFS(DB_04[測項鍵],V145)=1,MATCH(V145,DB_04[測項鍵],0),0))</f>
        <v/>
      </c>
      <c r="U145" s="92">
        <f>IF(COUNTA($A145:$D145)=0,"",IF(COUNTIFS(DB_05[標準鍵],W145)=1,MATCH(W145,DB_05[標準鍵],0),0))</f>
        <v/>
      </c>
      <c r="V145" s="92">
        <f>IF(OR(J145="",A145=""),"",J145&amp;"|"&amp;A145)</f>
        <v/>
      </c>
      <c r="W145" s="92">
        <f>IF(OR('07_QAQC'!$C$3="",V145=""),"",'07_QAQC'!$C$3&amp;"|"&amp;V145)</f>
        <v/>
      </c>
      <c r="X145" s="92">
        <f>IF(OR(H145="",A145=""),"",LEN(H145)&amp;":"&amp;H145&amp;LEN(A145)&amp;":"&amp;A145)</f>
        <v/>
      </c>
      <c r="Y145" s="93">
        <f>IF(COUNTA($A145:$D145)=0,"",IF(I145=0,"樣品未建或重複",IF(INDEX(Samples[樣品檢查],I145)="","OK",INDEX(Samples[樣品檢查],I145))))</f>
        <v/>
      </c>
      <c r="Z145" s="93">
        <f>IF(COUNTA($A145:$D145)=0,"",IF(B145="","缺原始值",IF(OR(B145="-",B145="--"),"無資料",IF(N145="NA","不適用",IF(N145="ND","OK",IF(NOT(ISNUMBER(P145)),"格式待核",IF(AND(N145&lt;&gt;"數值",P145&lt;0),"界限不得為負","OK")))))))</f>
        <v/>
      </c>
      <c r="AA145" s="93">
        <f>IF(COUNTA(A145:D145)=0,"",IF(OR(A145="",H145=""),"缺識別欄位",IF(IF(LEN("="&amp;SUBSTITUTE(SUBSTITUTE(SUBSTITUTE(X145,"~","~~"),"*","~*"),"?","~?"))&lt;=255,COUNTIF(Results[結果識別鍵],"="&amp;SUBSTITUTE(SUBSTITUTE(SUBSTITUTE(X145,"~","~~"),"*","~*"),"?","~?")),COUNTIFS(Results[關聯鍵],"="&amp;SUBSTITUTE(SUBSTITUTE(SUBSTITUTE(H145,"~","~~"),"*","~*"),"?","~?"),Results[分析項目],"="&amp;SUBSTITUTE(SUBSTITUTE(SUBSTITUTE(A145,"~","~~"),"*","~*"),"?","~?")))&gt;1,"同關聯鍵測項重複","OK")))</f>
        <v/>
      </c>
      <c r="AB145" s="93">
        <f>IF(COUNTA($A145:$D145)=0,"",IF(OR(C145="",K145=""),"缺單位",IF(NOT(ISNUMBER(L145)),"單位不相容",IF(L145=1,"OK","已換算"))))</f>
        <v/>
      </c>
      <c r="AC145" s="93">
        <f>IF(COUNTA($A145:$D145)=0,"",IF('07_QAQC'!$C$3="","未選比較版本",IF(U145=0,IF(COUNTIFS(DB_05[標準鍵],W145)&gt;1,"標準鍵重複","未訂此介質／測項門檻"),IF(INDEX(DB_05[版本檢查],U145)&lt;&gt;"OK","標準主檔待核",IF(INDEX(DB_05[標準單位],U145)&lt;&gt;K145,"標準單位不符",IF(INDEX(DB_05[核對狀態],U145)="停用","停用",IF(F145="","缺採樣日期",IF(OR(AND(INDEX(DB_05[生效日],U145)&lt;&gt;"",F145&lt;INDEX(DB_05[生效日],U145)),AND(INDEX(DB_05[失效日],U145)&lt;&gt;"",F145&gt;INDEX(DB_05[失效日],U145))),"日期不適用",INDEX(DB_05[核對狀態],U145)))))))))</f>
        <v/>
      </c>
      <c r="AD145" s="93">
        <f>IF(COUNTA($A145:$D145)=0,"",IF(AC145="未訂此介質／測項門檻",AC145,IF(AC145&lt;&gt;"已核對","標準待核",IF(R145="","未訂管制值",IF(NOT(ISNUMBER(L145)),"單位待核",IF(N145="ND","無法判定（ND無界限）",IF(N145="NA","不適用",IF(Z145&lt;&gt;"OK",Z145,IF(N145="數值",IF(Q145&gt;=R145,"達管制值","未達管制值"),IF(OR(N145="&lt;",N145="&lt;="),IF(OR(Q145&lt;R145,AND(N145="&lt;",Q145=R145)),"未達管制值","無法判定"),IF(OR(N145="&gt;",N145="&gt;="),IF(Q145&gt;=R145,"達管制值","無法判定"),"格式待核")))))))))))</f>
        <v/>
      </c>
      <c r="AE145" s="93">
        <f>IF(COUNTA($A145:$D145)=0,"",IF(AC145="未訂此介質／測項門檻",AC145,IF(AC145&lt;&gt;"已核對","標準待核",IF(S145="","未訂監測值",IF(NOT(ISNUMBER(L145)),"單位待核",IF(N145="ND","無法判定（ND無界限）",IF(N145="NA","不適用",IF(Z145&lt;&gt;"OK",Z145,IF(N145="數值",IF(Q145&gt;=S145,"達監測值","未達監測值"),IF(OR(N145="&lt;",N145="&lt;="),IF(OR(Q145&lt;S145,AND(N145="&lt;",Q145=S145)),"未達監測值","無法判定"),IF(OR(N145="&gt;",N145="&gt;="),IF(Q145&gt;=S145,"達監測值","無法判定"),"格式待核")))))))))))</f>
        <v/>
      </c>
      <c r="AF145" s="93">
        <f>IF(COUNTA($A145:$D145)=0,"",IF(OR(E145="",A145="",B145="",C145=""),"缺必要欄位",IF(Y145&lt;&gt;"OK","樣品資料待補",IF(T145=0,"測項未建或重複",IF(INDEX(DB_04[啟用],T145)&lt;&gt;"是","測項停用",IF(AND(Z145&lt;&gt;"OK",Z145&lt;&gt;"不適用"),Z145,IF(AND(AB145&lt;&gt;"OK",AB145&lt;&gt;"已換算"),"單位待核",IF(AA145&lt;&gt;"OK",AA145,"OK"))))))))</f>
        <v/>
      </c>
      <c r="AG145" s="93">
        <f>IF(COUNTA($A145:$D145)=0,"",IF(N145="ND","ND取0",IF(OR(N145="&lt;",N145="&lt;="),"界限除以2",IF(N145="NA","不適用",IF(OR(N145="&gt;",N145="&gt;="),"保留界限數值","保留原數值")))))</f>
        <v/>
      </c>
      <c r="AH145" s="92">
        <f>IF(O145="","",IFERROR(_xlfn.NUMBERVALUE(O145,".",","),""))</f>
        <v/>
      </c>
      <c r="AI145" s="92">
        <f>IF(H145="","",IFERROR(MATCH(H145,Samples[樣品編號],0),0))</f>
        <v/>
      </c>
    </row>
    <row r="146">
      <c r="A146" s="27" t="inlineStr">
        <is>
          <t>鋅</t>
        </is>
      </c>
      <c r="B146" s="28" t="inlineStr">
        <is>
          <t>116</t>
        </is>
      </c>
      <c r="C146" s="27" t="inlineStr">
        <is>
          <t>mg/kg</t>
        </is>
      </c>
      <c r="D146" s="39" t="inlineStr">
        <is>
          <t>合成資料，非實測；method=XRF; basis=dry</t>
        </is>
      </c>
      <c r="E146" s="29">
        <f>IF(OR(I146="",I146=0),"",IF(INDEX(Samples[監測點],I146)="","",INDEX(Samples[監測點],I146)))</f>
        <v/>
      </c>
      <c r="F146" s="90">
        <f>IF(OR(I146="",I146=0),"",IF(INDEX(Samples[採樣日期],I146)="","",INDEX(Samples[採樣日期],I146)))</f>
        <v/>
      </c>
      <c r="G146" s="91">
        <f>IF(OR(M146="",M146="NA",M146="N/A"),"",IF(OR(M146="ND",M146="N.D."),0,IFERROR(IF(OR(OR(ISNUMBER(SEARCH("%",O146)),ISNUMBER(SEARCH(" ",O146)),ISNUMBER(SEARCH(",",O146))),OR(SUBSTITUTE(SUBSTITUTE(SUBSTITUTE(SUBSTITUTE(SUBSTITUTE(SUBSTITUTE(SUBSTITUTE(SUBSTITUTE(SUBSTITUTE(SUBSTITUTE(SUBSTITUTE(SUBSTITUTE(SUBSTITUTE(SUBSTITUTE(SUBSTITUTE(SUBSTITUTE(SUBSTITUTE(SUBSTITUTE("x"&amp;M146,"0",""),"1",""),"2",""),"3",""),"4",""),"5",""),"6",""),"7",""),"8",""),"9",""),".",""),"E",""),"+",""),"-",""),"&lt;",""),"&gt;",""),"=","")," ","")&lt;&gt;"x",ISNUMBER(SEARCH("-",SUBSTITUTE(SUBSTITUTE("x"&amp;MID(M146,2,99),"E-","E"),"E+","E"))),ISNUMBER(SEARCH("+",SUBSTITUTE(SUBSTITUTE("x"&amp;MID(M146,2,99),"E-","E"),"E+","E"))))),"",IF(AND(OR(LEFT(M146,1)="&lt;",LEFT(M146,1)="&gt;"),IF(O146="",0,IF(ISNUMBER(AH146),AH146,NA()))&lt;0),"",IF(O146="",0,IF(ISNUMBER(AH146),AH146,NA()))/IF(LEFT(M146,1)="&lt;",2,1))),"")))</f>
        <v/>
      </c>
      <c r="H146" s="57" t="inlineStr">
        <is>
          <t>BH04-S_20260115_01</t>
        </is>
      </c>
      <c r="I146" s="92">
        <f>IF(OR(H146="",AI146=0),0,IF(INDEX(Samples[樣品重複筆數],AI146)=1,AI146,0))</f>
        <v/>
      </c>
      <c r="J146" s="92">
        <f>IF(OR(COUNTA($A146:$D146)=0,I146=0),"",IF(INDEX(Samples[介質],I146)="","",INDEX(Samples[介質],I146)))</f>
        <v/>
      </c>
      <c r="K146" s="92">
        <f>IF(OR(COUNTA($A146:$D146)=0,T146=0),"",IF(INDEX(DB_04[標準單位],T146)="","",INDEX(DB_04[標準單位],T146)))</f>
        <v/>
      </c>
      <c r="L146" s="92">
        <f>IF(COUNTA($A146:$D146)=0,"",IF(OR(C146="",K146=""),"",IF(C146=K146,1,IF(COUNTIFS(DB_06[換算鍵],C146&amp;"|"&amp;K146,DB_06[換算檢查],"OK")=1,INDEX(DB_06[乘數],MATCH(C146&amp;"|"&amp;K146,DB_06[換算鍵],0)),""))))</f>
        <v/>
      </c>
      <c r="M146" s="92">
        <f>UPPER(SUBSTITUTE(SUBSTITUTE(SUBSTITUTE(SUBSTITUTE(TRIM(B146&amp;""),"＜","&lt;"),"＞","&gt;"),"≤","&lt;="),"≥","&gt;="))</f>
        <v/>
      </c>
      <c r="N146" s="92">
        <f>IF(M146="","",IF(OR(M146="ND",M146="N.D."),"ND",IF(OR(M146="NA",M146="N/A",M146="N.A."),"NA",IF(OR(LEFT(M146,2)="&lt;=",LEFT(M146,2)="&gt;="),LEFT(M146,2),IF(OR(LEFT(M146,1)="&lt;",LEFT(M146,1)="&gt;"),LEFT(M146,1),"數值")))))</f>
        <v/>
      </c>
      <c r="O146" s="92">
        <f>IF(OR(N146="",N146="ND",N146="NA"),"",IF(N146="數值",M146,TRIM(MID(M146,LEN(N146)+1,99))))</f>
        <v/>
      </c>
      <c r="P146" s="92">
        <f>IF(O146="","",IFERROR(IF(OR(OR(ISNUMBER(SEARCH("%",O146)),ISNUMBER(SEARCH(" ",O146)),ISNUMBER(SEARCH(",",O146))),OR(SUBSTITUTE(SUBSTITUTE(SUBSTITUTE(SUBSTITUTE(SUBSTITUTE(SUBSTITUTE(SUBSTITUTE(SUBSTITUTE(SUBSTITUTE(SUBSTITUTE(SUBSTITUTE(SUBSTITUTE(SUBSTITUTE(SUBSTITUTE(SUBSTITUTE(SUBSTITUTE(SUBSTITUTE(SUBSTITUTE("x"&amp;O146,"0",""),"1",""),"2",""),"3",""),"4",""),"5",""),"6",""),"7",""),"8",""),"9",""),".",""),"E",""),"+",""),"-",""),"&lt;",""),"&gt;",""),"=","")," ","")&lt;&gt;"x",ISNUMBER(SEARCH("-",SUBSTITUTE(SUBSTITUTE("x"&amp;MID(O146,2,99),"E-","E"),"E+","E"))),ISNUMBER(SEARCH("+",SUBSTITUTE(SUBSTITUTE("x"&amp;MID(O146,2,99),"E-","E"),"E+","E"))))),"",IF(ISNUMBER(AH146),AH146,NA())),""))</f>
        <v/>
      </c>
      <c r="Q146" s="92">
        <f>IF(AND(ISNUMBER(L146),ISNUMBER(P146)),L146*P146,"")</f>
        <v/>
      </c>
      <c r="R146" s="92">
        <f>IF(OR(COUNTA($A146:$D146)=0,U146=0),"",IF(INDEX(DB_05[管制設定值],U146)="","",INDEX(DB_05[管制設定值],U146)))</f>
        <v/>
      </c>
      <c r="S146" s="92">
        <f>IF(OR(COUNTA($A146:$D146)=0,U146=0),"",IF(INDEX(DB_05[監測設定值],U146)="","",INDEX(DB_05[監測設定值],U146)))</f>
        <v/>
      </c>
      <c r="T146" s="92">
        <f>IF(COUNTA($A146:$D146)=0,"",IF(COUNTIFS(DB_04[測項鍵],V146)=1,MATCH(V146,DB_04[測項鍵],0),0))</f>
        <v/>
      </c>
      <c r="U146" s="92">
        <f>IF(COUNTA($A146:$D146)=0,"",IF(COUNTIFS(DB_05[標準鍵],W146)=1,MATCH(W146,DB_05[標準鍵],0),0))</f>
        <v/>
      </c>
      <c r="V146" s="92">
        <f>IF(OR(J146="",A146=""),"",J146&amp;"|"&amp;A146)</f>
        <v/>
      </c>
      <c r="W146" s="92">
        <f>IF(OR('07_QAQC'!$C$3="",V146=""),"",'07_QAQC'!$C$3&amp;"|"&amp;V146)</f>
        <v/>
      </c>
      <c r="X146" s="92">
        <f>IF(OR(H146="",A146=""),"",LEN(H146)&amp;":"&amp;H146&amp;LEN(A146)&amp;":"&amp;A146)</f>
        <v/>
      </c>
      <c r="Y146" s="93">
        <f>IF(COUNTA($A146:$D146)=0,"",IF(I146=0,"樣品未建或重複",IF(INDEX(Samples[樣品檢查],I146)="","OK",INDEX(Samples[樣品檢查],I146))))</f>
        <v/>
      </c>
      <c r="Z146" s="93">
        <f>IF(COUNTA($A146:$D146)=0,"",IF(B146="","缺原始值",IF(OR(B146="-",B146="--"),"無資料",IF(N146="NA","不適用",IF(N146="ND","OK",IF(NOT(ISNUMBER(P146)),"格式待核",IF(AND(N146&lt;&gt;"數值",P146&lt;0),"界限不得為負","OK")))))))</f>
        <v/>
      </c>
      <c r="AA146" s="93">
        <f>IF(COUNTA(A146:D146)=0,"",IF(OR(A146="",H146=""),"缺識別欄位",IF(IF(LEN("="&amp;SUBSTITUTE(SUBSTITUTE(SUBSTITUTE(X146,"~","~~"),"*","~*"),"?","~?"))&lt;=255,COUNTIF(Results[結果識別鍵],"="&amp;SUBSTITUTE(SUBSTITUTE(SUBSTITUTE(X146,"~","~~"),"*","~*"),"?","~?")),COUNTIFS(Results[關聯鍵],"="&amp;SUBSTITUTE(SUBSTITUTE(SUBSTITUTE(H146,"~","~~"),"*","~*"),"?","~?"),Results[分析項目],"="&amp;SUBSTITUTE(SUBSTITUTE(SUBSTITUTE(A146,"~","~~"),"*","~*"),"?","~?")))&gt;1,"同關聯鍵測項重複","OK")))</f>
        <v/>
      </c>
      <c r="AB146" s="93">
        <f>IF(COUNTA($A146:$D146)=0,"",IF(OR(C146="",K146=""),"缺單位",IF(NOT(ISNUMBER(L146)),"單位不相容",IF(L146=1,"OK","已換算"))))</f>
        <v/>
      </c>
      <c r="AC146" s="93">
        <f>IF(COUNTA($A146:$D146)=0,"",IF('07_QAQC'!$C$3="","未選比較版本",IF(U146=0,IF(COUNTIFS(DB_05[標準鍵],W146)&gt;1,"標準鍵重複","未訂此介質／測項門檻"),IF(INDEX(DB_05[版本檢查],U146)&lt;&gt;"OK","標準主檔待核",IF(INDEX(DB_05[標準單位],U146)&lt;&gt;K146,"標準單位不符",IF(INDEX(DB_05[核對狀態],U146)="停用","停用",IF(F146="","缺採樣日期",IF(OR(AND(INDEX(DB_05[生效日],U146)&lt;&gt;"",F146&lt;INDEX(DB_05[生效日],U146)),AND(INDEX(DB_05[失效日],U146)&lt;&gt;"",F146&gt;INDEX(DB_05[失效日],U146))),"日期不適用",INDEX(DB_05[核對狀態],U146)))))))))</f>
        <v/>
      </c>
      <c r="AD146" s="93">
        <f>IF(COUNTA($A146:$D146)=0,"",IF(AC146="未訂此介質／測項門檻",AC146,IF(AC146&lt;&gt;"已核對","標準待核",IF(R146="","未訂管制值",IF(NOT(ISNUMBER(L146)),"單位待核",IF(N146="ND","無法判定（ND無界限）",IF(N146="NA","不適用",IF(Z146&lt;&gt;"OK",Z146,IF(N146="數值",IF(Q146&gt;=R146,"達管制值","未達管制值"),IF(OR(N146="&lt;",N146="&lt;="),IF(OR(Q146&lt;R146,AND(N146="&lt;",Q146=R146)),"未達管制值","無法判定"),IF(OR(N146="&gt;",N146="&gt;="),IF(Q146&gt;=R146,"達管制值","無法判定"),"格式待核")))))))))))</f>
        <v/>
      </c>
      <c r="AE146" s="93">
        <f>IF(COUNTA($A146:$D146)=0,"",IF(AC146="未訂此介質／測項門檻",AC146,IF(AC146&lt;&gt;"已核對","標準待核",IF(S146="","未訂監測值",IF(NOT(ISNUMBER(L146)),"單位待核",IF(N146="ND","無法判定（ND無界限）",IF(N146="NA","不適用",IF(Z146&lt;&gt;"OK",Z146,IF(N146="數值",IF(Q146&gt;=S146,"達監測值","未達監測值"),IF(OR(N146="&lt;",N146="&lt;="),IF(OR(Q146&lt;S146,AND(N146="&lt;",Q146=S146)),"未達監測值","無法判定"),IF(OR(N146="&gt;",N146="&gt;="),IF(Q146&gt;=S146,"達監測值","無法判定"),"格式待核")))))))))))</f>
        <v/>
      </c>
      <c r="AF146" s="93">
        <f>IF(COUNTA($A146:$D146)=0,"",IF(OR(E146="",A146="",B146="",C146=""),"缺必要欄位",IF(Y146&lt;&gt;"OK","樣品資料待補",IF(T146=0,"測項未建或重複",IF(INDEX(DB_04[啟用],T146)&lt;&gt;"是","測項停用",IF(AND(Z146&lt;&gt;"OK",Z146&lt;&gt;"不適用"),Z146,IF(AND(AB146&lt;&gt;"OK",AB146&lt;&gt;"已換算"),"單位待核",IF(AA146&lt;&gt;"OK",AA146,"OK"))))))))</f>
        <v/>
      </c>
      <c r="AG146" s="93">
        <f>IF(COUNTA($A146:$D146)=0,"",IF(N146="ND","ND取0",IF(OR(N146="&lt;",N146="&lt;="),"界限除以2",IF(N146="NA","不適用",IF(OR(N146="&gt;",N146="&gt;="),"保留界限數值","保留原數值")))))</f>
        <v/>
      </c>
      <c r="AH146" s="92">
        <f>IF(O146="","",IFERROR(_xlfn.NUMBERVALUE(O146,".",","),""))</f>
        <v/>
      </c>
      <c r="AI146" s="92">
        <f>IF(H146="","",IFERROR(MATCH(H146,Samples[樣品編號],0),0))</f>
        <v/>
      </c>
    </row>
    <row r="147">
      <c r="A147" s="27" t="inlineStr">
        <is>
          <t>總有機碳</t>
        </is>
      </c>
      <c r="B147" s="28" t="inlineStr">
        <is>
          <t>0.44</t>
        </is>
      </c>
      <c r="C147" s="27" t="inlineStr">
        <is>
          <t>%</t>
        </is>
      </c>
      <c r="D147" s="39" t="inlineStr">
        <is>
          <t>合成資料，非實測；method=lab; basis=dry</t>
        </is>
      </c>
      <c r="E147" s="29">
        <f>IF(OR(I147="",I147=0),"",IF(INDEX(Samples[監測點],I147)="","",INDEX(Samples[監測點],I147)))</f>
        <v/>
      </c>
      <c r="F147" s="90">
        <f>IF(OR(I147="",I147=0),"",IF(INDEX(Samples[採樣日期],I147)="","",INDEX(Samples[採樣日期],I147)))</f>
        <v/>
      </c>
      <c r="G147" s="91">
        <f>IF(OR(M147="",M147="NA",M147="N/A"),"",IF(OR(M147="ND",M147="N.D."),0,IFERROR(IF(OR(OR(ISNUMBER(SEARCH("%",O147)),ISNUMBER(SEARCH(" ",O147)),ISNUMBER(SEARCH(",",O147))),OR(SUBSTITUTE(SUBSTITUTE(SUBSTITUTE(SUBSTITUTE(SUBSTITUTE(SUBSTITUTE(SUBSTITUTE(SUBSTITUTE(SUBSTITUTE(SUBSTITUTE(SUBSTITUTE(SUBSTITUTE(SUBSTITUTE(SUBSTITUTE(SUBSTITUTE(SUBSTITUTE(SUBSTITUTE(SUBSTITUTE("x"&amp;M147,"0",""),"1",""),"2",""),"3",""),"4",""),"5",""),"6",""),"7",""),"8",""),"9",""),".",""),"E",""),"+",""),"-",""),"&lt;",""),"&gt;",""),"=","")," ","")&lt;&gt;"x",ISNUMBER(SEARCH("-",SUBSTITUTE(SUBSTITUTE("x"&amp;MID(M147,2,99),"E-","E"),"E+","E"))),ISNUMBER(SEARCH("+",SUBSTITUTE(SUBSTITUTE("x"&amp;MID(M147,2,99),"E-","E"),"E+","E"))))),"",IF(AND(OR(LEFT(M147,1)="&lt;",LEFT(M147,1)="&gt;"),IF(O147="",0,IF(ISNUMBER(AH147),AH147,NA()))&lt;0),"",IF(O147="",0,IF(ISNUMBER(AH147),AH147,NA()))/IF(LEFT(M147,1)="&lt;",2,1))),"")))</f>
        <v/>
      </c>
      <c r="H147" s="57" t="inlineStr">
        <is>
          <t>BH04-S_20260115_01</t>
        </is>
      </c>
      <c r="I147" s="92">
        <f>IF(OR(H147="",AI147=0),0,IF(INDEX(Samples[樣品重複筆數],AI147)=1,AI147,0))</f>
        <v/>
      </c>
      <c r="J147" s="92">
        <f>IF(OR(COUNTA($A147:$D147)=0,I147=0),"",IF(INDEX(Samples[介質],I147)="","",INDEX(Samples[介質],I147)))</f>
        <v/>
      </c>
      <c r="K147" s="92">
        <f>IF(OR(COUNTA($A147:$D147)=0,T147=0),"",IF(INDEX(DB_04[標準單位],T147)="","",INDEX(DB_04[標準單位],T147)))</f>
        <v/>
      </c>
      <c r="L147" s="92">
        <f>IF(COUNTA($A147:$D147)=0,"",IF(OR(C147="",K147=""),"",IF(C147=K147,1,IF(COUNTIFS(DB_06[換算鍵],C147&amp;"|"&amp;K147,DB_06[換算檢查],"OK")=1,INDEX(DB_06[乘數],MATCH(C147&amp;"|"&amp;K147,DB_06[換算鍵],0)),""))))</f>
        <v/>
      </c>
      <c r="M147" s="92">
        <f>UPPER(SUBSTITUTE(SUBSTITUTE(SUBSTITUTE(SUBSTITUTE(TRIM(B147&amp;""),"＜","&lt;"),"＞","&gt;"),"≤","&lt;="),"≥","&gt;="))</f>
        <v/>
      </c>
      <c r="N147" s="92">
        <f>IF(M147="","",IF(OR(M147="ND",M147="N.D."),"ND",IF(OR(M147="NA",M147="N/A",M147="N.A."),"NA",IF(OR(LEFT(M147,2)="&lt;=",LEFT(M147,2)="&gt;="),LEFT(M147,2),IF(OR(LEFT(M147,1)="&lt;",LEFT(M147,1)="&gt;"),LEFT(M147,1),"數值")))))</f>
        <v/>
      </c>
      <c r="O147" s="92">
        <f>IF(OR(N147="",N147="ND",N147="NA"),"",IF(N147="數值",M147,TRIM(MID(M147,LEN(N147)+1,99))))</f>
        <v/>
      </c>
      <c r="P147" s="92">
        <f>IF(O147="","",IFERROR(IF(OR(OR(ISNUMBER(SEARCH("%",O147)),ISNUMBER(SEARCH(" ",O147)),ISNUMBER(SEARCH(",",O147))),OR(SUBSTITUTE(SUBSTITUTE(SUBSTITUTE(SUBSTITUTE(SUBSTITUTE(SUBSTITUTE(SUBSTITUTE(SUBSTITUTE(SUBSTITUTE(SUBSTITUTE(SUBSTITUTE(SUBSTITUTE(SUBSTITUTE(SUBSTITUTE(SUBSTITUTE(SUBSTITUTE(SUBSTITUTE(SUBSTITUTE("x"&amp;O147,"0",""),"1",""),"2",""),"3",""),"4",""),"5",""),"6",""),"7",""),"8",""),"9",""),".",""),"E",""),"+",""),"-",""),"&lt;",""),"&gt;",""),"=","")," ","")&lt;&gt;"x",ISNUMBER(SEARCH("-",SUBSTITUTE(SUBSTITUTE("x"&amp;MID(O147,2,99),"E-","E"),"E+","E"))),ISNUMBER(SEARCH("+",SUBSTITUTE(SUBSTITUTE("x"&amp;MID(O147,2,99),"E-","E"),"E+","E"))))),"",IF(ISNUMBER(AH147),AH147,NA())),""))</f>
        <v/>
      </c>
      <c r="Q147" s="92">
        <f>IF(AND(ISNUMBER(L147),ISNUMBER(P147)),L147*P147,"")</f>
        <v/>
      </c>
      <c r="R147" s="92">
        <f>IF(OR(COUNTA($A147:$D147)=0,U147=0),"",IF(INDEX(DB_05[管制設定值],U147)="","",INDEX(DB_05[管制設定值],U147)))</f>
        <v/>
      </c>
      <c r="S147" s="92">
        <f>IF(OR(COUNTA($A147:$D147)=0,U147=0),"",IF(INDEX(DB_05[監測設定值],U147)="","",INDEX(DB_05[監測設定值],U147)))</f>
        <v/>
      </c>
      <c r="T147" s="92">
        <f>IF(COUNTA($A147:$D147)=0,"",IF(COUNTIFS(DB_04[測項鍵],V147)=1,MATCH(V147,DB_04[測項鍵],0),0))</f>
        <v/>
      </c>
      <c r="U147" s="92">
        <f>IF(COUNTA($A147:$D147)=0,"",IF(COUNTIFS(DB_05[標準鍵],W147)=1,MATCH(W147,DB_05[標準鍵],0),0))</f>
        <v/>
      </c>
      <c r="V147" s="92">
        <f>IF(OR(J147="",A147=""),"",J147&amp;"|"&amp;A147)</f>
        <v/>
      </c>
      <c r="W147" s="92">
        <f>IF(OR('07_QAQC'!$C$3="",V147=""),"",'07_QAQC'!$C$3&amp;"|"&amp;V147)</f>
        <v/>
      </c>
      <c r="X147" s="92">
        <f>IF(OR(H147="",A147=""),"",LEN(H147)&amp;":"&amp;H147&amp;LEN(A147)&amp;":"&amp;A147)</f>
        <v/>
      </c>
      <c r="Y147" s="93">
        <f>IF(COUNTA($A147:$D147)=0,"",IF(I147=0,"樣品未建或重複",IF(INDEX(Samples[樣品檢查],I147)="","OK",INDEX(Samples[樣品檢查],I147))))</f>
        <v/>
      </c>
      <c r="Z147" s="93">
        <f>IF(COUNTA($A147:$D147)=0,"",IF(B147="","缺原始值",IF(OR(B147="-",B147="--"),"無資料",IF(N147="NA","不適用",IF(N147="ND","OK",IF(NOT(ISNUMBER(P147)),"格式待核",IF(AND(N147&lt;&gt;"數值",P147&lt;0),"界限不得為負","OK")))))))</f>
        <v/>
      </c>
      <c r="AA147" s="93">
        <f>IF(COUNTA(A147:D147)=0,"",IF(OR(A147="",H147=""),"缺識別欄位",IF(IF(LEN("="&amp;SUBSTITUTE(SUBSTITUTE(SUBSTITUTE(X147,"~","~~"),"*","~*"),"?","~?"))&lt;=255,COUNTIF(Results[結果識別鍵],"="&amp;SUBSTITUTE(SUBSTITUTE(SUBSTITUTE(X147,"~","~~"),"*","~*"),"?","~?")),COUNTIFS(Results[關聯鍵],"="&amp;SUBSTITUTE(SUBSTITUTE(SUBSTITUTE(H147,"~","~~"),"*","~*"),"?","~?"),Results[分析項目],"="&amp;SUBSTITUTE(SUBSTITUTE(SUBSTITUTE(A147,"~","~~"),"*","~*"),"?","~?")))&gt;1,"同關聯鍵測項重複","OK")))</f>
        <v/>
      </c>
      <c r="AB147" s="93">
        <f>IF(COUNTA($A147:$D147)=0,"",IF(OR(C147="",K147=""),"缺單位",IF(NOT(ISNUMBER(L147)),"單位不相容",IF(L147=1,"OK","已換算"))))</f>
        <v/>
      </c>
      <c r="AC147" s="93">
        <f>IF(COUNTA($A147:$D147)=0,"",IF('07_QAQC'!$C$3="","未選比較版本",IF(U147=0,IF(COUNTIFS(DB_05[標準鍵],W147)&gt;1,"標準鍵重複","未訂此介質／測項門檻"),IF(INDEX(DB_05[版本檢查],U147)&lt;&gt;"OK","標準主檔待核",IF(INDEX(DB_05[標準單位],U147)&lt;&gt;K147,"標準單位不符",IF(INDEX(DB_05[核對狀態],U147)="停用","停用",IF(F147="","缺採樣日期",IF(OR(AND(INDEX(DB_05[生效日],U147)&lt;&gt;"",F147&lt;INDEX(DB_05[生效日],U147)),AND(INDEX(DB_05[失效日],U147)&lt;&gt;"",F147&gt;INDEX(DB_05[失效日],U147))),"日期不適用",INDEX(DB_05[核對狀態],U147)))))))))</f>
        <v/>
      </c>
      <c r="AD147" s="93">
        <f>IF(COUNTA($A147:$D147)=0,"",IF(AC147="未訂此介質／測項門檻",AC147,IF(AC147&lt;&gt;"已核對","標準待核",IF(R147="","未訂管制值",IF(NOT(ISNUMBER(L147)),"單位待核",IF(N147="ND","無法判定（ND無界限）",IF(N147="NA","不適用",IF(Z147&lt;&gt;"OK",Z147,IF(N147="數值",IF(Q147&gt;=R147,"達管制值","未達管制值"),IF(OR(N147="&lt;",N147="&lt;="),IF(OR(Q147&lt;R147,AND(N147="&lt;",Q147=R147)),"未達管制值","無法判定"),IF(OR(N147="&gt;",N147="&gt;="),IF(Q147&gt;=R147,"達管制值","無法判定"),"格式待核")))))))))))</f>
        <v/>
      </c>
      <c r="AE147" s="93">
        <f>IF(COUNTA($A147:$D147)=0,"",IF(AC147="未訂此介質／測項門檻",AC147,IF(AC147&lt;&gt;"已核對","標準待核",IF(S147="","未訂監測值",IF(NOT(ISNUMBER(L147)),"單位待核",IF(N147="ND","無法判定（ND無界限）",IF(N147="NA","不適用",IF(Z147&lt;&gt;"OK",Z147,IF(N147="數值",IF(Q147&gt;=S147,"達監測值","未達監測值"),IF(OR(N147="&lt;",N147="&lt;="),IF(OR(Q147&lt;S147,AND(N147="&lt;",Q147=S147)),"未達監測值","無法判定"),IF(OR(N147="&gt;",N147="&gt;="),IF(Q147&gt;=S147,"達監測值","無法判定"),"格式待核")))))))))))</f>
        <v/>
      </c>
      <c r="AF147" s="93">
        <f>IF(COUNTA($A147:$D147)=0,"",IF(OR(E147="",A147="",B147="",C147=""),"缺必要欄位",IF(Y147&lt;&gt;"OK","樣品資料待補",IF(T147=0,"測項未建或重複",IF(INDEX(DB_04[啟用],T147)&lt;&gt;"是","測項停用",IF(AND(Z147&lt;&gt;"OK",Z147&lt;&gt;"不適用"),Z147,IF(AND(AB147&lt;&gt;"OK",AB147&lt;&gt;"已換算"),"單位待核",IF(AA147&lt;&gt;"OK",AA147,"OK"))))))))</f>
        <v/>
      </c>
      <c r="AG147" s="93">
        <f>IF(COUNTA($A147:$D147)=0,"",IF(N147="ND","ND取0",IF(OR(N147="&lt;",N147="&lt;="),"界限除以2",IF(N147="NA","不適用",IF(OR(N147="&gt;",N147="&gt;="),"保留界限數值","保留原數值")))))</f>
        <v/>
      </c>
      <c r="AH147" s="92">
        <f>IF(O147="","",IFERROR(_xlfn.NUMBERVALUE(O147,".",","),""))</f>
        <v/>
      </c>
      <c r="AI147" s="92">
        <f>IF(H147="","",IFERROR(MATCH(H147,Samples[樣品編號],0),0))</f>
        <v/>
      </c>
    </row>
    <row r="148">
      <c r="A148" s="27" t="inlineStr">
        <is>
          <t>pH</t>
        </is>
      </c>
      <c r="B148" s="28" t="inlineStr">
        <is>
          <t>6.76</t>
        </is>
      </c>
      <c r="C148" s="27" t="inlineStr">
        <is>
          <t>無因次</t>
        </is>
      </c>
      <c r="D148" s="39" t="inlineStr">
        <is>
          <t>合成資料，非實測；method=field</t>
        </is>
      </c>
      <c r="E148" s="29">
        <f>IF(OR(I148="",I148=0),"",IF(INDEX(Samples[監測點],I148)="","",INDEX(Samples[監測點],I148)))</f>
        <v/>
      </c>
      <c r="F148" s="90">
        <f>IF(OR(I148="",I148=0),"",IF(INDEX(Samples[採樣日期],I148)="","",INDEX(Samples[採樣日期],I148)))</f>
        <v/>
      </c>
      <c r="G148" s="91">
        <f>IF(OR(M148="",M148="NA",M148="N/A"),"",IF(OR(M148="ND",M148="N.D."),0,IFERROR(IF(OR(OR(ISNUMBER(SEARCH("%",O148)),ISNUMBER(SEARCH(" ",O148)),ISNUMBER(SEARCH(",",O148))),OR(SUBSTITUTE(SUBSTITUTE(SUBSTITUTE(SUBSTITUTE(SUBSTITUTE(SUBSTITUTE(SUBSTITUTE(SUBSTITUTE(SUBSTITUTE(SUBSTITUTE(SUBSTITUTE(SUBSTITUTE(SUBSTITUTE(SUBSTITUTE(SUBSTITUTE(SUBSTITUTE(SUBSTITUTE(SUBSTITUTE("x"&amp;M148,"0",""),"1",""),"2",""),"3",""),"4",""),"5",""),"6",""),"7",""),"8",""),"9",""),".",""),"E",""),"+",""),"-",""),"&lt;",""),"&gt;",""),"=","")," ","")&lt;&gt;"x",ISNUMBER(SEARCH("-",SUBSTITUTE(SUBSTITUTE("x"&amp;MID(M148,2,99),"E-","E"),"E+","E"))),ISNUMBER(SEARCH("+",SUBSTITUTE(SUBSTITUTE("x"&amp;MID(M148,2,99),"E-","E"),"E+","E"))))),"",IF(AND(OR(LEFT(M148,1)="&lt;",LEFT(M148,1)="&gt;"),IF(O148="",0,IF(ISNUMBER(AH148),AH148,NA()))&lt;0),"",IF(O148="",0,IF(ISNUMBER(AH148),AH148,NA()))/IF(LEFT(M148,1)="&lt;",2,1))),"")))</f>
        <v/>
      </c>
      <c r="H148" s="57" t="inlineStr">
        <is>
          <t>BH04-W_20260115_01</t>
        </is>
      </c>
      <c r="I148" s="92">
        <f>IF(OR(H148="",AI148=0),0,IF(INDEX(Samples[樣品重複筆數],AI148)=1,AI148,0))</f>
        <v/>
      </c>
      <c r="J148" s="92">
        <f>IF(OR(COUNTA($A148:$D148)=0,I148=0),"",IF(INDEX(Samples[介質],I148)="","",INDEX(Samples[介質],I148)))</f>
        <v/>
      </c>
      <c r="K148" s="92">
        <f>IF(OR(COUNTA($A148:$D148)=0,T148=0),"",IF(INDEX(DB_04[標準單位],T148)="","",INDEX(DB_04[標準單位],T148)))</f>
        <v/>
      </c>
      <c r="L148" s="92">
        <f>IF(COUNTA($A148:$D148)=0,"",IF(OR(C148="",K148=""),"",IF(C148=K148,1,IF(COUNTIFS(DB_06[換算鍵],C148&amp;"|"&amp;K148,DB_06[換算檢查],"OK")=1,INDEX(DB_06[乘數],MATCH(C148&amp;"|"&amp;K148,DB_06[換算鍵],0)),""))))</f>
        <v/>
      </c>
      <c r="M148" s="92">
        <f>UPPER(SUBSTITUTE(SUBSTITUTE(SUBSTITUTE(SUBSTITUTE(TRIM(B148&amp;""),"＜","&lt;"),"＞","&gt;"),"≤","&lt;="),"≥","&gt;="))</f>
        <v/>
      </c>
      <c r="N148" s="92">
        <f>IF(M148="","",IF(OR(M148="ND",M148="N.D."),"ND",IF(OR(M148="NA",M148="N/A",M148="N.A."),"NA",IF(OR(LEFT(M148,2)="&lt;=",LEFT(M148,2)="&gt;="),LEFT(M148,2),IF(OR(LEFT(M148,1)="&lt;",LEFT(M148,1)="&gt;"),LEFT(M148,1),"數值")))))</f>
        <v/>
      </c>
      <c r="O148" s="92">
        <f>IF(OR(N148="",N148="ND",N148="NA"),"",IF(N148="數值",M148,TRIM(MID(M148,LEN(N148)+1,99))))</f>
        <v/>
      </c>
      <c r="P148" s="92">
        <f>IF(O148="","",IFERROR(IF(OR(OR(ISNUMBER(SEARCH("%",O148)),ISNUMBER(SEARCH(" ",O148)),ISNUMBER(SEARCH(",",O148))),OR(SUBSTITUTE(SUBSTITUTE(SUBSTITUTE(SUBSTITUTE(SUBSTITUTE(SUBSTITUTE(SUBSTITUTE(SUBSTITUTE(SUBSTITUTE(SUBSTITUTE(SUBSTITUTE(SUBSTITUTE(SUBSTITUTE(SUBSTITUTE(SUBSTITUTE(SUBSTITUTE(SUBSTITUTE(SUBSTITUTE("x"&amp;O148,"0",""),"1",""),"2",""),"3",""),"4",""),"5",""),"6",""),"7",""),"8",""),"9",""),".",""),"E",""),"+",""),"-",""),"&lt;",""),"&gt;",""),"=","")," ","")&lt;&gt;"x",ISNUMBER(SEARCH("-",SUBSTITUTE(SUBSTITUTE("x"&amp;MID(O148,2,99),"E-","E"),"E+","E"))),ISNUMBER(SEARCH("+",SUBSTITUTE(SUBSTITUTE("x"&amp;MID(O148,2,99),"E-","E"),"E+","E"))))),"",IF(ISNUMBER(AH148),AH148,NA())),""))</f>
        <v/>
      </c>
      <c r="Q148" s="92">
        <f>IF(AND(ISNUMBER(L148),ISNUMBER(P148)),L148*P148,"")</f>
        <v/>
      </c>
      <c r="R148" s="92">
        <f>IF(OR(COUNTA($A148:$D148)=0,U148=0),"",IF(INDEX(DB_05[管制設定值],U148)="","",INDEX(DB_05[管制設定值],U148)))</f>
        <v/>
      </c>
      <c r="S148" s="92">
        <f>IF(OR(COUNTA($A148:$D148)=0,U148=0),"",IF(INDEX(DB_05[監測設定值],U148)="","",INDEX(DB_05[監測設定值],U148)))</f>
        <v/>
      </c>
      <c r="T148" s="92">
        <f>IF(COUNTA($A148:$D148)=0,"",IF(COUNTIFS(DB_04[測項鍵],V148)=1,MATCH(V148,DB_04[測項鍵],0),0))</f>
        <v/>
      </c>
      <c r="U148" s="92">
        <f>IF(COUNTA($A148:$D148)=0,"",IF(COUNTIFS(DB_05[標準鍵],W148)=1,MATCH(W148,DB_05[標準鍵],0),0))</f>
        <v/>
      </c>
      <c r="V148" s="92">
        <f>IF(OR(J148="",A148=""),"",J148&amp;"|"&amp;A148)</f>
        <v/>
      </c>
      <c r="W148" s="92">
        <f>IF(OR('07_QAQC'!$C$3="",V148=""),"",'07_QAQC'!$C$3&amp;"|"&amp;V148)</f>
        <v/>
      </c>
      <c r="X148" s="92">
        <f>IF(OR(H148="",A148=""),"",LEN(H148)&amp;":"&amp;H148&amp;LEN(A148)&amp;":"&amp;A148)</f>
        <v/>
      </c>
      <c r="Y148" s="93">
        <f>IF(COUNTA($A148:$D148)=0,"",IF(I148=0,"樣品未建或重複",IF(INDEX(Samples[樣品檢查],I148)="","OK",INDEX(Samples[樣品檢查],I148))))</f>
        <v/>
      </c>
      <c r="Z148" s="93">
        <f>IF(COUNTA($A148:$D148)=0,"",IF(B148="","缺原始值",IF(OR(B148="-",B148="--"),"無資料",IF(N148="NA","不適用",IF(N148="ND","OK",IF(NOT(ISNUMBER(P148)),"格式待核",IF(AND(N148&lt;&gt;"數值",P148&lt;0),"界限不得為負","OK")))))))</f>
        <v/>
      </c>
      <c r="AA148" s="93">
        <f>IF(COUNTA(A148:D148)=0,"",IF(OR(A148="",H148=""),"缺識別欄位",IF(IF(LEN("="&amp;SUBSTITUTE(SUBSTITUTE(SUBSTITUTE(X148,"~","~~"),"*","~*"),"?","~?"))&lt;=255,COUNTIF(Results[結果識別鍵],"="&amp;SUBSTITUTE(SUBSTITUTE(SUBSTITUTE(X148,"~","~~"),"*","~*"),"?","~?")),COUNTIFS(Results[關聯鍵],"="&amp;SUBSTITUTE(SUBSTITUTE(SUBSTITUTE(H148,"~","~~"),"*","~*"),"?","~?"),Results[分析項目],"="&amp;SUBSTITUTE(SUBSTITUTE(SUBSTITUTE(A148,"~","~~"),"*","~*"),"?","~?")))&gt;1,"同關聯鍵測項重複","OK")))</f>
        <v/>
      </c>
      <c r="AB148" s="93">
        <f>IF(COUNTA($A148:$D148)=0,"",IF(OR(C148="",K148=""),"缺單位",IF(NOT(ISNUMBER(L148)),"單位不相容",IF(L148=1,"OK","已換算"))))</f>
        <v/>
      </c>
      <c r="AC148" s="93">
        <f>IF(COUNTA($A148:$D148)=0,"",IF('07_QAQC'!$C$3="","未選比較版本",IF(U148=0,IF(COUNTIFS(DB_05[標準鍵],W148)&gt;1,"標準鍵重複","未訂此介質／測項門檻"),IF(INDEX(DB_05[版本檢查],U148)&lt;&gt;"OK","標準主檔待核",IF(INDEX(DB_05[標準單位],U148)&lt;&gt;K148,"標準單位不符",IF(INDEX(DB_05[核對狀態],U148)="停用","停用",IF(F148="","缺採樣日期",IF(OR(AND(INDEX(DB_05[生效日],U148)&lt;&gt;"",F148&lt;INDEX(DB_05[生效日],U148)),AND(INDEX(DB_05[失效日],U148)&lt;&gt;"",F148&gt;INDEX(DB_05[失效日],U148))),"日期不適用",INDEX(DB_05[核對狀態],U148)))))))))</f>
        <v/>
      </c>
      <c r="AD148" s="93">
        <f>IF(COUNTA($A148:$D148)=0,"",IF(AC148="未訂此介質／測項門檻",AC148,IF(AC148&lt;&gt;"已核對","標準待核",IF(R148="","未訂管制值",IF(NOT(ISNUMBER(L148)),"單位待核",IF(N148="ND","無法判定（ND無界限）",IF(N148="NA","不適用",IF(Z148&lt;&gt;"OK",Z148,IF(N148="數值",IF(Q148&gt;=R148,"達管制值","未達管制值"),IF(OR(N148="&lt;",N148="&lt;="),IF(OR(Q148&lt;R148,AND(N148="&lt;",Q148=R148)),"未達管制值","無法判定"),IF(OR(N148="&gt;",N148="&gt;="),IF(Q148&gt;=R148,"達管制值","無法判定"),"格式待核")))))))))))</f>
        <v/>
      </c>
      <c r="AE148" s="93">
        <f>IF(COUNTA($A148:$D148)=0,"",IF(AC148="未訂此介質／測項門檻",AC148,IF(AC148&lt;&gt;"已核對","標準待核",IF(S148="","未訂監測值",IF(NOT(ISNUMBER(L148)),"單位待核",IF(N148="ND","無法判定（ND無界限）",IF(N148="NA","不適用",IF(Z148&lt;&gt;"OK",Z148,IF(N148="數值",IF(Q148&gt;=S148,"達監測值","未達監測值"),IF(OR(N148="&lt;",N148="&lt;="),IF(OR(Q148&lt;S148,AND(N148="&lt;",Q148=S148)),"未達監測值","無法判定"),IF(OR(N148="&gt;",N148="&gt;="),IF(Q148&gt;=S148,"達監測值","無法判定"),"格式待核")))))))))))</f>
        <v/>
      </c>
      <c r="AF148" s="93">
        <f>IF(COUNTA($A148:$D148)=0,"",IF(OR(E148="",A148="",B148="",C148=""),"缺必要欄位",IF(Y148&lt;&gt;"OK","樣品資料待補",IF(T148=0,"測項未建或重複",IF(INDEX(DB_04[啟用],T148)&lt;&gt;"是","測項停用",IF(AND(Z148&lt;&gt;"OK",Z148&lt;&gt;"不適用"),Z148,IF(AND(AB148&lt;&gt;"OK",AB148&lt;&gt;"已換算"),"單位待核",IF(AA148&lt;&gt;"OK",AA148,"OK"))))))))</f>
        <v/>
      </c>
      <c r="AG148" s="93">
        <f>IF(COUNTA($A148:$D148)=0,"",IF(N148="ND","ND取0",IF(OR(N148="&lt;",N148="&lt;="),"界限除以2",IF(N148="NA","不適用",IF(OR(N148="&gt;",N148="&gt;="),"保留界限數值","保留原數值")))))</f>
        <v/>
      </c>
      <c r="AH148" s="92">
        <f>IF(O148="","",IFERROR(_xlfn.NUMBERVALUE(O148,".",","),""))</f>
        <v/>
      </c>
      <c r="AI148" s="92">
        <f>IF(H148="","",IFERROR(MATCH(H148,Samples[樣品編號],0),0))</f>
        <v/>
      </c>
    </row>
    <row r="149">
      <c r="A149" s="27" t="inlineStr">
        <is>
          <t>EC</t>
        </is>
      </c>
      <c r="B149" s="28" t="inlineStr">
        <is>
          <t>0.52</t>
        </is>
      </c>
      <c r="C149" s="27" t="inlineStr">
        <is>
          <t>mS/cm</t>
        </is>
      </c>
      <c r="D149" s="39" t="inlineStr">
        <is>
          <t>合成資料，非實測；method=field; temperature=25; temperature_compensated=25C; reference_temperature=25</t>
        </is>
      </c>
      <c r="E149" s="29">
        <f>IF(OR(I149="",I149=0),"",IF(INDEX(Samples[監測點],I149)="","",INDEX(Samples[監測點],I149)))</f>
        <v/>
      </c>
      <c r="F149" s="90">
        <f>IF(OR(I149="",I149=0),"",IF(INDEX(Samples[採樣日期],I149)="","",INDEX(Samples[採樣日期],I149)))</f>
        <v/>
      </c>
      <c r="G149" s="91">
        <f>IF(OR(M149="",M149="NA",M149="N/A"),"",IF(OR(M149="ND",M149="N.D."),0,IFERROR(IF(OR(OR(ISNUMBER(SEARCH("%",O149)),ISNUMBER(SEARCH(" ",O149)),ISNUMBER(SEARCH(",",O149))),OR(SUBSTITUTE(SUBSTITUTE(SUBSTITUTE(SUBSTITUTE(SUBSTITUTE(SUBSTITUTE(SUBSTITUTE(SUBSTITUTE(SUBSTITUTE(SUBSTITUTE(SUBSTITUTE(SUBSTITUTE(SUBSTITUTE(SUBSTITUTE(SUBSTITUTE(SUBSTITUTE(SUBSTITUTE(SUBSTITUTE("x"&amp;M149,"0",""),"1",""),"2",""),"3",""),"4",""),"5",""),"6",""),"7",""),"8",""),"9",""),".",""),"E",""),"+",""),"-",""),"&lt;",""),"&gt;",""),"=","")," ","")&lt;&gt;"x",ISNUMBER(SEARCH("-",SUBSTITUTE(SUBSTITUTE("x"&amp;MID(M149,2,99),"E-","E"),"E+","E"))),ISNUMBER(SEARCH("+",SUBSTITUTE(SUBSTITUTE("x"&amp;MID(M149,2,99),"E-","E"),"E+","E"))))),"",IF(AND(OR(LEFT(M149,1)="&lt;",LEFT(M149,1)="&gt;"),IF(O149="",0,IF(ISNUMBER(AH149),AH149,NA()))&lt;0),"",IF(O149="",0,IF(ISNUMBER(AH149),AH149,NA()))/IF(LEFT(M149,1)="&lt;",2,1))),"")))</f>
        <v/>
      </c>
      <c r="H149" s="57" t="inlineStr">
        <is>
          <t>BH04-W_20260115_01</t>
        </is>
      </c>
      <c r="I149" s="92">
        <f>IF(OR(H149="",AI149=0),0,IF(INDEX(Samples[樣品重複筆數],AI149)=1,AI149,0))</f>
        <v/>
      </c>
      <c r="J149" s="92">
        <f>IF(OR(COUNTA($A149:$D149)=0,I149=0),"",IF(INDEX(Samples[介質],I149)="","",INDEX(Samples[介質],I149)))</f>
        <v/>
      </c>
      <c r="K149" s="92">
        <f>IF(OR(COUNTA($A149:$D149)=0,T149=0),"",IF(INDEX(DB_04[標準單位],T149)="","",INDEX(DB_04[標準單位],T149)))</f>
        <v/>
      </c>
      <c r="L149" s="92">
        <f>IF(COUNTA($A149:$D149)=0,"",IF(OR(C149="",K149=""),"",IF(C149=K149,1,IF(COUNTIFS(DB_06[換算鍵],C149&amp;"|"&amp;K149,DB_06[換算檢查],"OK")=1,INDEX(DB_06[乘數],MATCH(C149&amp;"|"&amp;K149,DB_06[換算鍵],0)),""))))</f>
        <v/>
      </c>
      <c r="M149" s="92">
        <f>UPPER(SUBSTITUTE(SUBSTITUTE(SUBSTITUTE(SUBSTITUTE(TRIM(B149&amp;""),"＜","&lt;"),"＞","&gt;"),"≤","&lt;="),"≥","&gt;="))</f>
        <v/>
      </c>
      <c r="N149" s="92">
        <f>IF(M149="","",IF(OR(M149="ND",M149="N.D."),"ND",IF(OR(M149="NA",M149="N/A",M149="N.A."),"NA",IF(OR(LEFT(M149,2)="&lt;=",LEFT(M149,2)="&gt;="),LEFT(M149,2),IF(OR(LEFT(M149,1)="&lt;",LEFT(M149,1)="&gt;"),LEFT(M149,1),"數值")))))</f>
        <v/>
      </c>
      <c r="O149" s="92">
        <f>IF(OR(N149="",N149="ND",N149="NA"),"",IF(N149="數值",M149,TRIM(MID(M149,LEN(N149)+1,99))))</f>
        <v/>
      </c>
      <c r="P149" s="92">
        <f>IF(O149="","",IFERROR(IF(OR(OR(ISNUMBER(SEARCH("%",O149)),ISNUMBER(SEARCH(" ",O149)),ISNUMBER(SEARCH(",",O149))),OR(SUBSTITUTE(SUBSTITUTE(SUBSTITUTE(SUBSTITUTE(SUBSTITUTE(SUBSTITUTE(SUBSTITUTE(SUBSTITUTE(SUBSTITUTE(SUBSTITUTE(SUBSTITUTE(SUBSTITUTE(SUBSTITUTE(SUBSTITUTE(SUBSTITUTE(SUBSTITUTE(SUBSTITUTE(SUBSTITUTE("x"&amp;O149,"0",""),"1",""),"2",""),"3",""),"4",""),"5",""),"6",""),"7",""),"8",""),"9",""),".",""),"E",""),"+",""),"-",""),"&lt;",""),"&gt;",""),"=","")," ","")&lt;&gt;"x",ISNUMBER(SEARCH("-",SUBSTITUTE(SUBSTITUTE("x"&amp;MID(O149,2,99),"E-","E"),"E+","E"))),ISNUMBER(SEARCH("+",SUBSTITUTE(SUBSTITUTE("x"&amp;MID(O149,2,99),"E-","E"),"E+","E"))))),"",IF(ISNUMBER(AH149),AH149,NA())),""))</f>
        <v/>
      </c>
      <c r="Q149" s="92">
        <f>IF(AND(ISNUMBER(L149),ISNUMBER(P149)),L149*P149,"")</f>
        <v/>
      </c>
      <c r="R149" s="92">
        <f>IF(OR(COUNTA($A149:$D149)=0,U149=0),"",IF(INDEX(DB_05[管制設定值],U149)="","",INDEX(DB_05[管制設定值],U149)))</f>
        <v/>
      </c>
      <c r="S149" s="92">
        <f>IF(OR(COUNTA($A149:$D149)=0,U149=0),"",IF(INDEX(DB_05[監測設定值],U149)="","",INDEX(DB_05[監測設定值],U149)))</f>
        <v/>
      </c>
      <c r="T149" s="92">
        <f>IF(COUNTA($A149:$D149)=0,"",IF(COUNTIFS(DB_04[測項鍵],V149)=1,MATCH(V149,DB_04[測項鍵],0),0))</f>
        <v/>
      </c>
      <c r="U149" s="92">
        <f>IF(COUNTA($A149:$D149)=0,"",IF(COUNTIFS(DB_05[標準鍵],W149)=1,MATCH(W149,DB_05[標準鍵],0),0))</f>
        <v/>
      </c>
      <c r="V149" s="92">
        <f>IF(OR(J149="",A149=""),"",J149&amp;"|"&amp;A149)</f>
        <v/>
      </c>
      <c r="W149" s="92">
        <f>IF(OR('07_QAQC'!$C$3="",V149=""),"",'07_QAQC'!$C$3&amp;"|"&amp;V149)</f>
        <v/>
      </c>
      <c r="X149" s="92">
        <f>IF(OR(H149="",A149=""),"",LEN(H149)&amp;":"&amp;H149&amp;LEN(A149)&amp;":"&amp;A149)</f>
        <v/>
      </c>
      <c r="Y149" s="93">
        <f>IF(COUNTA($A149:$D149)=0,"",IF(I149=0,"樣品未建或重複",IF(INDEX(Samples[樣品檢查],I149)="","OK",INDEX(Samples[樣品檢查],I149))))</f>
        <v/>
      </c>
      <c r="Z149" s="93">
        <f>IF(COUNTA($A149:$D149)=0,"",IF(B149="","缺原始值",IF(OR(B149="-",B149="--"),"無資料",IF(N149="NA","不適用",IF(N149="ND","OK",IF(NOT(ISNUMBER(P149)),"格式待核",IF(AND(N149&lt;&gt;"數值",P149&lt;0),"界限不得為負","OK")))))))</f>
        <v/>
      </c>
      <c r="AA149" s="93">
        <f>IF(COUNTA(A149:D149)=0,"",IF(OR(A149="",H149=""),"缺識別欄位",IF(IF(LEN("="&amp;SUBSTITUTE(SUBSTITUTE(SUBSTITUTE(X149,"~","~~"),"*","~*"),"?","~?"))&lt;=255,COUNTIF(Results[結果識別鍵],"="&amp;SUBSTITUTE(SUBSTITUTE(SUBSTITUTE(X149,"~","~~"),"*","~*"),"?","~?")),COUNTIFS(Results[關聯鍵],"="&amp;SUBSTITUTE(SUBSTITUTE(SUBSTITUTE(H149,"~","~~"),"*","~*"),"?","~?"),Results[分析項目],"="&amp;SUBSTITUTE(SUBSTITUTE(SUBSTITUTE(A149,"~","~~"),"*","~*"),"?","~?")))&gt;1,"同關聯鍵測項重複","OK")))</f>
        <v/>
      </c>
      <c r="AB149" s="93">
        <f>IF(COUNTA($A149:$D149)=0,"",IF(OR(C149="",K149=""),"缺單位",IF(NOT(ISNUMBER(L149)),"單位不相容",IF(L149=1,"OK","已換算"))))</f>
        <v/>
      </c>
      <c r="AC149" s="93">
        <f>IF(COUNTA($A149:$D149)=0,"",IF('07_QAQC'!$C$3="","未選比較版本",IF(U149=0,IF(COUNTIFS(DB_05[標準鍵],W149)&gt;1,"標準鍵重複","未訂此介質／測項門檻"),IF(INDEX(DB_05[版本檢查],U149)&lt;&gt;"OK","標準主檔待核",IF(INDEX(DB_05[標準單位],U149)&lt;&gt;K149,"標準單位不符",IF(INDEX(DB_05[核對狀態],U149)="停用","停用",IF(F149="","缺採樣日期",IF(OR(AND(INDEX(DB_05[生效日],U149)&lt;&gt;"",F149&lt;INDEX(DB_05[生效日],U149)),AND(INDEX(DB_05[失效日],U149)&lt;&gt;"",F149&gt;INDEX(DB_05[失效日],U149))),"日期不適用",INDEX(DB_05[核對狀態],U149)))))))))</f>
        <v/>
      </c>
      <c r="AD149" s="93">
        <f>IF(COUNTA($A149:$D149)=0,"",IF(AC149="未訂此介質／測項門檻",AC149,IF(AC149&lt;&gt;"已核對","標準待核",IF(R149="","未訂管制值",IF(NOT(ISNUMBER(L149)),"單位待核",IF(N149="ND","無法判定（ND無界限）",IF(N149="NA","不適用",IF(Z149&lt;&gt;"OK",Z149,IF(N149="數值",IF(Q149&gt;=R149,"達管制值","未達管制值"),IF(OR(N149="&lt;",N149="&lt;="),IF(OR(Q149&lt;R149,AND(N149="&lt;",Q149=R149)),"未達管制值","無法判定"),IF(OR(N149="&gt;",N149="&gt;="),IF(Q149&gt;=R149,"達管制值","無法判定"),"格式待核")))))))))))</f>
        <v/>
      </c>
      <c r="AE149" s="93">
        <f>IF(COUNTA($A149:$D149)=0,"",IF(AC149="未訂此介質／測項門檻",AC149,IF(AC149&lt;&gt;"已核對","標準待核",IF(S149="","未訂監測值",IF(NOT(ISNUMBER(L149)),"單位待核",IF(N149="ND","無法判定（ND無界限）",IF(N149="NA","不適用",IF(Z149&lt;&gt;"OK",Z149,IF(N149="數值",IF(Q149&gt;=S149,"達監測值","未達監測值"),IF(OR(N149="&lt;",N149="&lt;="),IF(OR(Q149&lt;S149,AND(N149="&lt;",Q149=S149)),"未達監測值","無法判定"),IF(OR(N149="&gt;",N149="&gt;="),IF(Q149&gt;=S149,"達監測值","無法判定"),"格式待核")))))))))))</f>
        <v/>
      </c>
      <c r="AF149" s="93">
        <f>IF(COUNTA($A149:$D149)=0,"",IF(OR(E149="",A149="",B149="",C149=""),"缺必要欄位",IF(Y149&lt;&gt;"OK","樣品資料待補",IF(T149=0,"測項未建或重複",IF(INDEX(DB_04[啟用],T149)&lt;&gt;"是","測項停用",IF(AND(Z149&lt;&gt;"OK",Z149&lt;&gt;"不適用"),Z149,IF(AND(AB149&lt;&gt;"OK",AB149&lt;&gt;"已換算"),"單位待核",IF(AA149&lt;&gt;"OK",AA149,"OK"))))))))</f>
        <v/>
      </c>
      <c r="AG149" s="93">
        <f>IF(COUNTA($A149:$D149)=0,"",IF(N149="ND","ND取0",IF(OR(N149="&lt;",N149="&lt;="),"界限除以2",IF(N149="NA","不適用",IF(OR(N149="&gt;",N149="&gt;="),"保留界限數值","保留原數值")))))</f>
        <v/>
      </c>
      <c r="AH149" s="92">
        <f>IF(O149="","",IFERROR(_xlfn.NUMBERVALUE(O149,".",","),""))</f>
        <v/>
      </c>
      <c r="AI149" s="92">
        <f>IF(H149="","",IFERROR(MATCH(H149,Samples[樣品編號],0),0))</f>
        <v/>
      </c>
    </row>
    <row r="150">
      <c r="A150" s="27" t="inlineStr">
        <is>
          <t>DO</t>
        </is>
      </c>
      <c r="B150" s="28" t="inlineStr">
        <is>
          <t>5.6</t>
        </is>
      </c>
      <c r="C150" s="27" t="inlineStr">
        <is>
          <t>mg/L</t>
        </is>
      </c>
      <c r="D150" s="39" t="inlineStr">
        <is>
          <t>合成資料，非實測；method=field</t>
        </is>
      </c>
      <c r="E150" s="29">
        <f>IF(OR(I150="",I150=0),"",IF(INDEX(Samples[監測點],I150)="","",INDEX(Samples[監測點],I150)))</f>
        <v/>
      </c>
      <c r="F150" s="90">
        <f>IF(OR(I150="",I150=0),"",IF(INDEX(Samples[採樣日期],I150)="","",INDEX(Samples[採樣日期],I150)))</f>
        <v/>
      </c>
      <c r="G150" s="91">
        <f>IF(OR(M150="",M150="NA",M150="N/A"),"",IF(OR(M150="ND",M150="N.D."),0,IFERROR(IF(OR(OR(ISNUMBER(SEARCH("%",O150)),ISNUMBER(SEARCH(" ",O150)),ISNUMBER(SEARCH(",",O150))),OR(SUBSTITUTE(SUBSTITUTE(SUBSTITUTE(SUBSTITUTE(SUBSTITUTE(SUBSTITUTE(SUBSTITUTE(SUBSTITUTE(SUBSTITUTE(SUBSTITUTE(SUBSTITUTE(SUBSTITUTE(SUBSTITUTE(SUBSTITUTE(SUBSTITUTE(SUBSTITUTE(SUBSTITUTE(SUBSTITUTE("x"&amp;M150,"0",""),"1",""),"2",""),"3",""),"4",""),"5",""),"6",""),"7",""),"8",""),"9",""),".",""),"E",""),"+",""),"-",""),"&lt;",""),"&gt;",""),"=","")," ","")&lt;&gt;"x",ISNUMBER(SEARCH("-",SUBSTITUTE(SUBSTITUTE("x"&amp;MID(M150,2,99),"E-","E"),"E+","E"))),ISNUMBER(SEARCH("+",SUBSTITUTE(SUBSTITUTE("x"&amp;MID(M150,2,99),"E-","E"),"E+","E"))))),"",IF(AND(OR(LEFT(M150,1)="&lt;",LEFT(M150,1)="&gt;"),IF(O150="",0,IF(ISNUMBER(AH150),AH150,NA()))&lt;0),"",IF(O150="",0,IF(ISNUMBER(AH150),AH150,NA()))/IF(LEFT(M150,1)="&lt;",2,1))),"")))</f>
        <v/>
      </c>
      <c r="H150" s="57" t="inlineStr">
        <is>
          <t>BH04-W_20260115_01</t>
        </is>
      </c>
      <c r="I150" s="92">
        <f>IF(OR(H150="",AI150=0),0,IF(INDEX(Samples[樣品重複筆數],AI150)=1,AI150,0))</f>
        <v/>
      </c>
      <c r="J150" s="92">
        <f>IF(OR(COUNTA($A150:$D150)=0,I150=0),"",IF(INDEX(Samples[介質],I150)="","",INDEX(Samples[介質],I150)))</f>
        <v/>
      </c>
      <c r="K150" s="92">
        <f>IF(OR(COUNTA($A150:$D150)=0,T150=0),"",IF(INDEX(DB_04[標準單位],T150)="","",INDEX(DB_04[標準單位],T150)))</f>
        <v/>
      </c>
      <c r="L150" s="92">
        <f>IF(COUNTA($A150:$D150)=0,"",IF(OR(C150="",K150=""),"",IF(C150=K150,1,IF(COUNTIFS(DB_06[換算鍵],C150&amp;"|"&amp;K150,DB_06[換算檢查],"OK")=1,INDEX(DB_06[乘數],MATCH(C150&amp;"|"&amp;K150,DB_06[換算鍵],0)),""))))</f>
        <v/>
      </c>
      <c r="M150" s="92">
        <f>UPPER(SUBSTITUTE(SUBSTITUTE(SUBSTITUTE(SUBSTITUTE(TRIM(B150&amp;""),"＜","&lt;"),"＞","&gt;"),"≤","&lt;="),"≥","&gt;="))</f>
        <v/>
      </c>
      <c r="N150" s="92">
        <f>IF(M150="","",IF(OR(M150="ND",M150="N.D."),"ND",IF(OR(M150="NA",M150="N/A",M150="N.A."),"NA",IF(OR(LEFT(M150,2)="&lt;=",LEFT(M150,2)="&gt;="),LEFT(M150,2),IF(OR(LEFT(M150,1)="&lt;",LEFT(M150,1)="&gt;"),LEFT(M150,1),"數值")))))</f>
        <v/>
      </c>
      <c r="O150" s="92">
        <f>IF(OR(N150="",N150="ND",N150="NA"),"",IF(N150="數值",M150,TRIM(MID(M150,LEN(N150)+1,99))))</f>
        <v/>
      </c>
      <c r="P150" s="92">
        <f>IF(O150="","",IFERROR(IF(OR(OR(ISNUMBER(SEARCH("%",O150)),ISNUMBER(SEARCH(" ",O150)),ISNUMBER(SEARCH(",",O150))),OR(SUBSTITUTE(SUBSTITUTE(SUBSTITUTE(SUBSTITUTE(SUBSTITUTE(SUBSTITUTE(SUBSTITUTE(SUBSTITUTE(SUBSTITUTE(SUBSTITUTE(SUBSTITUTE(SUBSTITUTE(SUBSTITUTE(SUBSTITUTE(SUBSTITUTE(SUBSTITUTE(SUBSTITUTE(SUBSTITUTE("x"&amp;O150,"0",""),"1",""),"2",""),"3",""),"4",""),"5",""),"6",""),"7",""),"8",""),"9",""),".",""),"E",""),"+",""),"-",""),"&lt;",""),"&gt;",""),"=","")," ","")&lt;&gt;"x",ISNUMBER(SEARCH("-",SUBSTITUTE(SUBSTITUTE("x"&amp;MID(O150,2,99),"E-","E"),"E+","E"))),ISNUMBER(SEARCH("+",SUBSTITUTE(SUBSTITUTE("x"&amp;MID(O150,2,99),"E-","E"),"E+","E"))))),"",IF(ISNUMBER(AH150),AH150,NA())),""))</f>
        <v/>
      </c>
      <c r="Q150" s="92">
        <f>IF(AND(ISNUMBER(L150),ISNUMBER(P150)),L150*P150,"")</f>
        <v/>
      </c>
      <c r="R150" s="92">
        <f>IF(OR(COUNTA($A150:$D150)=0,U150=0),"",IF(INDEX(DB_05[管制設定值],U150)="","",INDEX(DB_05[管制設定值],U150)))</f>
        <v/>
      </c>
      <c r="S150" s="92">
        <f>IF(OR(COUNTA($A150:$D150)=0,U150=0),"",IF(INDEX(DB_05[監測設定值],U150)="","",INDEX(DB_05[監測設定值],U150)))</f>
        <v/>
      </c>
      <c r="T150" s="92">
        <f>IF(COUNTA($A150:$D150)=0,"",IF(COUNTIFS(DB_04[測項鍵],V150)=1,MATCH(V150,DB_04[測項鍵],0),0))</f>
        <v/>
      </c>
      <c r="U150" s="92">
        <f>IF(COUNTA($A150:$D150)=0,"",IF(COUNTIFS(DB_05[標準鍵],W150)=1,MATCH(W150,DB_05[標準鍵],0),0))</f>
        <v/>
      </c>
      <c r="V150" s="92">
        <f>IF(OR(J150="",A150=""),"",J150&amp;"|"&amp;A150)</f>
        <v/>
      </c>
      <c r="W150" s="92">
        <f>IF(OR('07_QAQC'!$C$3="",V150=""),"",'07_QAQC'!$C$3&amp;"|"&amp;V150)</f>
        <v/>
      </c>
      <c r="X150" s="92">
        <f>IF(OR(H150="",A150=""),"",LEN(H150)&amp;":"&amp;H150&amp;LEN(A150)&amp;":"&amp;A150)</f>
        <v/>
      </c>
      <c r="Y150" s="93">
        <f>IF(COUNTA($A150:$D150)=0,"",IF(I150=0,"樣品未建或重複",IF(INDEX(Samples[樣品檢查],I150)="","OK",INDEX(Samples[樣品檢查],I150))))</f>
        <v/>
      </c>
      <c r="Z150" s="93">
        <f>IF(COUNTA($A150:$D150)=0,"",IF(B150="","缺原始值",IF(OR(B150="-",B150="--"),"無資料",IF(N150="NA","不適用",IF(N150="ND","OK",IF(NOT(ISNUMBER(P150)),"格式待核",IF(AND(N150&lt;&gt;"數值",P150&lt;0),"界限不得為負","OK")))))))</f>
        <v/>
      </c>
      <c r="AA150" s="93">
        <f>IF(COUNTA(A150:D150)=0,"",IF(OR(A150="",H150=""),"缺識別欄位",IF(IF(LEN("="&amp;SUBSTITUTE(SUBSTITUTE(SUBSTITUTE(X150,"~","~~"),"*","~*"),"?","~?"))&lt;=255,COUNTIF(Results[結果識別鍵],"="&amp;SUBSTITUTE(SUBSTITUTE(SUBSTITUTE(X150,"~","~~"),"*","~*"),"?","~?")),COUNTIFS(Results[關聯鍵],"="&amp;SUBSTITUTE(SUBSTITUTE(SUBSTITUTE(H150,"~","~~"),"*","~*"),"?","~?"),Results[分析項目],"="&amp;SUBSTITUTE(SUBSTITUTE(SUBSTITUTE(A150,"~","~~"),"*","~*"),"?","~?")))&gt;1,"同關聯鍵測項重複","OK")))</f>
        <v/>
      </c>
      <c r="AB150" s="93">
        <f>IF(COUNTA($A150:$D150)=0,"",IF(OR(C150="",K150=""),"缺單位",IF(NOT(ISNUMBER(L150)),"單位不相容",IF(L150=1,"OK","已換算"))))</f>
        <v/>
      </c>
      <c r="AC150" s="93">
        <f>IF(COUNTA($A150:$D150)=0,"",IF('07_QAQC'!$C$3="","未選比較版本",IF(U150=0,IF(COUNTIFS(DB_05[標準鍵],W150)&gt;1,"標準鍵重複","未訂此介質／測項門檻"),IF(INDEX(DB_05[版本檢查],U150)&lt;&gt;"OK","標準主檔待核",IF(INDEX(DB_05[標準單位],U150)&lt;&gt;K150,"標準單位不符",IF(INDEX(DB_05[核對狀態],U150)="停用","停用",IF(F150="","缺採樣日期",IF(OR(AND(INDEX(DB_05[生效日],U150)&lt;&gt;"",F150&lt;INDEX(DB_05[生效日],U150)),AND(INDEX(DB_05[失效日],U150)&lt;&gt;"",F150&gt;INDEX(DB_05[失效日],U150))),"日期不適用",INDEX(DB_05[核對狀態],U150)))))))))</f>
        <v/>
      </c>
      <c r="AD150" s="93">
        <f>IF(COUNTA($A150:$D150)=0,"",IF(AC150="未訂此介質／測項門檻",AC150,IF(AC150&lt;&gt;"已核對","標準待核",IF(R150="","未訂管制值",IF(NOT(ISNUMBER(L150)),"單位待核",IF(N150="ND","無法判定（ND無界限）",IF(N150="NA","不適用",IF(Z150&lt;&gt;"OK",Z150,IF(N150="數值",IF(Q150&gt;=R150,"達管制值","未達管制值"),IF(OR(N150="&lt;",N150="&lt;="),IF(OR(Q150&lt;R150,AND(N150="&lt;",Q150=R150)),"未達管制值","無法判定"),IF(OR(N150="&gt;",N150="&gt;="),IF(Q150&gt;=R150,"達管制值","無法判定"),"格式待核")))))))))))</f>
        <v/>
      </c>
      <c r="AE150" s="93">
        <f>IF(COUNTA($A150:$D150)=0,"",IF(AC150="未訂此介質／測項門檻",AC150,IF(AC150&lt;&gt;"已核對","標準待核",IF(S150="","未訂監測值",IF(NOT(ISNUMBER(L150)),"單位待核",IF(N150="ND","無法判定（ND無界限）",IF(N150="NA","不適用",IF(Z150&lt;&gt;"OK",Z150,IF(N150="數值",IF(Q150&gt;=S150,"達監測值","未達監測值"),IF(OR(N150="&lt;",N150="&lt;="),IF(OR(Q150&lt;S150,AND(N150="&lt;",Q150=S150)),"未達監測值","無法判定"),IF(OR(N150="&gt;",N150="&gt;="),IF(Q150&gt;=S150,"達監測值","無法判定"),"格式待核")))))))))))</f>
        <v/>
      </c>
      <c r="AF150" s="93">
        <f>IF(COUNTA($A150:$D150)=0,"",IF(OR(E150="",A150="",B150="",C150=""),"缺必要欄位",IF(Y150&lt;&gt;"OK","樣品資料待補",IF(T150=0,"測項未建或重複",IF(INDEX(DB_04[啟用],T150)&lt;&gt;"是","測項停用",IF(AND(Z150&lt;&gt;"OK",Z150&lt;&gt;"不適用"),Z150,IF(AND(AB150&lt;&gt;"OK",AB150&lt;&gt;"已換算"),"單位待核",IF(AA150&lt;&gt;"OK",AA150,"OK"))))))))</f>
        <v/>
      </c>
      <c r="AG150" s="93">
        <f>IF(COUNTA($A150:$D150)=0,"",IF(N150="ND","ND取0",IF(OR(N150="&lt;",N150="&lt;="),"界限除以2",IF(N150="NA","不適用",IF(OR(N150="&gt;",N150="&gt;="),"保留界限數值","保留原數值")))))</f>
        <v/>
      </c>
      <c r="AH150" s="92">
        <f>IF(O150="","",IFERROR(_xlfn.NUMBERVALUE(O150,".",","),""))</f>
        <v/>
      </c>
      <c r="AI150" s="92">
        <f>IF(H150="","",IFERROR(MATCH(H150,Samples[樣品編號],0),0))</f>
        <v/>
      </c>
    </row>
    <row r="151">
      <c r="A151" s="27" t="inlineStr">
        <is>
          <t>溶氧飽和度</t>
        </is>
      </c>
      <c r="B151" s="28" t="inlineStr">
        <is>
          <t>68</t>
        </is>
      </c>
      <c r="C151" s="27" t="inlineStr">
        <is>
          <t>%</t>
        </is>
      </c>
      <c r="D151" s="39" t="inlineStr">
        <is>
          <t>合成資料，非實測；method=field</t>
        </is>
      </c>
      <c r="E151" s="29">
        <f>IF(OR(I151="",I151=0),"",IF(INDEX(Samples[監測點],I151)="","",INDEX(Samples[監測點],I151)))</f>
        <v/>
      </c>
      <c r="F151" s="90">
        <f>IF(OR(I151="",I151=0),"",IF(INDEX(Samples[採樣日期],I151)="","",INDEX(Samples[採樣日期],I151)))</f>
        <v/>
      </c>
      <c r="G151" s="91">
        <f>IF(OR(M151="",M151="NA",M151="N/A"),"",IF(OR(M151="ND",M151="N.D."),0,IFERROR(IF(OR(OR(ISNUMBER(SEARCH("%",O151)),ISNUMBER(SEARCH(" ",O151)),ISNUMBER(SEARCH(",",O151))),OR(SUBSTITUTE(SUBSTITUTE(SUBSTITUTE(SUBSTITUTE(SUBSTITUTE(SUBSTITUTE(SUBSTITUTE(SUBSTITUTE(SUBSTITUTE(SUBSTITUTE(SUBSTITUTE(SUBSTITUTE(SUBSTITUTE(SUBSTITUTE(SUBSTITUTE(SUBSTITUTE(SUBSTITUTE(SUBSTITUTE("x"&amp;M151,"0",""),"1",""),"2",""),"3",""),"4",""),"5",""),"6",""),"7",""),"8",""),"9",""),".",""),"E",""),"+",""),"-",""),"&lt;",""),"&gt;",""),"=","")," ","")&lt;&gt;"x",ISNUMBER(SEARCH("-",SUBSTITUTE(SUBSTITUTE("x"&amp;MID(M151,2,99),"E-","E"),"E+","E"))),ISNUMBER(SEARCH("+",SUBSTITUTE(SUBSTITUTE("x"&amp;MID(M151,2,99),"E-","E"),"E+","E"))))),"",IF(AND(OR(LEFT(M151,1)="&lt;",LEFT(M151,1)="&gt;"),IF(O151="",0,IF(ISNUMBER(AH151),AH151,NA()))&lt;0),"",IF(O151="",0,IF(ISNUMBER(AH151),AH151,NA()))/IF(LEFT(M151,1)="&lt;",2,1))),"")))</f>
        <v/>
      </c>
      <c r="H151" s="57" t="inlineStr">
        <is>
          <t>BH04-W_20260115_01</t>
        </is>
      </c>
      <c r="I151" s="92">
        <f>IF(OR(H151="",AI151=0),0,IF(INDEX(Samples[樣品重複筆數],AI151)=1,AI151,0))</f>
        <v/>
      </c>
      <c r="J151" s="92">
        <f>IF(OR(COUNTA($A151:$D151)=0,I151=0),"",IF(INDEX(Samples[介質],I151)="","",INDEX(Samples[介質],I151)))</f>
        <v/>
      </c>
      <c r="K151" s="92">
        <f>IF(OR(COUNTA($A151:$D151)=0,T151=0),"",IF(INDEX(DB_04[標準單位],T151)="","",INDEX(DB_04[標準單位],T151)))</f>
        <v/>
      </c>
      <c r="L151" s="92">
        <f>IF(COUNTA($A151:$D151)=0,"",IF(OR(C151="",K151=""),"",IF(C151=K151,1,IF(COUNTIFS(DB_06[換算鍵],C151&amp;"|"&amp;K151,DB_06[換算檢查],"OK")=1,INDEX(DB_06[乘數],MATCH(C151&amp;"|"&amp;K151,DB_06[換算鍵],0)),""))))</f>
        <v/>
      </c>
      <c r="M151" s="92">
        <f>UPPER(SUBSTITUTE(SUBSTITUTE(SUBSTITUTE(SUBSTITUTE(TRIM(B151&amp;""),"＜","&lt;"),"＞","&gt;"),"≤","&lt;="),"≥","&gt;="))</f>
        <v/>
      </c>
      <c r="N151" s="92">
        <f>IF(M151="","",IF(OR(M151="ND",M151="N.D."),"ND",IF(OR(M151="NA",M151="N/A",M151="N.A."),"NA",IF(OR(LEFT(M151,2)="&lt;=",LEFT(M151,2)="&gt;="),LEFT(M151,2),IF(OR(LEFT(M151,1)="&lt;",LEFT(M151,1)="&gt;"),LEFT(M151,1),"數值")))))</f>
        <v/>
      </c>
      <c r="O151" s="92">
        <f>IF(OR(N151="",N151="ND",N151="NA"),"",IF(N151="數值",M151,TRIM(MID(M151,LEN(N151)+1,99))))</f>
        <v/>
      </c>
      <c r="P151" s="92">
        <f>IF(O151="","",IFERROR(IF(OR(OR(ISNUMBER(SEARCH("%",O151)),ISNUMBER(SEARCH(" ",O151)),ISNUMBER(SEARCH(",",O151))),OR(SUBSTITUTE(SUBSTITUTE(SUBSTITUTE(SUBSTITUTE(SUBSTITUTE(SUBSTITUTE(SUBSTITUTE(SUBSTITUTE(SUBSTITUTE(SUBSTITUTE(SUBSTITUTE(SUBSTITUTE(SUBSTITUTE(SUBSTITUTE(SUBSTITUTE(SUBSTITUTE(SUBSTITUTE(SUBSTITUTE("x"&amp;O151,"0",""),"1",""),"2",""),"3",""),"4",""),"5",""),"6",""),"7",""),"8",""),"9",""),".",""),"E",""),"+",""),"-",""),"&lt;",""),"&gt;",""),"=","")," ","")&lt;&gt;"x",ISNUMBER(SEARCH("-",SUBSTITUTE(SUBSTITUTE("x"&amp;MID(O151,2,99),"E-","E"),"E+","E"))),ISNUMBER(SEARCH("+",SUBSTITUTE(SUBSTITUTE("x"&amp;MID(O151,2,99),"E-","E"),"E+","E"))))),"",IF(ISNUMBER(AH151),AH151,NA())),""))</f>
        <v/>
      </c>
      <c r="Q151" s="92">
        <f>IF(AND(ISNUMBER(L151),ISNUMBER(P151)),L151*P151,"")</f>
        <v/>
      </c>
      <c r="R151" s="92">
        <f>IF(OR(COUNTA($A151:$D151)=0,U151=0),"",IF(INDEX(DB_05[管制設定值],U151)="","",INDEX(DB_05[管制設定值],U151)))</f>
        <v/>
      </c>
      <c r="S151" s="92">
        <f>IF(OR(COUNTA($A151:$D151)=0,U151=0),"",IF(INDEX(DB_05[監測設定值],U151)="","",INDEX(DB_05[監測設定值],U151)))</f>
        <v/>
      </c>
      <c r="T151" s="92">
        <f>IF(COUNTA($A151:$D151)=0,"",IF(COUNTIFS(DB_04[測項鍵],V151)=1,MATCH(V151,DB_04[測項鍵],0),0))</f>
        <v/>
      </c>
      <c r="U151" s="92">
        <f>IF(COUNTA($A151:$D151)=0,"",IF(COUNTIFS(DB_05[標準鍵],W151)=1,MATCH(W151,DB_05[標準鍵],0),0))</f>
        <v/>
      </c>
      <c r="V151" s="92">
        <f>IF(OR(J151="",A151=""),"",J151&amp;"|"&amp;A151)</f>
        <v/>
      </c>
      <c r="W151" s="92">
        <f>IF(OR('07_QAQC'!$C$3="",V151=""),"",'07_QAQC'!$C$3&amp;"|"&amp;V151)</f>
        <v/>
      </c>
      <c r="X151" s="92">
        <f>IF(OR(H151="",A151=""),"",LEN(H151)&amp;":"&amp;H151&amp;LEN(A151)&amp;":"&amp;A151)</f>
        <v/>
      </c>
      <c r="Y151" s="93">
        <f>IF(COUNTA($A151:$D151)=0,"",IF(I151=0,"樣品未建或重複",IF(INDEX(Samples[樣品檢查],I151)="","OK",INDEX(Samples[樣品檢查],I151))))</f>
        <v/>
      </c>
      <c r="Z151" s="93">
        <f>IF(COUNTA($A151:$D151)=0,"",IF(B151="","缺原始值",IF(OR(B151="-",B151="--"),"無資料",IF(N151="NA","不適用",IF(N151="ND","OK",IF(NOT(ISNUMBER(P151)),"格式待核",IF(AND(N151&lt;&gt;"數值",P151&lt;0),"界限不得為負","OK")))))))</f>
        <v/>
      </c>
      <c r="AA151" s="93">
        <f>IF(COUNTA(A151:D151)=0,"",IF(OR(A151="",H151=""),"缺識別欄位",IF(IF(LEN("="&amp;SUBSTITUTE(SUBSTITUTE(SUBSTITUTE(X151,"~","~~"),"*","~*"),"?","~?"))&lt;=255,COUNTIF(Results[結果識別鍵],"="&amp;SUBSTITUTE(SUBSTITUTE(SUBSTITUTE(X151,"~","~~"),"*","~*"),"?","~?")),COUNTIFS(Results[關聯鍵],"="&amp;SUBSTITUTE(SUBSTITUTE(SUBSTITUTE(H151,"~","~~"),"*","~*"),"?","~?"),Results[分析項目],"="&amp;SUBSTITUTE(SUBSTITUTE(SUBSTITUTE(A151,"~","~~"),"*","~*"),"?","~?")))&gt;1,"同關聯鍵測項重複","OK")))</f>
        <v/>
      </c>
      <c r="AB151" s="93">
        <f>IF(COUNTA($A151:$D151)=0,"",IF(OR(C151="",K151=""),"缺單位",IF(NOT(ISNUMBER(L151)),"單位不相容",IF(L151=1,"OK","已換算"))))</f>
        <v/>
      </c>
      <c r="AC151" s="93">
        <f>IF(COUNTA($A151:$D151)=0,"",IF('07_QAQC'!$C$3="","未選比較版本",IF(U151=0,IF(COUNTIFS(DB_05[標準鍵],W151)&gt;1,"標準鍵重複","未訂此介質／測項門檻"),IF(INDEX(DB_05[版本檢查],U151)&lt;&gt;"OK","標準主檔待核",IF(INDEX(DB_05[標準單位],U151)&lt;&gt;K151,"標準單位不符",IF(INDEX(DB_05[核對狀態],U151)="停用","停用",IF(F151="","缺採樣日期",IF(OR(AND(INDEX(DB_05[生效日],U151)&lt;&gt;"",F151&lt;INDEX(DB_05[生效日],U151)),AND(INDEX(DB_05[失效日],U151)&lt;&gt;"",F151&gt;INDEX(DB_05[失效日],U151))),"日期不適用",INDEX(DB_05[核對狀態],U151)))))))))</f>
        <v/>
      </c>
      <c r="AD151" s="93">
        <f>IF(COUNTA($A151:$D151)=0,"",IF(AC151="未訂此介質／測項門檻",AC151,IF(AC151&lt;&gt;"已核對","標準待核",IF(R151="","未訂管制值",IF(NOT(ISNUMBER(L151)),"單位待核",IF(N151="ND","無法判定（ND無界限）",IF(N151="NA","不適用",IF(Z151&lt;&gt;"OK",Z151,IF(N151="數值",IF(Q151&gt;=R151,"達管制值","未達管制值"),IF(OR(N151="&lt;",N151="&lt;="),IF(OR(Q151&lt;R151,AND(N151="&lt;",Q151=R151)),"未達管制值","無法判定"),IF(OR(N151="&gt;",N151="&gt;="),IF(Q151&gt;=R151,"達管制值","無法判定"),"格式待核")))))))))))</f>
        <v/>
      </c>
      <c r="AE151" s="93">
        <f>IF(COUNTA($A151:$D151)=0,"",IF(AC151="未訂此介質／測項門檻",AC151,IF(AC151&lt;&gt;"已核對","標準待核",IF(S151="","未訂監測值",IF(NOT(ISNUMBER(L151)),"單位待核",IF(N151="ND","無法判定（ND無界限）",IF(N151="NA","不適用",IF(Z151&lt;&gt;"OK",Z151,IF(N151="數值",IF(Q151&gt;=S151,"達監測值","未達監測值"),IF(OR(N151="&lt;",N151="&lt;="),IF(OR(Q151&lt;S151,AND(N151="&lt;",Q151=S151)),"未達監測值","無法判定"),IF(OR(N151="&gt;",N151="&gt;="),IF(Q151&gt;=S151,"達監測值","無法判定"),"格式待核")))))))))))</f>
        <v/>
      </c>
      <c r="AF151" s="93">
        <f>IF(COUNTA($A151:$D151)=0,"",IF(OR(E151="",A151="",B151="",C151=""),"缺必要欄位",IF(Y151&lt;&gt;"OK","樣品資料待補",IF(T151=0,"測項未建或重複",IF(INDEX(DB_04[啟用],T151)&lt;&gt;"是","測項停用",IF(AND(Z151&lt;&gt;"OK",Z151&lt;&gt;"不適用"),Z151,IF(AND(AB151&lt;&gt;"OK",AB151&lt;&gt;"已換算"),"單位待核",IF(AA151&lt;&gt;"OK",AA151,"OK"))))))))</f>
        <v/>
      </c>
      <c r="AG151" s="93">
        <f>IF(COUNTA($A151:$D151)=0,"",IF(N151="ND","ND取0",IF(OR(N151="&lt;",N151="&lt;="),"界限除以2",IF(N151="NA","不適用",IF(OR(N151="&gt;",N151="&gt;="),"保留界限數值","保留原數值")))))</f>
        <v/>
      </c>
      <c r="AH151" s="92">
        <f>IF(O151="","",IFERROR(_xlfn.NUMBERVALUE(O151,".",","),""))</f>
        <v/>
      </c>
      <c r="AI151" s="92">
        <f>IF(H151="","",IFERROR(MATCH(H151,Samples[樣品編號],0),0))</f>
        <v/>
      </c>
    </row>
    <row r="152">
      <c r="A152" s="27" t="inlineStr">
        <is>
          <t>ORP</t>
        </is>
      </c>
      <c r="B152" s="28" t="inlineStr">
        <is>
          <t>-20</t>
        </is>
      </c>
      <c r="C152" s="27" t="inlineStr">
        <is>
          <t>mV</t>
        </is>
      </c>
      <c r="D152" s="39" t="inlineStr">
        <is>
          <t>合成資料，非實測；method=field; reference_electrode=Ag/AgCl; calibration=verified</t>
        </is>
      </c>
      <c r="E152" s="29">
        <f>IF(OR(I152="",I152=0),"",IF(INDEX(Samples[監測點],I152)="","",INDEX(Samples[監測點],I152)))</f>
        <v/>
      </c>
      <c r="F152" s="90">
        <f>IF(OR(I152="",I152=0),"",IF(INDEX(Samples[採樣日期],I152)="","",INDEX(Samples[採樣日期],I152)))</f>
        <v/>
      </c>
      <c r="G152" s="91">
        <f>IF(OR(M152="",M152="NA",M152="N/A"),"",IF(OR(M152="ND",M152="N.D."),0,IFERROR(IF(OR(OR(ISNUMBER(SEARCH("%",O152)),ISNUMBER(SEARCH(" ",O152)),ISNUMBER(SEARCH(",",O152))),OR(SUBSTITUTE(SUBSTITUTE(SUBSTITUTE(SUBSTITUTE(SUBSTITUTE(SUBSTITUTE(SUBSTITUTE(SUBSTITUTE(SUBSTITUTE(SUBSTITUTE(SUBSTITUTE(SUBSTITUTE(SUBSTITUTE(SUBSTITUTE(SUBSTITUTE(SUBSTITUTE(SUBSTITUTE(SUBSTITUTE("x"&amp;M152,"0",""),"1",""),"2",""),"3",""),"4",""),"5",""),"6",""),"7",""),"8",""),"9",""),".",""),"E",""),"+",""),"-",""),"&lt;",""),"&gt;",""),"=","")," ","")&lt;&gt;"x",ISNUMBER(SEARCH("-",SUBSTITUTE(SUBSTITUTE("x"&amp;MID(M152,2,99),"E-","E"),"E+","E"))),ISNUMBER(SEARCH("+",SUBSTITUTE(SUBSTITUTE("x"&amp;MID(M152,2,99),"E-","E"),"E+","E"))))),"",IF(AND(OR(LEFT(M152,1)="&lt;",LEFT(M152,1)="&gt;"),IF(O152="",0,IF(ISNUMBER(AH152),AH152,NA()))&lt;0),"",IF(O152="",0,IF(ISNUMBER(AH152),AH152,NA()))/IF(LEFT(M152,1)="&lt;",2,1))),"")))</f>
        <v/>
      </c>
      <c r="H152" s="57" t="inlineStr">
        <is>
          <t>BH04-W_20260115_01</t>
        </is>
      </c>
      <c r="I152" s="92">
        <f>IF(OR(H152="",AI152=0),0,IF(INDEX(Samples[樣品重複筆數],AI152)=1,AI152,0))</f>
        <v/>
      </c>
      <c r="J152" s="92">
        <f>IF(OR(COUNTA($A152:$D152)=0,I152=0),"",IF(INDEX(Samples[介質],I152)="","",INDEX(Samples[介質],I152)))</f>
        <v/>
      </c>
      <c r="K152" s="92">
        <f>IF(OR(COUNTA($A152:$D152)=0,T152=0),"",IF(INDEX(DB_04[標準單位],T152)="","",INDEX(DB_04[標準單位],T152)))</f>
        <v/>
      </c>
      <c r="L152" s="92">
        <f>IF(COUNTA($A152:$D152)=0,"",IF(OR(C152="",K152=""),"",IF(C152=K152,1,IF(COUNTIFS(DB_06[換算鍵],C152&amp;"|"&amp;K152,DB_06[換算檢查],"OK")=1,INDEX(DB_06[乘數],MATCH(C152&amp;"|"&amp;K152,DB_06[換算鍵],0)),""))))</f>
        <v/>
      </c>
      <c r="M152" s="92">
        <f>UPPER(SUBSTITUTE(SUBSTITUTE(SUBSTITUTE(SUBSTITUTE(TRIM(B152&amp;""),"＜","&lt;"),"＞","&gt;"),"≤","&lt;="),"≥","&gt;="))</f>
        <v/>
      </c>
      <c r="N152" s="92">
        <f>IF(M152="","",IF(OR(M152="ND",M152="N.D."),"ND",IF(OR(M152="NA",M152="N/A",M152="N.A."),"NA",IF(OR(LEFT(M152,2)="&lt;=",LEFT(M152,2)="&gt;="),LEFT(M152,2),IF(OR(LEFT(M152,1)="&lt;",LEFT(M152,1)="&gt;"),LEFT(M152,1),"數值")))))</f>
        <v/>
      </c>
      <c r="O152" s="92">
        <f>IF(OR(N152="",N152="ND",N152="NA"),"",IF(N152="數值",M152,TRIM(MID(M152,LEN(N152)+1,99))))</f>
        <v/>
      </c>
      <c r="P152" s="92">
        <f>IF(O152="","",IFERROR(IF(OR(OR(ISNUMBER(SEARCH("%",O152)),ISNUMBER(SEARCH(" ",O152)),ISNUMBER(SEARCH(",",O152))),OR(SUBSTITUTE(SUBSTITUTE(SUBSTITUTE(SUBSTITUTE(SUBSTITUTE(SUBSTITUTE(SUBSTITUTE(SUBSTITUTE(SUBSTITUTE(SUBSTITUTE(SUBSTITUTE(SUBSTITUTE(SUBSTITUTE(SUBSTITUTE(SUBSTITUTE(SUBSTITUTE(SUBSTITUTE(SUBSTITUTE("x"&amp;O152,"0",""),"1",""),"2",""),"3",""),"4",""),"5",""),"6",""),"7",""),"8",""),"9",""),".",""),"E",""),"+",""),"-",""),"&lt;",""),"&gt;",""),"=","")," ","")&lt;&gt;"x",ISNUMBER(SEARCH("-",SUBSTITUTE(SUBSTITUTE("x"&amp;MID(O152,2,99),"E-","E"),"E+","E"))),ISNUMBER(SEARCH("+",SUBSTITUTE(SUBSTITUTE("x"&amp;MID(O152,2,99),"E-","E"),"E+","E"))))),"",IF(ISNUMBER(AH152),AH152,NA())),""))</f>
        <v/>
      </c>
      <c r="Q152" s="92">
        <f>IF(AND(ISNUMBER(L152),ISNUMBER(P152)),L152*P152,"")</f>
        <v/>
      </c>
      <c r="R152" s="92">
        <f>IF(OR(COUNTA($A152:$D152)=0,U152=0),"",IF(INDEX(DB_05[管制設定值],U152)="","",INDEX(DB_05[管制設定值],U152)))</f>
        <v/>
      </c>
      <c r="S152" s="92">
        <f>IF(OR(COUNTA($A152:$D152)=0,U152=0),"",IF(INDEX(DB_05[監測設定值],U152)="","",INDEX(DB_05[監測設定值],U152)))</f>
        <v/>
      </c>
      <c r="T152" s="92">
        <f>IF(COUNTA($A152:$D152)=0,"",IF(COUNTIFS(DB_04[測項鍵],V152)=1,MATCH(V152,DB_04[測項鍵],0),0))</f>
        <v/>
      </c>
      <c r="U152" s="92">
        <f>IF(COUNTA($A152:$D152)=0,"",IF(COUNTIFS(DB_05[標準鍵],W152)=1,MATCH(W152,DB_05[標準鍵],0),0))</f>
        <v/>
      </c>
      <c r="V152" s="92">
        <f>IF(OR(J152="",A152=""),"",J152&amp;"|"&amp;A152)</f>
        <v/>
      </c>
      <c r="W152" s="92">
        <f>IF(OR('07_QAQC'!$C$3="",V152=""),"",'07_QAQC'!$C$3&amp;"|"&amp;V152)</f>
        <v/>
      </c>
      <c r="X152" s="92">
        <f>IF(OR(H152="",A152=""),"",LEN(H152)&amp;":"&amp;H152&amp;LEN(A152)&amp;":"&amp;A152)</f>
        <v/>
      </c>
      <c r="Y152" s="93">
        <f>IF(COUNTA($A152:$D152)=0,"",IF(I152=0,"樣品未建或重複",IF(INDEX(Samples[樣品檢查],I152)="","OK",INDEX(Samples[樣品檢查],I152))))</f>
        <v/>
      </c>
      <c r="Z152" s="93">
        <f>IF(COUNTA($A152:$D152)=0,"",IF(B152="","缺原始值",IF(OR(B152="-",B152="--"),"無資料",IF(N152="NA","不適用",IF(N152="ND","OK",IF(NOT(ISNUMBER(P152)),"格式待核",IF(AND(N152&lt;&gt;"數值",P152&lt;0),"界限不得為負","OK")))))))</f>
        <v/>
      </c>
      <c r="AA152" s="93">
        <f>IF(COUNTA(A152:D152)=0,"",IF(OR(A152="",H152=""),"缺識別欄位",IF(IF(LEN("="&amp;SUBSTITUTE(SUBSTITUTE(SUBSTITUTE(X152,"~","~~"),"*","~*"),"?","~?"))&lt;=255,COUNTIF(Results[結果識別鍵],"="&amp;SUBSTITUTE(SUBSTITUTE(SUBSTITUTE(X152,"~","~~"),"*","~*"),"?","~?")),COUNTIFS(Results[關聯鍵],"="&amp;SUBSTITUTE(SUBSTITUTE(SUBSTITUTE(H152,"~","~~"),"*","~*"),"?","~?"),Results[分析項目],"="&amp;SUBSTITUTE(SUBSTITUTE(SUBSTITUTE(A152,"~","~~"),"*","~*"),"?","~?")))&gt;1,"同關聯鍵測項重複","OK")))</f>
        <v/>
      </c>
      <c r="AB152" s="93">
        <f>IF(COUNTA($A152:$D152)=0,"",IF(OR(C152="",K152=""),"缺單位",IF(NOT(ISNUMBER(L152)),"單位不相容",IF(L152=1,"OK","已換算"))))</f>
        <v/>
      </c>
      <c r="AC152" s="93">
        <f>IF(COUNTA($A152:$D152)=0,"",IF('07_QAQC'!$C$3="","未選比較版本",IF(U152=0,IF(COUNTIFS(DB_05[標準鍵],W152)&gt;1,"標準鍵重複","未訂此介質／測項門檻"),IF(INDEX(DB_05[版本檢查],U152)&lt;&gt;"OK","標準主檔待核",IF(INDEX(DB_05[標準單位],U152)&lt;&gt;K152,"標準單位不符",IF(INDEX(DB_05[核對狀態],U152)="停用","停用",IF(F152="","缺採樣日期",IF(OR(AND(INDEX(DB_05[生效日],U152)&lt;&gt;"",F152&lt;INDEX(DB_05[生效日],U152)),AND(INDEX(DB_05[失效日],U152)&lt;&gt;"",F152&gt;INDEX(DB_05[失效日],U152))),"日期不適用",INDEX(DB_05[核對狀態],U152)))))))))</f>
        <v/>
      </c>
      <c r="AD152" s="93">
        <f>IF(COUNTA($A152:$D152)=0,"",IF(AC152="未訂此介質／測項門檻",AC152,IF(AC152&lt;&gt;"已核對","標準待核",IF(R152="","未訂管制值",IF(NOT(ISNUMBER(L152)),"單位待核",IF(N152="ND","無法判定（ND無界限）",IF(N152="NA","不適用",IF(Z152&lt;&gt;"OK",Z152,IF(N152="數值",IF(Q152&gt;=R152,"達管制值","未達管制值"),IF(OR(N152="&lt;",N152="&lt;="),IF(OR(Q152&lt;R152,AND(N152="&lt;",Q152=R152)),"未達管制值","無法判定"),IF(OR(N152="&gt;",N152="&gt;="),IF(Q152&gt;=R152,"達管制值","無法判定"),"格式待核")))))))))))</f>
        <v/>
      </c>
      <c r="AE152" s="93">
        <f>IF(COUNTA($A152:$D152)=0,"",IF(AC152="未訂此介質／測項門檻",AC152,IF(AC152&lt;&gt;"已核對","標準待核",IF(S152="","未訂監測值",IF(NOT(ISNUMBER(L152)),"單位待核",IF(N152="ND","無法判定（ND無界限）",IF(N152="NA","不適用",IF(Z152&lt;&gt;"OK",Z152,IF(N152="數值",IF(Q152&gt;=S152,"達監測值","未達監測值"),IF(OR(N152="&lt;",N152="&lt;="),IF(OR(Q152&lt;S152,AND(N152="&lt;",Q152=S152)),"未達監測值","無法判定"),IF(OR(N152="&gt;",N152="&gt;="),IF(Q152&gt;=S152,"達監測值","無法判定"),"格式待核")))))))))))</f>
        <v/>
      </c>
      <c r="AF152" s="93">
        <f>IF(COUNTA($A152:$D152)=0,"",IF(OR(E152="",A152="",B152="",C152=""),"缺必要欄位",IF(Y152&lt;&gt;"OK","樣品資料待補",IF(T152=0,"測項未建或重複",IF(INDEX(DB_04[啟用],T152)&lt;&gt;"是","測項停用",IF(AND(Z152&lt;&gt;"OK",Z152&lt;&gt;"不適用"),Z152,IF(AND(AB152&lt;&gt;"OK",AB152&lt;&gt;"已換算"),"單位待核",IF(AA152&lt;&gt;"OK",AA152,"OK"))))))))</f>
        <v/>
      </c>
      <c r="AG152" s="93">
        <f>IF(COUNTA($A152:$D152)=0,"",IF(N152="ND","ND取0",IF(OR(N152="&lt;",N152="&lt;="),"界限除以2",IF(N152="NA","不適用",IF(OR(N152="&gt;",N152="&gt;="),"保留界限數值","保留原數值")))))</f>
        <v/>
      </c>
      <c r="AH152" s="92">
        <f>IF(O152="","",IFERROR(_xlfn.NUMBERVALUE(O152,".",","),""))</f>
        <v/>
      </c>
      <c r="AI152" s="92">
        <f>IF(H152="","",IFERROR(MATCH(H152,Samples[樣品編號],0),0))</f>
        <v/>
      </c>
    </row>
    <row r="153">
      <c r="A153" s="27" t="inlineStr">
        <is>
          <t>總有機碳</t>
        </is>
      </c>
      <c r="B153" s="28" t="inlineStr">
        <is>
          <t>2.8</t>
        </is>
      </c>
      <c r="C153" s="27" t="inlineStr">
        <is>
          <t>mg/L</t>
        </is>
      </c>
      <c r="D153" s="39" t="inlineStr">
        <is>
          <t>合成資料，非實測；method=lab</t>
        </is>
      </c>
      <c r="E153" s="29">
        <f>IF(OR(I153="",I153=0),"",IF(INDEX(Samples[監測點],I153)="","",INDEX(Samples[監測點],I153)))</f>
        <v/>
      </c>
      <c r="F153" s="90">
        <f>IF(OR(I153="",I153=0),"",IF(INDEX(Samples[採樣日期],I153)="","",INDEX(Samples[採樣日期],I153)))</f>
        <v/>
      </c>
      <c r="G153" s="91">
        <f>IF(OR(M153="",M153="NA",M153="N/A"),"",IF(OR(M153="ND",M153="N.D."),0,IFERROR(IF(OR(OR(ISNUMBER(SEARCH("%",O153)),ISNUMBER(SEARCH(" ",O153)),ISNUMBER(SEARCH(",",O153))),OR(SUBSTITUTE(SUBSTITUTE(SUBSTITUTE(SUBSTITUTE(SUBSTITUTE(SUBSTITUTE(SUBSTITUTE(SUBSTITUTE(SUBSTITUTE(SUBSTITUTE(SUBSTITUTE(SUBSTITUTE(SUBSTITUTE(SUBSTITUTE(SUBSTITUTE(SUBSTITUTE(SUBSTITUTE(SUBSTITUTE("x"&amp;M153,"0",""),"1",""),"2",""),"3",""),"4",""),"5",""),"6",""),"7",""),"8",""),"9",""),".",""),"E",""),"+",""),"-",""),"&lt;",""),"&gt;",""),"=","")," ","")&lt;&gt;"x",ISNUMBER(SEARCH("-",SUBSTITUTE(SUBSTITUTE("x"&amp;MID(M153,2,99),"E-","E"),"E+","E"))),ISNUMBER(SEARCH("+",SUBSTITUTE(SUBSTITUTE("x"&amp;MID(M153,2,99),"E-","E"),"E+","E"))))),"",IF(AND(OR(LEFT(M153,1)="&lt;",LEFT(M153,1)="&gt;"),IF(O153="",0,IF(ISNUMBER(AH153),AH153,NA()))&lt;0),"",IF(O153="",0,IF(ISNUMBER(AH153),AH153,NA()))/IF(LEFT(M153,1)="&lt;",2,1))),"")))</f>
        <v/>
      </c>
      <c r="H153" s="57" t="inlineStr">
        <is>
          <t>BH04-W_20260115_01</t>
        </is>
      </c>
      <c r="I153" s="92">
        <f>IF(OR(H153="",AI153=0),0,IF(INDEX(Samples[樣品重複筆數],AI153)=1,AI153,0))</f>
        <v/>
      </c>
      <c r="J153" s="92">
        <f>IF(OR(COUNTA($A153:$D153)=0,I153=0),"",IF(INDEX(Samples[介質],I153)="","",INDEX(Samples[介質],I153)))</f>
        <v/>
      </c>
      <c r="K153" s="92">
        <f>IF(OR(COUNTA($A153:$D153)=0,T153=0),"",IF(INDEX(DB_04[標準單位],T153)="","",INDEX(DB_04[標準單位],T153)))</f>
        <v/>
      </c>
      <c r="L153" s="92">
        <f>IF(COUNTA($A153:$D153)=0,"",IF(OR(C153="",K153=""),"",IF(C153=K153,1,IF(COUNTIFS(DB_06[換算鍵],C153&amp;"|"&amp;K153,DB_06[換算檢查],"OK")=1,INDEX(DB_06[乘數],MATCH(C153&amp;"|"&amp;K153,DB_06[換算鍵],0)),""))))</f>
        <v/>
      </c>
      <c r="M153" s="92">
        <f>UPPER(SUBSTITUTE(SUBSTITUTE(SUBSTITUTE(SUBSTITUTE(TRIM(B153&amp;""),"＜","&lt;"),"＞","&gt;"),"≤","&lt;="),"≥","&gt;="))</f>
        <v/>
      </c>
      <c r="N153" s="92">
        <f>IF(M153="","",IF(OR(M153="ND",M153="N.D."),"ND",IF(OR(M153="NA",M153="N/A",M153="N.A."),"NA",IF(OR(LEFT(M153,2)="&lt;=",LEFT(M153,2)="&gt;="),LEFT(M153,2),IF(OR(LEFT(M153,1)="&lt;",LEFT(M153,1)="&gt;"),LEFT(M153,1),"數值")))))</f>
        <v/>
      </c>
      <c r="O153" s="92">
        <f>IF(OR(N153="",N153="ND",N153="NA"),"",IF(N153="數值",M153,TRIM(MID(M153,LEN(N153)+1,99))))</f>
        <v/>
      </c>
      <c r="P153" s="92">
        <f>IF(O153="","",IFERROR(IF(OR(OR(ISNUMBER(SEARCH("%",O153)),ISNUMBER(SEARCH(" ",O153)),ISNUMBER(SEARCH(",",O153))),OR(SUBSTITUTE(SUBSTITUTE(SUBSTITUTE(SUBSTITUTE(SUBSTITUTE(SUBSTITUTE(SUBSTITUTE(SUBSTITUTE(SUBSTITUTE(SUBSTITUTE(SUBSTITUTE(SUBSTITUTE(SUBSTITUTE(SUBSTITUTE(SUBSTITUTE(SUBSTITUTE(SUBSTITUTE(SUBSTITUTE("x"&amp;O153,"0",""),"1",""),"2",""),"3",""),"4",""),"5",""),"6",""),"7",""),"8",""),"9",""),".",""),"E",""),"+",""),"-",""),"&lt;",""),"&gt;",""),"=","")," ","")&lt;&gt;"x",ISNUMBER(SEARCH("-",SUBSTITUTE(SUBSTITUTE("x"&amp;MID(O153,2,99),"E-","E"),"E+","E"))),ISNUMBER(SEARCH("+",SUBSTITUTE(SUBSTITUTE("x"&amp;MID(O153,2,99),"E-","E"),"E+","E"))))),"",IF(ISNUMBER(AH153),AH153,NA())),""))</f>
        <v/>
      </c>
      <c r="Q153" s="92">
        <f>IF(AND(ISNUMBER(L153),ISNUMBER(P153)),L153*P153,"")</f>
        <v/>
      </c>
      <c r="R153" s="92">
        <f>IF(OR(COUNTA($A153:$D153)=0,U153=0),"",IF(INDEX(DB_05[管制設定值],U153)="","",INDEX(DB_05[管制設定值],U153)))</f>
        <v/>
      </c>
      <c r="S153" s="92">
        <f>IF(OR(COUNTA($A153:$D153)=0,U153=0),"",IF(INDEX(DB_05[監測設定值],U153)="","",INDEX(DB_05[監測設定值],U153)))</f>
        <v/>
      </c>
      <c r="T153" s="92">
        <f>IF(COUNTA($A153:$D153)=0,"",IF(COUNTIFS(DB_04[測項鍵],V153)=1,MATCH(V153,DB_04[測項鍵],0),0))</f>
        <v/>
      </c>
      <c r="U153" s="92">
        <f>IF(COUNTA($A153:$D153)=0,"",IF(COUNTIFS(DB_05[標準鍵],W153)=1,MATCH(W153,DB_05[標準鍵],0),0))</f>
        <v/>
      </c>
      <c r="V153" s="92">
        <f>IF(OR(J153="",A153=""),"",J153&amp;"|"&amp;A153)</f>
        <v/>
      </c>
      <c r="W153" s="92">
        <f>IF(OR('07_QAQC'!$C$3="",V153=""),"",'07_QAQC'!$C$3&amp;"|"&amp;V153)</f>
        <v/>
      </c>
      <c r="X153" s="92">
        <f>IF(OR(H153="",A153=""),"",LEN(H153)&amp;":"&amp;H153&amp;LEN(A153)&amp;":"&amp;A153)</f>
        <v/>
      </c>
      <c r="Y153" s="93">
        <f>IF(COUNTA($A153:$D153)=0,"",IF(I153=0,"樣品未建或重複",IF(INDEX(Samples[樣品檢查],I153)="","OK",INDEX(Samples[樣品檢查],I153))))</f>
        <v/>
      </c>
      <c r="Z153" s="93">
        <f>IF(COUNTA($A153:$D153)=0,"",IF(B153="","缺原始值",IF(OR(B153="-",B153="--"),"無資料",IF(N153="NA","不適用",IF(N153="ND","OK",IF(NOT(ISNUMBER(P153)),"格式待核",IF(AND(N153&lt;&gt;"數值",P153&lt;0),"界限不得為負","OK")))))))</f>
        <v/>
      </c>
      <c r="AA153" s="93">
        <f>IF(COUNTA(A153:D153)=0,"",IF(OR(A153="",H153=""),"缺識別欄位",IF(IF(LEN("="&amp;SUBSTITUTE(SUBSTITUTE(SUBSTITUTE(X153,"~","~~"),"*","~*"),"?","~?"))&lt;=255,COUNTIF(Results[結果識別鍵],"="&amp;SUBSTITUTE(SUBSTITUTE(SUBSTITUTE(X153,"~","~~"),"*","~*"),"?","~?")),COUNTIFS(Results[關聯鍵],"="&amp;SUBSTITUTE(SUBSTITUTE(SUBSTITUTE(H153,"~","~~"),"*","~*"),"?","~?"),Results[分析項目],"="&amp;SUBSTITUTE(SUBSTITUTE(SUBSTITUTE(A153,"~","~~"),"*","~*"),"?","~?")))&gt;1,"同關聯鍵測項重複","OK")))</f>
        <v/>
      </c>
      <c r="AB153" s="93">
        <f>IF(COUNTA($A153:$D153)=0,"",IF(OR(C153="",K153=""),"缺單位",IF(NOT(ISNUMBER(L153)),"單位不相容",IF(L153=1,"OK","已換算"))))</f>
        <v/>
      </c>
      <c r="AC153" s="93">
        <f>IF(COUNTA($A153:$D153)=0,"",IF('07_QAQC'!$C$3="","未選比較版本",IF(U153=0,IF(COUNTIFS(DB_05[標準鍵],W153)&gt;1,"標準鍵重複","未訂此介質／測項門檻"),IF(INDEX(DB_05[版本檢查],U153)&lt;&gt;"OK","標準主檔待核",IF(INDEX(DB_05[標準單位],U153)&lt;&gt;K153,"標準單位不符",IF(INDEX(DB_05[核對狀態],U153)="停用","停用",IF(F153="","缺採樣日期",IF(OR(AND(INDEX(DB_05[生效日],U153)&lt;&gt;"",F153&lt;INDEX(DB_05[生效日],U153)),AND(INDEX(DB_05[失效日],U153)&lt;&gt;"",F153&gt;INDEX(DB_05[失效日],U153))),"日期不適用",INDEX(DB_05[核對狀態],U153)))))))))</f>
        <v/>
      </c>
      <c r="AD153" s="93">
        <f>IF(COUNTA($A153:$D153)=0,"",IF(AC153="未訂此介質／測項門檻",AC153,IF(AC153&lt;&gt;"已核對","標準待核",IF(R153="","未訂管制值",IF(NOT(ISNUMBER(L153)),"單位待核",IF(N153="ND","無法判定（ND無界限）",IF(N153="NA","不適用",IF(Z153&lt;&gt;"OK",Z153,IF(N153="數值",IF(Q153&gt;=R153,"達管制值","未達管制值"),IF(OR(N153="&lt;",N153="&lt;="),IF(OR(Q153&lt;R153,AND(N153="&lt;",Q153=R153)),"未達管制值","無法判定"),IF(OR(N153="&gt;",N153="&gt;="),IF(Q153&gt;=R153,"達管制值","無法判定"),"格式待核")))))))))))</f>
        <v/>
      </c>
      <c r="AE153" s="93">
        <f>IF(COUNTA($A153:$D153)=0,"",IF(AC153="未訂此介質／測項門檻",AC153,IF(AC153&lt;&gt;"已核對","標準待核",IF(S153="","未訂監測值",IF(NOT(ISNUMBER(L153)),"單位待核",IF(N153="ND","無法判定（ND無界限）",IF(N153="NA","不適用",IF(Z153&lt;&gt;"OK",Z153,IF(N153="數值",IF(Q153&gt;=S153,"達監測值","未達監測值"),IF(OR(N153="&lt;",N153="&lt;="),IF(OR(Q153&lt;S153,AND(N153="&lt;",Q153=S153)),"未達監測值","無法判定"),IF(OR(N153="&gt;",N153="&gt;="),IF(Q153&gt;=S153,"達監測值","無法判定"),"格式待核")))))))))))</f>
        <v/>
      </c>
      <c r="AF153" s="93">
        <f>IF(COUNTA($A153:$D153)=0,"",IF(OR(E153="",A153="",B153="",C153=""),"缺必要欄位",IF(Y153&lt;&gt;"OK","樣品資料待補",IF(T153=0,"測項未建或重複",IF(INDEX(DB_04[啟用],T153)&lt;&gt;"是","測項停用",IF(AND(Z153&lt;&gt;"OK",Z153&lt;&gt;"不適用"),Z153,IF(AND(AB153&lt;&gt;"OK",AB153&lt;&gt;"已換算"),"單位待核",IF(AA153&lt;&gt;"OK",AA153,"OK"))))))))</f>
        <v/>
      </c>
      <c r="AG153" s="93">
        <f>IF(COUNTA($A153:$D153)=0,"",IF(N153="ND","ND取0",IF(OR(N153="&lt;",N153="&lt;="),"界限除以2",IF(N153="NA","不適用",IF(OR(N153="&gt;",N153="&gt;="),"保留界限數值","保留原數值")))))</f>
        <v/>
      </c>
      <c r="AH153" s="92">
        <f>IF(O153="","",IFERROR(_xlfn.NUMBERVALUE(O153,".",","),""))</f>
        <v/>
      </c>
      <c r="AI153" s="92">
        <f>IF(H153="","",IFERROR(MATCH(H153,Samples[樣品編號],0),0))</f>
        <v/>
      </c>
    </row>
    <row r="154">
      <c r="A154" s="27" t="inlineStr">
        <is>
          <t>鋅</t>
        </is>
      </c>
      <c r="B154" s="28" t="inlineStr">
        <is>
          <t>138</t>
        </is>
      </c>
      <c r="C154" s="27" t="inlineStr">
        <is>
          <t>mg/kg</t>
        </is>
      </c>
      <c r="D154" s="39" t="inlineStr">
        <is>
          <t>合成資料，非實測；method=XRF; basis=dry</t>
        </is>
      </c>
      <c r="E154" s="29">
        <f>IF(OR(I154="",I154=0),"",IF(INDEX(Samples[監測點],I154)="","",INDEX(Samples[監測點],I154)))</f>
        <v/>
      </c>
      <c r="F154" s="90">
        <f>IF(OR(I154="",I154=0),"",IF(INDEX(Samples[採樣日期],I154)="","",INDEX(Samples[採樣日期],I154)))</f>
        <v/>
      </c>
      <c r="G154" s="91">
        <f>IF(OR(M154="",M154="NA",M154="N/A"),"",IF(OR(M154="ND",M154="N.D."),0,IFERROR(IF(OR(OR(ISNUMBER(SEARCH("%",O154)),ISNUMBER(SEARCH(" ",O154)),ISNUMBER(SEARCH(",",O154))),OR(SUBSTITUTE(SUBSTITUTE(SUBSTITUTE(SUBSTITUTE(SUBSTITUTE(SUBSTITUTE(SUBSTITUTE(SUBSTITUTE(SUBSTITUTE(SUBSTITUTE(SUBSTITUTE(SUBSTITUTE(SUBSTITUTE(SUBSTITUTE(SUBSTITUTE(SUBSTITUTE(SUBSTITUTE(SUBSTITUTE("x"&amp;M154,"0",""),"1",""),"2",""),"3",""),"4",""),"5",""),"6",""),"7",""),"8",""),"9",""),".",""),"E",""),"+",""),"-",""),"&lt;",""),"&gt;",""),"=","")," ","")&lt;&gt;"x",ISNUMBER(SEARCH("-",SUBSTITUTE(SUBSTITUTE("x"&amp;MID(M154,2,99),"E-","E"),"E+","E"))),ISNUMBER(SEARCH("+",SUBSTITUTE(SUBSTITUTE("x"&amp;MID(M154,2,99),"E-","E"),"E+","E"))))),"",IF(AND(OR(LEFT(M154,1)="&lt;",LEFT(M154,1)="&gt;"),IF(O154="",0,IF(ISNUMBER(AH154),AH154,NA()))&lt;0),"",IF(O154="",0,IF(ISNUMBER(AH154),AH154,NA()))/IF(LEFT(M154,1)="&lt;",2,1))),"")))</f>
        <v/>
      </c>
      <c r="H154" s="57" t="inlineStr">
        <is>
          <t>BH04-S_20260115_02</t>
        </is>
      </c>
      <c r="I154" s="92">
        <f>IF(OR(H154="",AI154=0),0,IF(INDEX(Samples[樣品重複筆數],AI154)=1,AI154,0))</f>
        <v/>
      </c>
      <c r="J154" s="92">
        <f>IF(OR(COUNTA($A154:$D154)=0,I154=0),"",IF(INDEX(Samples[介質],I154)="","",INDEX(Samples[介質],I154)))</f>
        <v/>
      </c>
      <c r="K154" s="92">
        <f>IF(OR(COUNTA($A154:$D154)=0,T154=0),"",IF(INDEX(DB_04[標準單位],T154)="","",INDEX(DB_04[標準單位],T154)))</f>
        <v/>
      </c>
      <c r="L154" s="92">
        <f>IF(COUNTA($A154:$D154)=0,"",IF(OR(C154="",K154=""),"",IF(C154=K154,1,IF(COUNTIFS(DB_06[換算鍵],C154&amp;"|"&amp;K154,DB_06[換算檢查],"OK")=1,INDEX(DB_06[乘數],MATCH(C154&amp;"|"&amp;K154,DB_06[換算鍵],0)),""))))</f>
        <v/>
      </c>
      <c r="M154" s="92">
        <f>UPPER(SUBSTITUTE(SUBSTITUTE(SUBSTITUTE(SUBSTITUTE(TRIM(B154&amp;""),"＜","&lt;"),"＞","&gt;"),"≤","&lt;="),"≥","&gt;="))</f>
        <v/>
      </c>
      <c r="N154" s="92">
        <f>IF(M154="","",IF(OR(M154="ND",M154="N.D."),"ND",IF(OR(M154="NA",M154="N/A",M154="N.A."),"NA",IF(OR(LEFT(M154,2)="&lt;=",LEFT(M154,2)="&gt;="),LEFT(M154,2),IF(OR(LEFT(M154,1)="&lt;",LEFT(M154,1)="&gt;"),LEFT(M154,1),"數值")))))</f>
        <v/>
      </c>
      <c r="O154" s="92">
        <f>IF(OR(N154="",N154="ND",N154="NA"),"",IF(N154="數值",M154,TRIM(MID(M154,LEN(N154)+1,99))))</f>
        <v/>
      </c>
      <c r="P154" s="92">
        <f>IF(O154="","",IFERROR(IF(OR(OR(ISNUMBER(SEARCH("%",O154)),ISNUMBER(SEARCH(" ",O154)),ISNUMBER(SEARCH(",",O154))),OR(SUBSTITUTE(SUBSTITUTE(SUBSTITUTE(SUBSTITUTE(SUBSTITUTE(SUBSTITUTE(SUBSTITUTE(SUBSTITUTE(SUBSTITUTE(SUBSTITUTE(SUBSTITUTE(SUBSTITUTE(SUBSTITUTE(SUBSTITUTE(SUBSTITUTE(SUBSTITUTE(SUBSTITUTE(SUBSTITUTE("x"&amp;O154,"0",""),"1",""),"2",""),"3",""),"4",""),"5",""),"6",""),"7",""),"8",""),"9",""),".",""),"E",""),"+",""),"-",""),"&lt;",""),"&gt;",""),"=","")," ","")&lt;&gt;"x",ISNUMBER(SEARCH("-",SUBSTITUTE(SUBSTITUTE("x"&amp;MID(O154,2,99),"E-","E"),"E+","E"))),ISNUMBER(SEARCH("+",SUBSTITUTE(SUBSTITUTE("x"&amp;MID(O154,2,99),"E-","E"),"E+","E"))))),"",IF(ISNUMBER(AH154),AH154,NA())),""))</f>
        <v/>
      </c>
      <c r="Q154" s="92">
        <f>IF(AND(ISNUMBER(L154),ISNUMBER(P154)),L154*P154,"")</f>
        <v/>
      </c>
      <c r="R154" s="92">
        <f>IF(OR(COUNTA($A154:$D154)=0,U154=0),"",IF(INDEX(DB_05[管制設定值],U154)="","",INDEX(DB_05[管制設定值],U154)))</f>
        <v/>
      </c>
      <c r="S154" s="92">
        <f>IF(OR(COUNTA($A154:$D154)=0,U154=0),"",IF(INDEX(DB_05[監測設定值],U154)="","",INDEX(DB_05[監測設定值],U154)))</f>
        <v/>
      </c>
      <c r="T154" s="92">
        <f>IF(COUNTA($A154:$D154)=0,"",IF(COUNTIFS(DB_04[測項鍵],V154)=1,MATCH(V154,DB_04[測項鍵],0),0))</f>
        <v/>
      </c>
      <c r="U154" s="92">
        <f>IF(COUNTA($A154:$D154)=0,"",IF(COUNTIFS(DB_05[標準鍵],W154)=1,MATCH(W154,DB_05[標準鍵],0),0))</f>
        <v/>
      </c>
      <c r="V154" s="92">
        <f>IF(OR(J154="",A154=""),"",J154&amp;"|"&amp;A154)</f>
        <v/>
      </c>
      <c r="W154" s="92">
        <f>IF(OR('07_QAQC'!$C$3="",V154=""),"",'07_QAQC'!$C$3&amp;"|"&amp;V154)</f>
        <v/>
      </c>
      <c r="X154" s="92">
        <f>IF(OR(H154="",A154=""),"",LEN(H154)&amp;":"&amp;H154&amp;LEN(A154)&amp;":"&amp;A154)</f>
        <v/>
      </c>
      <c r="Y154" s="93">
        <f>IF(COUNTA($A154:$D154)=0,"",IF(I154=0,"樣品未建或重複",IF(INDEX(Samples[樣品檢查],I154)="","OK",INDEX(Samples[樣品檢查],I154))))</f>
        <v/>
      </c>
      <c r="Z154" s="93">
        <f>IF(COUNTA($A154:$D154)=0,"",IF(B154="","缺原始值",IF(OR(B154="-",B154="--"),"無資料",IF(N154="NA","不適用",IF(N154="ND","OK",IF(NOT(ISNUMBER(P154)),"格式待核",IF(AND(N154&lt;&gt;"數值",P154&lt;0),"界限不得為負","OK")))))))</f>
        <v/>
      </c>
      <c r="AA154" s="93">
        <f>IF(COUNTA(A154:D154)=0,"",IF(OR(A154="",H154=""),"缺識別欄位",IF(IF(LEN("="&amp;SUBSTITUTE(SUBSTITUTE(SUBSTITUTE(X154,"~","~~"),"*","~*"),"?","~?"))&lt;=255,COUNTIF(Results[結果識別鍵],"="&amp;SUBSTITUTE(SUBSTITUTE(SUBSTITUTE(X154,"~","~~"),"*","~*"),"?","~?")),COUNTIFS(Results[關聯鍵],"="&amp;SUBSTITUTE(SUBSTITUTE(SUBSTITUTE(H154,"~","~~"),"*","~*"),"?","~?"),Results[分析項目],"="&amp;SUBSTITUTE(SUBSTITUTE(SUBSTITUTE(A154,"~","~~"),"*","~*"),"?","~?")))&gt;1,"同關聯鍵測項重複","OK")))</f>
        <v/>
      </c>
      <c r="AB154" s="93">
        <f>IF(COUNTA($A154:$D154)=0,"",IF(OR(C154="",K154=""),"缺單位",IF(NOT(ISNUMBER(L154)),"單位不相容",IF(L154=1,"OK","已換算"))))</f>
        <v/>
      </c>
      <c r="AC154" s="93">
        <f>IF(COUNTA($A154:$D154)=0,"",IF('07_QAQC'!$C$3="","未選比較版本",IF(U154=0,IF(COUNTIFS(DB_05[標準鍵],W154)&gt;1,"標準鍵重複","未訂此介質／測項門檻"),IF(INDEX(DB_05[版本檢查],U154)&lt;&gt;"OK","標準主檔待核",IF(INDEX(DB_05[標準單位],U154)&lt;&gt;K154,"標準單位不符",IF(INDEX(DB_05[核對狀態],U154)="停用","停用",IF(F154="","缺採樣日期",IF(OR(AND(INDEX(DB_05[生效日],U154)&lt;&gt;"",F154&lt;INDEX(DB_05[生效日],U154)),AND(INDEX(DB_05[失效日],U154)&lt;&gt;"",F154&gt;INDEX(DB_05[失效日],U154))),"日期不適用",INDEX(DB_05[核對狀態],U154)))))))))</f>
        <v/>
      </c>
      <c r="AD154" s="93">
        <f>IF(COUNTA($A154:$D154)=0,"",IF(AC154="未訂此介質／測項門檻",AC154,IF(AC154&lt;&gt;"已核對","標準待核",IF(R154="","未訂管制值",IF(NOT(ISNUMBER(L154)),"單位待核",IF(N154="ND","無法判定（ND無界限）",IF(N154="NA","不適用",IF(Z154&lt;&gt;"OK",Z154,IF(N154="數值",IF(Q154&gt;=R154,"達管制值","未達管制值"),IF(OR(N154="&lt;",N154="&lt;="),IF(OR(Q154&lt;R154,AND(N154="&lt;",Q154=R154)),"未達管制值","無法判定"),IF(OR(N154="&gt;",N154="&gt;="),IF(Q154&gt;=R154,"達管制值","無法判定"),"格式待核")))))))))))</f>
        <v/>
      </c>
      <c r="AE154" s="93">
        <f>IF(COUNTA($A154:$D154)=0,"",IF(AC154="未訂此介質／測項門檻",AC154,IF(AC154&lt;&gt;"已核對","標準待核",IF(S154="","未訂監測值",IF(NOT(ISNUMBER(L154)),"單位待核",IF(N154="ND","無法判定（ND無界限）",IF(N154="NA","不適用",IF(Z154&lt;&gt;"OK",Z154,IF(N154="數值",IF(Q154&gt;=S154,"達監測值","未達監測值"),IF(OR(N154="&lt;",N154="&lt;="),IF(OR(Q154&lt;S154,AND(N154="&lt;",Q154=S154)),"未達監測值","無法判定"),IF(OR(N154="&gt;",N154="&gt;="),IF(Q154&gt;=S154,"達監測值","無法判定"),"格式待核")))))))))))</f>
        <v/>
      </c>
      <c r="AF154" s="93">
        <f>IF(COUNTA($A154:$D154)=0,"",IF(OR(E154="",A154="",B154="",C154=""),"缺必要欄位",IF(Y154&lt;&gt;"OK","樣品資料待補",IF(T154=0,"測項未建或重複",IF(INDEX(DB_04[啟用],T154)&lt;&gt;"是","測項停用",IF(AND(Z154&lt;&gt;"OK",Z154&lt;&gt;"不適用"),Z154,IF(AND(AB154&lt;&gt;"OK",AB154&lt;&gt;"已換算"),"單位待核",IF(AA154&lt;&gt;"OK",AA154,"OK"))))))))</f>
        <v/>
      </c>
      <c r="AG154" s="93">
        <f>IF(COUNTA($A154:$D154)=0,"",IF(N154="ND","ND取0",IF(OR(N154="&lt;",N154="&lt;="),"界限除以2",IF(N154="NA","不適用",IF(OR(N154="&gt;",N154="&gt;="),"保留界限數值","保留原數值")))))</f>
        <v/>
      </c>
      <c r="AH154" s="92">
        <f>IF(O154="","",IFERROR(_xlfn.NUMBERVALUE(O154,".",","),""))</f>
        <v/>
      </c>
      <c r="AI154" s="92">
        <f>IF(H154="","",IFERROR(MATCH(H154,Samples[樣品編號],0),0))</f>
        <v/>
      </c>
    </row>
    <row r="155">
      <c r="A155" s="27" t="inlineStr">
        <is>
          <t>總有機碳</t>
        </is>
      </c>
      <c r="B155" s="28" t="inlineStr">
        <is>
          <t>0.47</t>
        </is>
      </c>
      <c r="C155" s="27" t="inlineStr">
        <is>
          <t>%</t>
        </is>
      </c>
      <c r="D155" s="39" t="inlineStr">
        <is>
          <t>合成資料，非實測；method=lab; basis=dry</t>
        </is>
      </c>
      <c r="E155" s="29">
        <f>IF(OR(I155="",I155=0),"",IF(INDEX(Samples[監測點],I155)="","",INDEX(Samples[監測點],I155)))</f>
        <v/>
      </c>
      <c r="F155" s="90">
        <f>IF(OR(I155="",I155=0),"",IF(INDEX(Samples[採樣日期],I155)="","",INDEX(Samples[採樣日期],I155)))</f>
        <v/>
      </c>
      <c r="G155" s="91">
        <f>IF(OR(M155="",M155="NA",M155="N/A"),"",IF(OR(M155="ND",M155="N.D."),0,IFERROR(IF(OR(OR(ISNUMBER(SEARCH("%",O155)),ISNUMBER(SEARCH(" ",O155)),ISNUMBER(SEARCH(",",O155))),OR(SUBSTITUTE(SUBSTITUTE(SUBSTITUTE(SUBSTITUTE(SUBSTITUTE(SUBSTITUTE(SUBSTITUTE(SUBSTITUTE(SUBSTITUTE(SUBSTITUTE(SUBSTITUTE(SUBSTITUTE(SUBSTITUTE(SUBSTITUTE(SUBSTITUTE(SUBSTITUTE(SUBSTITUTE(SUBSTITUTE("x"&amp;M155,"0",""),"1",""),"2",""),"3",""),"4",""),"5",""),"6",""),"7",""),"8",""),"9",""),".",""),"E",""),"+",""),"-",""),"&lt;",""),"&gt;",""),"=","")," ","")&lt;&gt;"x",ISNUMBER(SEARCH("-",SUBSTITUTE(SUBSTITUTE("x"&amp;MID(M155,2,99),"E-","E"),"E+","E"))),ISNUMBER(SEARCH("+",SUBSTITUTE(SUBSTITUTE("x"&amp;MID(M155,2,99),"E-","E"),"E+","E"))))),"",IF(AND(OR(LEFT(M155,1)="&lt;",LEFT(M155,1)="&gt;"),IF(O155="",0,IF(ISNUMBER(AH155),AH155,NA()))&lt;0),"",IF(O155="",0,IF(ISNUMBER(AH155),AH155,NA()))/IF(LEFT(M155,1)="&lt;",2,1))),"")))</f>
        <v/>
      </c>
      <c r="H155" s="57" t="inlineStr">
        <is>
          <t>BH04-S_20260115_02</t>
        </is>
      </c>
      <c r="I155" s="92">
        <f>IF(OR(H155="",AI155=0),0,IF(INDEX(Samples[樣品重複筆數],AI155)=1,AI155,0))</f>
        <v/>
      </c>
      <c r="J155" s="92">
        <f>IF(OR(COUNTA($A155:$D155)=0,I155=0),"",IF(INDEX(Samples[介質],I155)="","",INDEX(Samples[介質],I155)))</f>
        <v/>
      </c>
      <c r="K155" s="92">
        <f>IF(OR(COUNTA($A155:$D155)=0,T155=0),"",IF(INDEX(DB_04[標準單位],T155)="","",INDEX(DB_04[標準單位],T155)))</f>
        <v/>
      </c>
      <c r="L155" s="92">
        <f>IF(COUNTA($A155:$D155)=0,"",IF(OR(C155="",K155=""),"",IF(C155=K155,1,IF(COUNTIFS(DB_06[換算鍵],C155&amp;"|"&amp;K155,DB_06[換算檢查],"OK")=1,INDEX(DB_06[乘數],MATCH(C155&amp;"|"&amp;K155,DB_06[換算鍵],0)),""))))</f>
        <v/>
      </c>
      <c r="M155" s="92">
        <f>UPPER(SUBSTITUTE(SUBSTITUTE(SUBSTITUTE(SUBSTITUTE(TRIM(B155&amp;""),"＜","&lt;"),"＞","&gt;"),"≤","&lt;="),"≥","&gt;="))</f>
        <v/>
      </c>
      <c r="N155" s="92">
        <f>IF(M155="","",IF(OR(M155="ND",M155="N.D."),"ND",IF(OR(M155="NA",M155="N/A",M155="N.A."),"NA",IF(OR(LEFT(M155,2)="&lt;=",LEFT(M155,2)="&gt;="),LEFT(M155,2),IF(OR(LEFT(M155,1)="&lt;",LEFT(M155,1)="&gt;"),LEFT(M155,1),"數值")))))</f>
        <v/>
      </c>
      <c r="O155" s="92">
        <f>IF(OR(N155="",N155="ND",N155="NA"),"",IF(N155="數值",M155,TRIM(MID(M155,LEN(N155)+1,99))))</f>
        <v/>
      </c>
      <c r="P155" s="92">
        <f>IF(O155="","",IFERROR(IF(OR(OR(ISNUMBER(SEARCH("%",O155)),ISNUMBER(SEARCH(" ",O155)),ISNUMBER(SEARCH(",",O155))),OR(SUBSTITUTE(SUBSTITUTE(SUBSTITUTE(SUBSTITUTE(SUBSTITUTE(SUBSTITUTE(SUBSTITUTE(SUBSTITUTE(SUBSTITUTE(SUBSTITUTE(SUBSTITUTE(SUBSTITUTE(SUBSTITUTE(SUBSTITUTE(SUBSTITUTE(SUBSTITUTE(SUBSTITUTE(SUBSTITUTE("x"&amp;O155,"0",""),"1",""),"2",""),"3",""),"4",""),"5",""),"6",""),"7",""),"8",""),"9",""),".",""),"E",""),"+",""),"-",""),"&lt;",""),"&gt;",""),"=","")," ","")&lt;&gt;"x",ISNUMBER(SEARCH("-",SUBSTITUTE(SUBSTITUTE("x"&amp;MID(O155,2,99),"E-","E"),"E+","E"))),ISNUMBER(SEARCH("+",SUBSTITUTE(SUBSTITUTE("x"&amp;MID(O155,2,99),"E-","E"),"E+","E"))))),"",IF(ISNUMBER(AH155),AH155,NA())),""))</f>
        <v/>
      </c>
      <c r="Q155" s="92">
        <f>IF(AND(ISNUMBER(L155),ISNUMBER(P155)),L155*P155,"")</f>
        <v/>
      </c>
      <c r="R155" s="92">
        <f>IF(OR(COUNTA($A155:$D155)=0,U155=0),"",IF(INDEX(DB_05[管制設定值],U155)="","",INDEX(DB_05[管制設定值],U155)))</f>
        <v/>
      </c>
      <c r="S155" s="92">
        <f>IF(OR(COUNTA($A155:$D155)=0,U155=0),"",IF(INDEX(DB_05[監測設定值],U155)="","",INDEX(DB_05[監測設定值],U155)))</f>
        <v/>
      </c>
      <c r="T155" s="92">
        <f>IF(COUNTA($A155:$D155)=0,"",IF(COUNTIFS(DB_04[測項鍵],V155)=1,MATCH(V155,DB_04[測項鍵],0),0))</f>
        <v/>
      </c>
      <c r="U155" s="92">
        <f>IF(COUNTA($A155:$D155)=0,"",IF(COUNTIFS(DB_05[標準鍵],W155)=1,MATCH(W155,DB_05[標準鍵],0),0))</f>
        <v/>
      </c>
      <c r="V155" s="92">
        <f>IF(OR(J155="",A155=""),"",J155&amp;"|"&amp;A155)</f>
        <v/>
      </c>
      <c r="W155" s="92">
        <f>IF(OR('07_QAQC'!$C$3="",V155=""),"",'07_QAQC'!$C$3&amp;"|"&amp;V155)</f>
        <v/>
      </c>
      <c r="X155" s="92">
        <f>IF(OR(H155="",A155=""),"",LEN(H155)&amp;":"&amp;H155&amp;LEN(A155)&amp;":"&amp;A155)</f>
        <v/>
      </c>
      <c r="Y155" s="93">
        <f>IF(COUNTA($A155:$D155)=0,"",IF(I155=0,"樣品未建或重複",IF(INDEX(Samples[樣品檢查],I155)="","OK",INDEX(Samples[樣品檢查],I155))))</f>
        <v/>
      </c>
      <c r="Z155" s="93">
        <f>IF(COUNTA($A155:$D155)=0,"",IF(B155="","缺原始值",IF(OR(B155="-",B155="--"),"無資料",IF(N155="NA","不適用",IF(N155="ND","OK",IF(NOT(ISNUMBER(P155)),"格式待核",IF(AND(N155&lt;&gt;"數值",P155&lt;0),"界限不得為負","OK")))))))</f>
        <v/>
      </c>
      <c r="AA155" s="93">
        <f>IF(COUNTA(A155:D155)=0,"",IF(OR(A155="",H155=""),"缺識別欄位",IF(IF(LEN("="&amp;SUBSTITUTE(SUBSTITUTE(SUBSTITUTE(X155,"~","~~"),"*","~*"),"?","~?"))&lt;=255,COUNTIF(Results[結果識別鍵],"="&amp;SUBSTITUTE(SUBSTITUTE(SUBSTITUTE(X155,"~","~~"),"*","~*"),"?","~?")),COUNTIFS(Results[關聯鍵],"="&amp;SUBSTITUTE(SUBSTITUTE(SUBSTITUTE(H155,"~","~~"),"*","~*"),"?","~?"),Results[分析項目],"="&amp;SUBSTITUTE(SUBSTITUTE(SUBSTITUTE(A155,"~","~~"),"*","~*"),"?","~?")))&gt;1,"同關聯鍵測項重複","OK")))</f>
        <v/>
      </c>
      <c r="AB155" s="93">
        <f>IF(COUNTA($A155:$D155)=0,"",IF(OR(C155="",K155=""),"缺單位",IF(NOT(ISNUMBER(L155)),"單位不相容",IF(L155=1,"OK","已換算"))))</f>
        <v/>
      </c>
      <c r="AC155" s="93">
        <f>IF(COUNTA($A155:$D155)=0,"",IF('07_QAQC'!$C$3="","未選比較版本",IF(U155=0,IF(COUNTIFS(DB_05[標準鍵],W155)&gt;1,"標準鍵重複","未訂此介質／測項門檻"),IF(INDEX(DB_05[版本檢查],U155)&lt;&gt;"OK","標準主檔待核",IF(INDEX(DB_05[標準單位],U155)&lt;&gt;K155,"標準單位不符",IF(INDEX(DB_05[核對狀態],U155)="停用","停用",IF(F155="","缺採樣日期",IF(OR(AND(INDEX(DB_05[生效日],U155)&lt;&gt;"",F155&lt;INDEX(DB_05[生效日],U155)),AND(INDEX(DB_05[失效日],U155)&lt;&gt;"",F155&gt;INDEX(DB_05[失效日],U155))),"日期不適用",INDEX(DB_05[核對狀態],U155)))))))))</f>
        <v/>
      </c>
      <c r="AD155" s="93">
        <f>IF(COUNTA($A155:$D155)=0,"",IF(AC155="未訂此介質／測項門檻",AC155,IF(AC155&lt;&gt;"已核對","標準待核",IF(R155="","未訂管制值",IF(NOT(ISNUMBER(L155)),"單位待核",IF(N155="ND","無法判定（ND無界限）",IF(N155="NA","不適用",IF(Z155&lt;&gt;"OK",Z155,IF(N155="數值",IF(Q155&gt;=R155,"達管制值","未達管制值"),IF(OR(N155="&lt;",N155="&lt;="),IF(OR(Q155&lt;R155,AND(N155="&lt;",Q155=R155)),"未達管制值","無法判定"),IF(OR(N155="&gt;",N155="&gt;="),IF(Q155&gt;=R155,"達管制值","無法判定"),"格式待核")))))))))))</f>
        <v/>
      </c>
      <c r="AE155" s="93">
        <f>IF(COUNTA($A155:$D155)=0,"",IF(AC155="未訂此介質／測項門檻",AC155,IF(AC155&lt;&gt;"已核對","標準待核",IF(S155="","未訂監測值",IF(NOT(ISNUMBER(L155)),"單位待核",IF(N155="ND","無法判定（ND無界限）",IF(N155="NA","不適用",IF(Z155&lt;&gt;"OK",Z155,IF(N155="數值",IF(Q155&gt;=S155,"達監測值","未達監測值"),IF(OR(N155="&lt;",N155="&lt;="),IF(OR(Q155&lt;S155,AND(N155="&lt;",Q155=S155)),"未達監測值","無法判定"),IF(OR(N155="&gt;",N155="&gt;="),IF(Q155&gt;=S155,"達監測值","無法判定"),"格式待核")))))))))))</f>
        <v/>
      </c>
      <c r="AF155" s="93">
        <f>IF(COUNTA($A155:$D155)=0,"",IF(OR(E155="",A155="",B155="",C155=""),"缺必要欄位",IF(Y155&lt;&gt;"OK","樣品資料待補",IF(T155=0,"測項未建或重複",IF(INDEX(DB_04[啟用],T155)&lt;&gt;"是","測項停用",IF(AND(Z155&lt;&gt;"OK",Z155&lt;&gt;"不適用"),Z155,IF(AND(AB155&lt;&gt;"OK",AB155&lt;&gt;"已換算"),"單位待核",IF(AA155&lt;&gt;"OK",AA155,"OK"))))))))</f>
        <v/>
      </c>
      <c r="AG155" s="93">
        <f>IF(COUNTA($A155:$D155)=0,"",IF(N155="ND","ND取0",IF(OR(N155="&lt;",N155="&lt;="),"界限除以2",IF(N155="NA","不適用",IF(OR(N155="&gt;",N155="&gt;="),"保留界限數值","保留原數值")))))</f>
        <v/>
      </c>
      <c r="AH155" s="92">
        <f>IF(O155="","",IFERROR(_xlfn.NUMBERVALUE(O155,".",","),""))</f>
        <v/>
      </c>
      <c r="AI155" s="92">
        <f>IF(H155="","",IFERROR(MATCH(H155,Samples[樣品編號],0),0))</f>
        <v/>
      </c>
    </row>
    <row r="156">
      <c r="A156" s="27" t="inlineStr">
        <is>
          <t>pH</t>
        </is>
      </c>
      <c r="B156" s="28" t="inlineStr">
        <is>
          <t>6.8</t>
        </is>
      </c>
      <c r="C156" s="27" t="inlineStr">
        <is>
          <t>無因次</t>
        </is>
      </c>
      <c r="D156" s="39" t="inlineStr">
        <is>
          <t>合成資料，非實測；method=field</t>
        </is>
      </c>
      <c r="E156" s="29">
        <f>IF(OR(I156="",I156=0),"",IF(INDEX(Samples[監測點],I156)="","",INDEX(Samples[監測點],I156)))</f>
        <v/>
      </c>
      <c r="F156" s="90">
        <f>IF(OR(I156="",I156=0),"",IF(INDEX(Samples[採樣日期],I156)="","",INDEX(Samples[採樣日期],I156)))</f>
        <v/>
      </c>
      <c r="G156" s="91">
        <f>IF(OR(M156="",M156="NA",M156="N/A"),"",IF(OR(M156="ND",M156="N.D."),0,IFERROR(IF(OR(OR(ISNUMBER(SEARCH("%",O156)),ISNUMBER(SEARCH(" ",O156)),ISNUMBER(SEARCH(",",O156))),OR(SUBSTITUTE(SUBSTITUTE(SUBSTITUTE(SUBSTITUTE(SUBSTITUTE(SUBSTITUTE(SUBSTITUTE(SUBSTITUTE(SUBSTITUTE(SUBSTITUTE(SUBSTITUTE(SUBSTITUTE(SUBSTITUTE(SUBSTITUTE(SUBSTITUTE(SUBSTITUTE(SUBSTITUTE(SUBSTITUTE("x"&amp;M156,"0",""),"1",""),"2",""),"3",""),"4",""),"5",""),"6",""),"7",""),"8",""),"9",""),".",""),"E",""),"+",""),"-",""),"&lt;",""),"&gt;",""),"=","")," ","")&lt;&gt;"x",ISNUMBER(SEARCH("-",SUBSTITUTE(SUBSTITUTE("x"&amp;MID(M156,2,99),"E-","E"),"E+","E"))),ISNUMBER(SEARCH("+",SUBSTITUTE(SUBSTITUTE("x"&amp;MID(M156,2,99),"E-","E"),"E+","E"))))),"",IF(AND(OR(LEFT(M156,1)="&lt;",LEFT(M156,1)="&gt;"),IF(O156="",0,IF(ISNUMBER(AH156),AH156,NA()))&lt;0),"",IF(O156="",0,IF(ISNUMBER(AH156),AH156,NA()))/IF(LEFT(M156,1)="&lt;",2,1))),"")))</f>
        <v/>
      </c>
      <c r="H156" s="57" t="inlineStr">
        <is>
          <t>BH04-W_20260115_02</t>
        </is>
      </c>
      <c r="I156" s="92">
        <f>IF(OR(H156="",AI156=0),0,IF(INDEX(Samples[樣品重複筆數],AI156)=1,AI156,0))</f>
        <v/>
      </c>
      <c r="J156" s="92">
        <f>IF(OR(COUNTA($A156:$D156)=0,I156=0),"",IF(INDEX(Samples[介質],I156)="","",INDEX(Samples[介質],I156)))</f>
        <v/>
      </c>
      <c r="K156" s="92">
        <f>IF(OR(COUNTA($A156:$D156)=0,T156=0),"",IF(INDEX(DB_04[標準單位],T156)="","",INDEX(DB_04[標準單位],T156)))</f>
        <v/>
      </c>
      <c r="L156" s="92">
        <f>IF(COUNTA($A156:$D156)=0,"",IF(OR(C156="",K156=""),"",IF(C156=K156,1,IF(COUNTIFS(DB_06[換算鍵],C156&amp;"|"&amp;K156,DB_06[換算檢查],"OK")=1,INDEX(DB_06[乘數],MATCH(C156&amp;"|"&amp;K156,DB_06[換算鍵],0)),""))))</f>
        <v/>
      </c>
      <c r="M156" s="92">
        <f>UPPER(SUBSTITUTE(SUBSTITUTE(SUBSTITUTE(SUBSTITUTE(TRIM(B156&amp;""),"＜","&lt;"),"＞","&gt;"),"≤","&lt;="),"≥","&gt;="))</f>
        <v/>
      </c>
      <c r="N156" s="92">
        <f>IF(M156="","",IF(OR(M156="ND",M156="N.D."),"ND",IF(OR(M156="NA",M156="N/A",M156="N.A."),"NA",IF(OR(LEFT(M156,2)="&lt;=",LEFT(M156,2)="&gt;="),LEFT(M156,2),IF(OR(LEFT(M156,1)="&lt;",LEFT(M156,1)="&gt;"),LEFT(M156,1),"數值")))))</f>
        <v/>
      </c>
      <c r="O156" s="92">
        <f>IF(OR(N156="",N156="ND",N156="NA"),"",IF(N156="數值",M156,TRIM(MID(M156,LEN(N156)+1,99))))</f>
        <v/>
      </c>
      <c r="P156" s="92">
        <f>IF(O156="","",IFERROR(IF(OR(OR(ISNUMBER(SEARCH("%",O156)),ISNUMBER(SEARCH(" ",O156)),ISNUMBER(SEARCH(",",O156))),OR(SUBSTITUTE(SUBSTITUTE(SUBSTITUTE(SUBSTITUTE(SUBSTITUTE(SUBSTITUTE(SUBSTITUTE(SUBSTITUTE(SUBSTITUTE(SUBSTITUTE(SUBSTITUTE(SUBSTITUTE(SUBSTITUTE(SUBSTITUTE(SUBSTITUTE(SUBSTITUTE(SUBSTITUTE(SUBSTITUTE("x"&amp;O156,"0",""),"1",""),"2",""),"3",""),"4",""),"5",""),"6",""),"7",""),"8",""),"9",""),".",""),"E",""),"+",""),"-",""),"&lt;",""),"&gt;",""),"=","")," ","")&lt;&gt;"x",ISNUMBER(SEARCH("-",SUBSTITUTE(SUBSTITUTE("x"&amp;MID(O156,2,99),"E-","E"),"E+","E"))),ISNUMBER(SEARCH("+",SUBSTITUTE(SUBSTITUTE("x"&amp;MID(O156,2,99),"E-","E"),"E+","E"))))),"",IF(ISNUMBER(AH156),AH156,NA())),""))</f>
        <v/>
      </c>
      <c r="Q156" s="92">
        <f>IF(AND(ISNUMBER(L156),ISNUMBER(P156)),L156*P156,"")</f>
        <v/>
      </c>
      <c r="R156" s="92">
        <f>IF(OR(COUNTA($A156:$D156)=0,U156=0),"",IF(INDEX(DB_05[管制設定值],U156)="","",INDEX(DB_05[管制設定值],U156)))</f>
        <v/>
      </c>
      <c r="S156" s="92">
        <f>IF(OR(COUNTA($A156:$D156)=0,U156=0),"",IF(INDEX(DB_05[監測設定值],U156)="","",INDEX(DB_05[監測設定值],U156)))</f>
        <v/>
      </c>
      <c r="T156" s="92">
        <f>IF(COUNTA($A156:$D156)=0,"",IF(COUNTIFS(DB_04[測項鍵],V156)=1,MATCH(V156,DB_04[測項鍵],0),0))</f>
        <v/>
      </c>
      <c r="U156" s="92">
        <f>IF(COUNTA($A156:$D156)=0,"",IF(COUNTIFS(DB_05[標準鍵],W156)=1,MATCH(W156,DB_05[標準鍵],0),0))</f>
        <v/>
      </c>
      <c r="V156" s="92">
        <f>IF(OR(J156="",A156=""),"",J156&amp;"|"&amp;A156)</f>
        <v/>
      </c>
      <c r="W156" s="92">
        <f>IF(OR('07_QAQC'!$C$3="",V156=""),"",'07_QAQC'!$C$3&amp;"|"&amp;V156)</f>
        <v/>
      </c>
      <c r="X156" s="92">
        <f>IF(OR(H156="",A156=""),"",LEN(H156)&amp;":"&amp;H156&amp;LEN(A156)&amp;":"&amp;A156)</f>
        <v/>
      </c>
      <c r="Y156" s="93">
        <f>IF(COUNTA($A156:$D156)=0,"",IF(I156=0,"樣品未建或重複",IF(INDEX(Samples[樣品檢查],I156)="","OK",INDEX(Samples[樣品檢查],I156))))</f>
        <v/>
      </c>
      <c r="Z156" s="93">
        <f>IF(COUNTA($A156:$D156)=0,"",IF(B156="","缺原始值",IF(OR(B156="-",B156="--"),"無資料",IF(N156="NA","不適用",IF(N156="ND","OK",IF(NOT(ISNUMBER(P156)),"格式待核",IF(AND(N156&lt;&gt;"數值",P156&lt;0),"界限不得為負","OK")))))))</f>
        <v/>
      </c>
      <c r="AA156" s="93">
        <f>IF(COUNTA(A156:D156)=0,"",IF(OR(A156="",H156=""),"缺識別欄位",IF(IF(LEN("="&amp;SUBSTITUTE(SUBSTITUTE(SUBSTITUTE(X156,"~","~~"),"*","~*"),"?","~?"))&lt;=255,COUNTIF(Results[結果識別鍵],"="&amp;SUBSTITUTE(SUBSTITUTE(SUBSTITUTE(X156,"~","~~"),"*","~*"),"?","~?")),COUNTIFS(Results[關聯鍵],"="&amp;SUBSTITUTE(SUBSTITUTE(SUBSTITUTE(H156,"~","~~"),"*","~*"),"?","~?"),Results[分析項目],"="&amp;SUBSTITUTE(SUBSTITUTE(SUBSTITUTE(A156,"~","~~"),"*","~*"),"?","~?")))&gt;1,"同關聯鍵測項重複","OK")))</f>
        <v/>
      </c>
      <c r="AB156" s="93">
        <f>IF(COUNTA($A156:$D156)=0,"",IF(OR(C156="",K156=""),"缺單位",IF(NOT(ISNUMBER(L156)),"單位不相容",IF(L156=1,"OK","已換算"))))</f>
        <v/>
      </c>
      <c r="AC156" s="93">
        <f>IF(COUNTA($A156:$D156)=0,"",IF('07_QAQC'!$C$3="","未選比較版本",IF(U156=0,IF(COUNTIFS(DB_05[標準鍵],W156)&gt;1,"標準鍵重複","未訂此介質／測項門檻"),IF(INDEX(DB_05[版本檢查],U156)&lt;&gt;"OK","標準主檔待核",IF(INDEX(DB_05[標準單位],U156)&lt;&gt;K156,"標準單位不符",IF(INDEX(DB_05[核對狀態],U156)="停用","停用",IF(F156="","缺採樣日期",IF(OR(AND(INDEX(DB_05[生效日],U156)&lt;&gt;"",F156&lt;INDEX(DB_05[生效日],U156)),AND(INDEX(DB_05[失效日],U156)&lt;&gt;"",F156&gt;INDEX(DB_05[失效日],U156))),"日期不適用",INDEX(DB_05[核對狀態],U156)))))))))</f>
        <v/>
      </c>
      <c r="AD156" s="93">
        <f>IF(COUNTA($A156:$D156)=0,"",IF(AC156="未訂此介質／測項門檻",AC156,IF(AC156&lt;&gt;"已核對","標準待核",IF(R156="","未訂管制值",IF(NOT(ISNUMBER(L156)),"單位待核",IF(N156="ND","無法判定（ND無界限）",IF(N156="NA","不適用",IF(Z156&lt;&gt;"OK",Z156,IF(N156="數值",IF(Q156&gt;=R156,"達管制值","未達管制值"),IF(OR(N156="&lt;",N156="&lt;="),IF(OR(Q156&lt;R156,AND(N156="&lt;",Q156=R156)),"未達管制值","無法判定"),IF(OR(N156="&gt;",N156="&gt;="),IF(Q156&gt;=R156,"達管制值","無法判定"),"格式待核")))))))))))</f>
        <v/>
      </c>
      <c r="AE156" s="93">
        <f>IF(COUNTA($A156:$D156)=0,"",IF(AC156="未訂此介質／測項門檻",AC156,IF(AC156&lt;&gt;"已核對","標準待核",IF(S156="","未訂監測值",IF(NOT(ISNUMBER(L156)),"單位待核",IF(N156="ND","無法判定（ND無界限）",IF(N156="NA","不適用",IF(Z156&lt;&gt;"OK",Z156,IF(N156="數值",IF(Q156&gt;=S156,"達監測值","未達監測值"),IF(OR(N156="&lt;",N156="&lt;="),IF(OR(Q156&lt;S156,AND(N156="&lt;",Q156=S156)),"未達監測值","無法判定"),IF(OR(N156="&gt;",N156="&gt;="),IF(Q156&gt;=S156,"達監測值","無法判定"),"格式待核")))))))))))</f>
        <v/>
      </c>
      <c r="AF156" s="93">
        <f>IF(COUNTA($A156:$D156)=0,"",IF(OR(E156="",A156="",B156="",C156=""),"缺必要欄位",IF(Y156&lt;&gt;"OK","樣品資料待補",IF(T156=0,"測項未建或重複",IF(INDEX(DB_04[啟用],T156)&lt;&gt;"是","測項停用",IF(AND(Z156&lt;&gt;"OK",Z156&lt;&gt;"不適用"),Z156,IF(AND(AB156&lt;&gt;"OK",AB156&lt;&gt;"已換算"),"單位待核",IF(AA156&lt;&gt;"OK",AA156,"OK"))))))))</f>
        <v/>
      </c>
      <c r="AG156" s="93">
        <f>IF(COUNTA($A156:$D156)=0,"",IF(N156="ND","ND取0",IF(OR(N156="&lt;",N156="&lt;="),"界限除以2",IF(N156="NA","不適用",IF(OR(N156="&gt;",N156="&gt;="),"保留界限數值","保留原數值")))))</f>
        <v/>
      </c>
      <c r="AH156" s="92">
        <f>IF(O156="","",IFERROR(_xlfn.NUMBERVALUE(O156,".",","),""))</f>
        <v/>
      </c>
      <c r="AI156" s="92">
        <f>IF(H156="","",IFERROR(MATCH(H156,Samples[樣品編號],0),0))</f>
        <v/>
      </c>
    </row>
    <row r="157">
      <c r="A157" s="27" t="inlineStr">
        <is>
          <t>EC</t>
        </is>
      </c>
      <c r="B157" s="28" t="inlineStr">
        <is>
          <t>0.62</t>
        </is>
      </c>
      <c r="C157" s="27" t="inlineStr">
        <is>
          <t>mS/cm</t>
        </is>
      </c>
      <c r="D157" s="39" t="inlineStr">
        <is>
          <t>合成資料，非實測；method=field; temperature=25; temperature_compensated=25C; reference_temperature=25</t>
        </is>
      </c>
      <c r="E157" s="29">
        <f>IF(OR(I157="",I157=0),"",IF(INDEX(Samples[監測點],I157)="","",INDEX(Samples[監測點],I157)))</f>
        <v/>
      </c>
      <c r="F157" s="90">
        <f>IF(OR(I157="",I157=0),"",IF(INDEX(Samples[採樣日期],I157)="","",INDEX(Samples[採樣日期],I157)))</f>
        <v/>
      </c>
      <c r="G157" s="91">
        <f>IF(OR(M157="",M157="NA",M157="N/A"),"",IF(OR(M157="ND",M157="N.D."),0,IFERROR(IF(OR(OR(ISNUMBER(SEARCH("%",O157)),ISNUMBER(SEARCH(" ",O157)),ISNUMBER(SEARCH(",",O157))),OR(SUBSTITUTE(SUBSTITUTE(SUBSTITUTE(SUBSTITUTE(SUBSTITUTE(SUBSTITUTE(SUBSTITUTE(SUBSTITUTE(SUBSTITUTE(SUBSTITUTE(SUBSTITUTE(SUBSTITUTE(SUBSTITUTE(SUBSTITUTE(SUBSTITUTE(SUBSTITUTE(SUBSTITUTE(SUBSTITUTE("x"&amp;M157,"0",""),"1",""),"2",""),"3",""),"4",""),"5",""),"6",""),"7",""),"8",""),"9",""),".",""),"E",""),"+",""),"-",""),"&lt;",""),"&gt;",""),"=","")," ","")&lt;&gt;"x",ISNUMBER(SEARCH("-",SUBSTITUTE(SUBSTITUTE("x"&amp;MID(M157,2,99),"E-","E"),"E+","E"))),ISNUMBER(SEARCH("+",SUBSTITUTE(SUBSTITUTE("x"&amp;MID(M157,2,99),"E-","E"),"E+","E"))))),"",IF(AND(OR(LEFT(M157,1)="&lt;",LEFT(M157,1)="&gt;"),IF(O157="",0,IF(ISNUMBER(AH157),AH157,NA()))&lt;0),"",IF(O157="",0,IF(ISNUMBER(AH157),AH157,NA()))/IF(LEFT(M157,1)="&lt;",2,1))),"")))</f>
        <v/>
      </c>
      <c r="H157" s="57" t="inlineStr">
        <is>
          <t>BH04-W_20260115_02</t>
        </is>
      </c>
      <c r="I157" s="92">
        <f>IF(OR(H157="",AI157=0),0,IF(INDEX(Samples[樣品重複筆數],AI157)=1,AI157,0))</f>
        <v/>
      </c>
      <c r="J157" s="92">
        <f>IF(OR(COUNTA($A157:$D157)=0,I157=0),"",IF(INDEX(Samples[介質],I157)="","",INDEX(Samples[介質],I157)))</f>
        <v/>
      </c>
      <c r="K157" s="92">
        <f>IF(OR(COUNTA($A157:$D157)=0,T157=0),"",IF(INDEX(DB_04[標準單位],T157)="","",INDEX(DB_04[標準單位],T157)))</f>
        <v/>
      </c>
      <c r="L157" s="92">
        <f>IF(COUNTA($A157:$D157)=0,"",IF(OR(C157="",K157=""),"",IF(C157=K157,1,IF(COUNTIFS(DB_06[換算鍵],C157&amp;"|"&amp;K157,DB_06[換算檢查],"OK")=1,INDEX(DB_06[乘數],MATCH(C157&amp;"|"&amp;K157,DB_06[換算鍵],0)),""))))</f>
        <v/>
      </c>
      <c r="M157" s="92">
        <f>UPPER(SUBSTITUTE(SUBSTITUTE(SUBSTITUTE(SUBSTITUTE(TRIM(B157&amp;""),"＜","&lt;"),"＞","&gt;"),"≤","&lt;="),"≥","&gt;="))</f>
        <v/>
      </c>
      <c r="N157" s="92">
        <f>IF(M157="","",IF(OR(M157="ND",M157="N.D."),"ND",IF(OR(M157="NA",M157="N/A",M157="N.A."),"NA",IF(OR(LEFT(M157,2)="&lt;=",LEFT(M157,2)="&gt;="),LEFT(M157,2),IF(OR(LEFT(M157,1)="&lt;",LEFT(M157,1)="&gt;"),LEFT(M157,1),"數值")))))</f>
        <v/>
      </c>
      <c r="O157" s="92">
        <f>IF(OR(N157="",N157="ND",N157="NA"),"",IF(N157="數值",M157,TRIM(MID(M157,LEN(N157)+1,99))))</f>
        <v/>
      </c>
      <c r="P157" s="92">
        <f>IF(O157="","",IFERROR(IF(OR(OR(ISNUMBER(SEARCH("%",O157)),ISNUMBER(SEARCH(" ",O157)),ISNUMBER(SEARCH(",",O157))),OR(SUBSTITUTE(SUBSTITUTE(SUBSTITUTE(SUBSTITUTE(SUBSTITUTE(SUBSTITUTE(SUBSTITUTE(SUBSTITUTE(SUBSTITUTE(SUBSTITUTE(SUBSTITUTE(SUBSTITUTE(SUBSTITUTE(SUBSTITUTE(SUBSTITUTE(SUBSTITUTE(SUBSTITUTE(SUBSTITUTE("x"&amp;O157,"0",""),"1",""),"2",""),"3",""),"4",""),"5",""),"6",""),"7",""),"8",""),"9",""),".",""),"E",""),"+",""),"-",""),"&lt;",""),"&gt;",""),"=","")," ","")&lt;&gt;"x",ISNUMBER(SEARCH("-",SUBSTITUTE(SUBSTITUTE("x"&amp;MID(O157,2,99),"E-","E"),"E+","E"))),ISNUMBER(SEARCH("+",SUBSTITUTE(SUBSTITUTE("x"&amp;MID(O157,2,99),"E-","E"),"E+","E"))))),"",IF(ISNUMBER(AH157),AH157,NA())),""))</f>
        <v/>
      </c>
      <c r="Q157" s="92">
        <f>IF(AND(ISNUMBER(L157),ISNUMBER(P157)),L157*P157,"")</f>
        <v/>
      </c>
      <c r="R157" s="92">
        <f>IF(OR(COUNTA($A157:$D157)=0,U157=0),"",IF(INDEX(DB_05[管制設定值],U157)="","",INDEX(DB_05[管制設定值],U157)))</f>
        <v/>
      </c>
      <c r="S157" s="92">
        <f>IF(OR(COUNTA($A157:$D157)=0,U157=0),"",IF(INDEX(DB_05[監測設定值],U157)="","",INDEX(DB_05[監測設定值],U157)))</f>
        <v/>
      </c>
      <c r="T157" s="92">
        <f>IF(COUNTA($A157:$D157)=0,"",IF(COUNTIFS(DB_04[測項鍵],V157)=1,MATCH(V157,DB_04[測項鍵],0),0))</f>
        <v/>
      </c>
      <c r="U157" s="92">
        <f>IF(COUNTA($A157:$D157)=0,"",IF(COUNTIFS(DB_05[標準鍵],W157)=1,MATCH(W157,DB_05[標準鍵],0),0))</f>
        <v/>
      </c>
      <c r="V157" s="92">
        <f>IF(OR(J157="",A157=""),"",J157&amp;"|"&amp;A157)</f>
        <v/>
      </c>
      <c r="W157" s="92">
        <f>IF(OR('07_QAQC'!$C$3="",V157=""),"",'07_QAQC'!$C$3&amp;"|"&amp;V157)</f>
        <v/>
      </c>
      <c r="X157" s="92">
        <f>IF(OR(H157="",A157=""),"",LEN(H157)&amp;":"&amp;H157&amp;LEN(A157)&amp;":"&amp;A157)</f>
        <v/>
      </c>
      <c r="Y157" s="93">
        <f>IF(COUNTA($A157:$D157)=0,"",IF(I157=0,"樣品未建或重複",IF(INDEX(Samples[樣品檢查],I157)="","OK",INDEX(Samples[樣品檢查],I157))))</f>
        <v/>
      </c>
      <c r="Z157" s="93">
        <f>IF(COUNTA($A157:$D157)=0,"",IF(B157="","缺原始值",IF(OR(B157="-",B157="--"),"無資料",IF(N157="NA","不適用",IF(N157="ND","OK",IF(NOT(ISNUMBER(P157)),"格式待核",IF(AND(N157&lt;&gt;"數值",P157&lt;0),"界限不得為負","OK")))))))</f>
        <v/>
      </c>
      <c r="AA157" s="93">
        <f>IF(COUNTA(A157:D157)=0,"",IF(OR(A157="",H157=""),"缺識別欄位",IF(IF(LEN("="&amp;SUBSTITUTE(SUBSTITUTE(SUBSTITUTE(X157,"~","~~"),"*","~*"),"?","~?"))&lt;=255,COUNTIF(Results[結果識別鍵],"="&amp;SUBSTITUTE(SUBSTITUTE(SUBSTITUTE(X157,"~","~~"),"*","~*"),"?","~?")),COUNTIFS(Results[關聯鍵],"="&amp;SUBSTITUTE(SUBSTITUTE(SUBSTITUTE(H157,"~","~~"),"*","~*"),"?","~?"),Results[分析項目],"="&amp;SUBSTITUTE(SUBSTITUTE(SUBSTITUTE(A157,"~","~~"),"*","~*"),"?","~?")))&gt;1,"同關聯鍵測項重複","OK")))</f>
        <v/>
      </c>
      <c r="AB157" s="93">
        <f>IF(COUNTA($A157:$D157)=0,"",IF(OR(C157="",K157=""),"缺單位",IF(NOT(ISNUMBER(L157)),"單位不相容",IF(L157=1,"OK","已換算"))))</f>
        <v/>
      </c>
      <c r="AC157" s="93">
        <f>IF(COUNTA($A157:$D157)=0,"",IF('07_QAQC'!$C$3="","未選比較版本",IF(U157=0,IF(COUNTIFS(DB_05[標準鍵],W157)&gt;1,"標準鍵重複","未訂此介質／測項門檻"),IF(INDEX(DB_05[版本檢查],U157)&lt;&gt;"OK","標準主檔待核",IF(INDEX(DB_05[標準單位],U157)&lt;&gt;K157,"標準單位不符",IF(INDEX(DB_05[核對狀態],U157)="停用","停用",IF(F157="","缺採樣日期",IF(OR(AND(INDEX(DB_05[生效日],U157)&lt;&gt;"",F157&lt;INDEX(DB_05[生效日],U157)),AND(INDEX(DB_05[失效日],U157)&lt;&gt;"",F157&gt;INDEX(DB_05[失效日],U157))),"日期不適用",INDEX(DB_05[核對狀態],U157)))))))))</f>
        <v/>
      </c>
      <c r="AD157" s="93">
        <f>IF(COUNTA($A157:$D157)=0,"",IF(AC157="未訂此介質／測項門檻",AC157,IF(AC157&lt;&gt;"已核對","標準待核",IF(R157="","未訂管制值",IF(NOT(ISNUMBER(L157)),"單位待核",IF(N157="ND","無法判定（ND無界限）",IF(N157="NA","不適用",IF(Z157&lt;&gt;"OK",Z157,IF(N157="數值",IF(Q157&gt;=R157,"達管制值","未達管制值"),IF(OR(N157="&lt;",N157="&lt;="),IF(OR(Q157&lt;R157,AND(N157="&lt;",Q157=R157)),"未達管制值","無法判定"),IF(OR(N157="&gt;",N157="&gt;="),IF(Q157&gt;=R157,"達管制值","無法判定"),"格式待核")))))))))))</f>
        <v/>
      </c>
      <c r="AE157" s="93">
        <f>IF(COUNTA($A157:$D157)=0,"",IF(AC157="未訂此介質／測項門檻",AC157,IF(AC157&lt;&gt;"已核對","標準待核",IF(S157="","未訂監測值",IF(NOT(ISNUMBER(L157)),"單位待核",IF(N157="ND","無法判定（ND無界限）",IF(N157="NA","不適用",IF(Z157&lt;&gt;"OK",Z157,IF(N157="數值",IF(Q157&gt;=S157,"達監測值","未達監測值"),IF(OR(N157="&lt;",N157="&lt;="),IF(OR(Q157&lt;S157,AND(N157="&lt;",Q157=S157)),"未達監測值","無法判定"),IF(OR(N157="&gt;",N157="&gt;="),IF(Q157&gt;=S157,"達監測值","無法判定"),"格式待核")))))))))))</f>
        <v/>
      </c>
      <c r="AF157" s="93">
        <f>IF(COUNTA($A157:$D157)=0,"",IF(OR(E157="",A157="",B157="",C157=""),"缺必要欄位",IF(Y157&lt;&gt;"OK","樣品資料待補",IF(T157=0,"測項未建或重複",IF(INDEX(DB_04[啟用],T157)&lt;&gt;"是","測項停用",IF(AND(Z157&lt;&gt;"OK",Z157&lt;&gt;"不適用"),Z157,IF(AND(AB157&lt;&gt;"OK",AB157&lt;&gt;"已換算"),"單位待核",IF(AA157&lt;&gt;"OK",AA157,"OK"))))))))</f>
        <v/>
      </c>
      <c r="AG157" s="93">
        <f>IF(COUNTA($A157:$D157)=0,"",IF(N157="ND","ND取0",IF(OR(N157="&lt;",N157="&lt;="),"界限除以2",IF(N157="NA","不適用",IF(OR(N157="&gt;",N157="&gt;="),"保留界限數值","保留原數值")))))</f>
        <v/>
      </c>
      <c r="AH157" s="92">
        <f>IF(O157="","",IFERROR(_xlfn.NUMBERVALUE(O157,".",","),""))</f>
        <v/>
      </c>
      <c r="AI157" s="92">
        <f>IF(H157="","",IFERROR(MATCH(H157,Samples[樣品編號],0),0))</f>
        <v/>
      </c>
    </row>
    <row r="158">
      <c r="A158" s="27" t="inlineStr">
        <is>
          <t>DO</t>
        </is>
      </c>
      <c r="B158" s="28" t="inlineStr">
        <is>
          <t>4.8</t>
        </is>
      </c>
      <c r="C158" s="27" t="inlineStr">
        <is>
          <t>mg/L</t>
        </is>
      </c>
      <c r="D158" s="39" t="inlineStr">
        <is>
          <t>合成資料，非實測；method=field</t>
        </is>
      </c>
      <c r="E158" s="29">
        <f>IF(OR(I158="",I158=0),"",IF(INDEX(Samples[監測點],I158)="","",INDEX(Samples[監測點],I158)))</f>
        <v/>
      </c>
      <c r="F158" s="90">
        <f>IF(OR(I158="",I158=0),"",IF(INDEX(Samples[採樣日期],I158)="","",INDEX(Samples[採樣日期],I158)))</f>
        <v/>
      </c>
      <c r="G158" s="91">
        <f>IF(OR(M158="",M158="NA",M158="N/A"),"",IF(OR(M158="ND",M158="N.D."),0,IFERROR(IF(OR(OR(ISNUMBER(SEARCH("%",O158)),ISNUMBER(SEARCH(" ",O158)),ISNUMBER(SEARCH(",",O158))),OR(SUBSTITUTE(SUBSTITUTE(SUBSTITUTE(SUBSTITUTE(SUBSTITUTE(SUBSTITUTE(SUBSTITUTE(SUBSTITUTE(SUBSTITUTE(SUBSTITUTE(SUBSTITUTE(SUBSTITUTE(SUBSTITUTE(SUBSTITUTE(SUBSTITUTE(SUBSTITUTE(SUBSTITUTE(SUBSTITUTE("x"&amp;M158,"0",""),"1",""),"2",""),"3",""),"4",""),"5",""),"6",""),"7",""),"8",""),"9",""),".",""),"E",""),"+",""),"-",""),"&lt;",""),"&gt;",""),"=","")," ","")&lt;&gt;"x",ISNUMBER(SEARCH("-",SUBSTITUTE(SUBSTITUTE("x"&amp;MID(M158,2,99),"E-","E"),"E+","E"))),ISNUMBER(SEARCH("+",SUBSTITUTE(SUBSTITUTE("x"&amp;MID(M158,2,99),"E-","E"),"E+","E"))))),"",IF(AND(OR(LEFT(M158,1)="&lt;",LEFT(M158,1)="&gt;"),IF(O158="",0,IF(ISNUMBER(AH158),AH158,NA()))&lt;0),"",IF(O158="",0,IF(ISNUMBER(AH158),AH158,NA()))/IF(LEFT(M158,1)="&lt;",2,1))),"")))</f>
        <v/>
      </c>
      <c r="H158" s="57" t="inlineStr">
        <is>
          <t>BH04-W_20260115_02</t>
        </is>
      </c>
      <c r="I158" s="92">
        <f>IF(OR(H158="",AI158=0),0,IF(INDEX(Samples[樣品重複筆數],AI158)=1,AI158,0))</f>
        <v/>
      </c>
      <c r="J158" s="92">
        <f>IF(OR(COUNTA($A158:$D158)=0,I158=0),"",IF(INDEX(Samples[介質],I158)="","",INDEX(Samples[介質],I158)))</f>
        <v/>
      </c>
      <c r="K158" s="92">
        <f>IF(OR(COUNTA($A158:$D158)=0,T158=0),"",IF(INDEX(DB_04[標準單位],T158)="","",INDEX(DB_04[標準單位],T158)))</f>
        <v/>
      </c>
      <c r="L158" s="92">
        <f>IF(COUNTA($A158:$D158)=0,"",IF(OR(C158="",K158=""),"",IF(C158=K158,1,IF(COUNTIFS(DB_06[換算鍵],C158&amp;"|"&amp;K158,DB_06[換算檢查],"OK")=1,INDEX(DB_06[乘數],MATCH(C158&amp;"|"&amp;K158,DB_06[換算鍵],0)),""))))</f>
        <v/>
      </c>
      <c r="M158" s="92">
        <f>UPPER(SUBSTITUTE(SUBSTITUTE(SUBSTITUTE(SUBSTITUTE(TRIM(B158&amp;""),"＜","&lt;"),"＞","&gt;"),"≤","&lt;="),"≥","&gt;="))</f>
        <v/>
      </c>
      <c r="N158" s="92">
        <f>IF(M158="","",IF(OR(M158="ND",M158="N.D."),"ND",IF(OR(M158="NA",M158="N/A",M158="N.A."),"NA",IF(OR(LEFT(M158,2)="&lt;=",LEFT(M158,2)="&gt;="),LEFT(M158,2),IF(OR(LEFT(M158,1)="&lt;",LEFT(M158,1)="&gt;"),LEFT(M158,1),"數值")))))</f>
        <v/>
      </c>
      <c r="O158" s="92">
        <f>IF(OR(N158="",N158="ND",N158="NA"),"",IF(N158="數值",M158,TRIM(MID(M158,LEN(N158)+1,99))))</f>
        <v/>
      </c>
      <c r="P158" s="92">
        <f>IF(O158="","",IFERROR(IF(OR(OR(ISNUMBER(SEARCH("%",O158)),ISNUMBER(SEARCH(" ",O158)),ISNUMBER(SEARCH(",",O158))),OR(SUBSTITUTE(SUBSTITUTE(SUBSTITUTE(SUBSTITUTE(SUBSTITUTE(SUBSTITUTE(SUBSTITUTE(SUBSTITUTE(SUBSTITUTE(SUBSTITUTE(SUBSTITUTE(SUBSTITUTE(SUBSTITUTE(SUBSTITUTE(SUBSTITUTE(SUBSTITUTE(SUBSTITUTE(SUBSTITUTE("x"&amp;O158,"0",""),"1",""),"2",""),"3",""),"4",""),"5",""),"6",""),"7",""),"8",""),"9",""),".",""),"E",""),"+",""),"-",""),"&lt;",""),"&gt;",""),"=","")," ","")&lt;&gt;"x",ISNUMBER(SEARCH("-",SUBSTITUTE(SUBSTITUTE("x"&amp;MID(O158,2,99),"E-","E"),"E+","E"))),ISNUMBER(SEARCH("+",SUBSTITUTE(SUBSTITUTE("x"&amp;MID(O158,2,99),"E-","E"),"E+","E"))))),"",IF(ISNUMBER(AH158),AH158,NA())),""))</f>
        <v/>
      </c>
      <c r="Q158" s="92">
        <f>IF(AND(ISNUMBER(L158),ISNUMBER(P158)),L158*P158,"")</f>
        <v/>
      </c>
      <c r="R158" s="92">
        <f>IF(OR(COUNTA($A158:$D158)=0,U158=0),"",IF(INDEX(DB_05[管制設定值],U158)="","",INDEX(DB_05[管制設定值],U158)))</f>
        <v/>
      </c>
      <c r="S158" s="92">
        <f>IF(OR(COUNTA($A158:$D158)=0,U158=0),"",IF(INDEX(DB_05[監測設定值],U158)="","",INDEX(DB_05[監測設定值],U158)))</f>
        <v/>
      </c>
      <c r="T158" s="92">
        <f>IF(COUNTA($A158:$D158)=0,"",IF(COUNTIFS(DB_04[測項鍵],V158)=1,MATCH(V158,DB_04[測項鍵],0),0))</f>
        <v/>
      </c>
      <c r="U158" s="92">
        <f>IF(COUNTA($A158:$D158)=0,"",IF(COUNTIFS(DB_05[標準鍵],W158)=1,MATCH(W158,DB_05[標準鍵],0),0))</f>
        <v/>
      </c>
      <c r="V158" s="92">
        <f>IF(OR(J158="",A158=""),"",J158&amp;"|"&amp;A158)</f>
        <v/>
      </c>
      <c r="W158" s="92">
        <f>IF(OR('07_QAQC'!$C$3="",V158=""),"",'07_QAQC'!$C$3&amp;"|"&amp;V158)</f>
        <v/>
      </c>
      <c r="X158" s="92">
        <f>IF(OR(H158="",A158=""),"",LEN(H158)&amp;":"&amp;H158&amp;LEN(A158)&amp;":"&amp;A158)</f>
        <v/>
      </c>
      <c r="Y158" s="93">
        <f>IF(COUNTA($A158:$D158)=0,"",IF(I158=0,"樣品未建或重複",IF(INDEX(Samples[樣品檢查],I158)="","OK",INDEX(Samples[樣品檢查],I158))))</f>
        <v/>
      </c>
      <c r="Z158" s="93">
        <f>IF(COUNTA($A158:$D158)=0,"",IF(B158="","缺原始值",IF(OR(B158="-",B158="--"),"無資料",IF(N158="NA","不適用",IF(N158="ND","OK",IF(NOT(ISNUMBER(P158)),"格式待核",IF(AND(N158&lt;&gt;"數值",P158&lt;0),"界限不得為負","OK")))))))</f>
        <v/>
      </c>
      <c r="AA158" s="93">
        <f>IF(COUNTA(A158:D158)=0,"",IF(OR(A158="",H158=""),"缺識別欄位",IF(IF(LEN("="&amp;SUBSTITUTE(SUBSTITUTE(SUBSTITUTE(X158,"~","~~"),"*","~*"),"?","~?"))&lt;=255,COUNTIF(Results[結果識別鍵],"="&amp;SUBSTITUTE(SUBSTITUTE(SUBSTITUTE(X158,"~","~~"),"*","~*"),"?","~?")),COUNTIFS(Results[關聯鍵],"="&amp;SUBSTITUTE(SUBSTITUTE(SUBSTITUTE(H158,"~","~~"),"*","~*"),"?","~?"),Results[分析項目],"="&amp;SUBSTITUTE(SUBSTITUTE(SUBSTITUTE(A158,"~","~~"),"*","~*"),"?","~?")))&gt;1,"同關聯鍵測項重複","OK")))</f>
        <v/>
      </c>
      <c r="AB158" s="93">
        <f>IF(COUNTA($A158:$D158)=0,"",IF(OR(C158="",K158=""),"缺單位",IF(NOT(ISNUMBER(L158)),"單位不相容",IF(L158=1,"OK","已換算"))))</f>
        <v/>
      </c>
      <c r="AC158" s="93">
        <f>IF(COUNTA($A158:$D158)=0,"",IF('07_QAQC'!$C$3="","未選比較版本",IF(U158=0,IF(COUNTIFS(DB_05[標準鍵],W158)&gt;1,"標準鍵重複","未訂此介質／測項門檻"),IF(INDEX(DB_05[版本檢查],U158)&lt;&gt;"OK","標準主檔待核",IF(INDEX(DB_05[標準單位],U158)&lt;&gt;K158,"標準單位不符",IF(INDEX(DB_05[核對狀態],U158)="停用","停用",IF(F158="","缺採樣日期",IF(OR(AND(INDEX(DB_05[生效日],U158)&lt;&gt;"",F158&lt;INDEX(DB_05[生效日],U158)),AND(INDEX(DB_05[失效日],U158)&lt;&gt;"",F158&gt;INDEX(DB_05[失效日],U158))),"日期不適用",INDEX(DB_05[核對狀態],U158)))))))))</f>
        <v/>
      </c>
      <c r="AD158" s="93">
        <f>IF(COUNTA($A158:$D158)=0,"",IF(AC158="未訂此介質／測項門檻",AC158,IF(AC158&lt;&gt;"已核對","標準待核",IF(R158="","未訂管制值",IF(NOT(ISNUMBER(L158)),"單位待核",IF(N158="ND","無法判定（ND無界限）",IF(N158="NA","不適用",IF(Z158&lt;&gt;"OK",Z158,IF(N158="數值",IF(Q158&gt;=R158,"達管制值","未達管制值"),IF(OR(N158="&lt;",N158="&lt;="),IF(OR(Q158&lt;R158,AND(N158="&lt;",Q158=R158)),"未達管制值","無法判定"),IF(OR(N158="&gt;",N158="&gt;="),IF(Q158&gt;=R158,"達管制值","無法判定"),"格式待核")))))))))))</f>
        <v/>
      </c>
      <c r="AE158" s="93">
        <f>IF(COUNTA($A158:$D158)=0,"",IF(AC158="未訂此介質／測項門檻",AC158,IF(AC158&lt;&gt;"已核對","標準待核",IF(S158="","未訂監測值",IF(NOT(ISNUMBER(L158)),"單位待核",IF(N158="ND","無法判定（ND無界限）",IF(N158="NA","不適用",IF(Z158&lt;&gt;"OK",Z158,IF(N158="數值",IF(Q158&gt;=S158,"達監測值","未達監測值"),IF(OR(N158="&lt;",N158="&lt;="),IF(OR(Q158&lt;S158,AND(N158="&lt;",Q158=S158)),"未達監測值","無法判定"),IF(OR(N158="&gt;",N158="&gt;="),IF(Q158&gt;=S158,"達監測值","無法判定"),"格式待核")))))))))))</f>
        <v/>
      </c>
      <c r="AF158" s="93">
        <f>IF(COUNTA($A158:$D158)=0,"",IF(OR(E158="",A158="",B158="",C158=""),"缺必要欄位",IF(Y158&lt;&gt;"OK","樣品資料待補",IF(T158=0,"測項未建或重複",IF(INDEX(DB_04[啟用],T158)&lt;&gt;"是","測項停用",IF(AND(Z158&lt;&gt;"OK",Z158&lt;&gt;"不適用"),Z158,IF(AND(AB158&lt;&gt;"OK",AB158&lt;&gt;"已換算"),"單位待核",IF(AA158&lt;&gt;"OK",AA158,"OK"))))))))</f>
        <v/>
      </c>
      <c r="AG158" s="93">
        <f>IF(COUNTA($A158:$D158)=0,"",IF(N158="ND","ND取0",IF(OR(N158="&lt;",N158="&lt;="),"界限除以2",IF(N158="NA","不適用",IF(OR(N158="&gt;",N158="&gt;="),"保留界限數值","保留原數值")))))</f>
        <v/>
      </c>
      <c r="AH158" s="92">
        <f>IF(O158="","",IFERROR(_xlfn.NUMBERVALUE(O158,".",","),""))</f>
        <v/>
      </c>
      <c r="AI158" s="92">
        <f>IF(H158="","",IFERROR(MATCH(H158,Samples[樣品編號],0),0))</f>
        <v/>
      </c>
    </row>
    <row r="159">
      <c r="A159" s="27" t="inlineStr">
        <is>
          <t>溶氧飽和度</t>
        </is>
      </c>
      <c r="B159" s="28" t="inlineStr">
        <is>
          <t>60</t>
        </is>
      </c>
      <c r="C159" s="27" t="inlineStr">
        <is>
          <t>%</t>
        </is>
      </c>
      <c r="D159" s="39" t="inlineStr">
        <is>
          <t>合成資料，非實測；method=field</t>
        </is>
      </c>
      <c r="E159" s="29">
        <f>IF(OR(I159="",I159=0),"",IF(INDEX(Samples[監測點],I159)="","",INDEX(Samples[監測點],I159)))</f>
        <v/>
      </c>
      <c r="F159" s="90">
        <f>IF(OR(I159="",I159=0),"",IF(INDEX(Samples[採樣日期],I159)="","",INDEX(Samples[採樣日期],I159)))</f>
        <v/>
      </c>
      <c r="G159" s="91">
        <f>IF(OR(M159="",M159="NA",M159="N/A"),"",IF(OR(M159="ND",M159="N.D."),0,IFERROR(IF(OR(OR(ISNUMBER(SEARCH("%",O159)),ISNUMBER(SEARCH(" ",O159)),ISNUMBER(SEARCH(",",O159))),OR(SUBSTITUTE(SUBSTITUTE(SUBSTITUTE(SUBSTITUTE(SUBSTITUTE(SUBSTITUTE(SUBSTITUTE(SUBSTITUTE(SUBSTITUTE(SUBSTITUTE(SUBSTITUTE(SUBSTITUTE(SUBSTITUTE(SUBSTITUTE(SUBSTITUTE(SUBSTITUTE(SUBSTITUTE(SUBSTITUTE("x"&amp;M159,"0",""),"1",""),"2",""),"3",""),"4",""),"5",""),"6",""),"7",""),"8",""),"9",""),".",""),"E",""),"+",""),"-",""),"&lt;",""),"&gt;",""),"=","")," ","")&lt;&gt;"x",ISNUMBER(SEARCH("-",SUBSTITUTE(SUBSTITUTE("x"&amp;MID(M159,2,99),"E-","E"),"E+","E"))),ISNUMBER(SEARCH("+",SUBSTITUTE(SUBSTITUTE("x"&amp;MID(M159,2,99),"E-","E"),"E+","E"))))),"",IF(AND(OR(LEFT(M159,1)="&lt;",LEFT(M159,1)="&gt;"),IF(O159="",0,IF(ISNUMBER(AH159),AH159,NA()))&lt;0),"",IF(O159="",0,IF(ISNUMBER(AH159),AH159,NA()))/IF(LEFT(M159,1)="&lt;",2,1))),"")))</f>
        <v/>
      </c>
      <c r="H159" s="57" t="inlineStr">
        <is>
          <t>BH04-W_20260115_02</t>
        </is>
      </c>
      <c r="I159" s="92">
        <f>IF(OR(H159="",AI159=0),0,IF(INDEX(Samples[樣品重複筆數],AI159)=1,AI159,0))</f>
        <v/>
      </c>
      <c r="J159" s="92">
        <f>IF(OR(COUNTA($A159:$D159)=0,I159=0),"",IF(INDEX(Samples[介質],I159)="","",INDEX(Samples[介質],I159)))</f>
        <v/>
      </c>
      <c r="K159" s="92">
        <f>IF(OR(COUNTA($A159:$D159)=0,T159=0),"",IF(INDEX(DB_04[標準單位],T159)="","",INDEX(DB_04[標準單位],T159)))</f>
        <v/>
      </c>
      <c r="L159" s="92">
        <f>IF(COUNTA($A159:$D159)=0,"",IF(OR(C159="",K159=""),"",IF(C159=K159,1,IF(COUNTIFS(DB_06[換算鍵],C159&amp;"|"&amp;K159,DB_06[換算檢查],"OK")=1,INDEX(DB_06[乘數],MATCH(C159&amp;"|"&amp;K159,DB_06[換算鍵],0)),""))))</f>
        <v/>
      </c>
      <c r="M159" s="92">
        <f>UPPER(SUBSTITUTE(SUBSTITUTE(SUBSTITUTE(SUBSTITUTE(TRIM(B159&amp;""),"＜","&lt;"),"＞","&gt;"),"≤","&lt;="),"≥","&gt;="))</f>
        <v/>
      </c>
      <c r="N159" s="92">
        <f>IF(M159="","",IF(OR(M159="ND",M159="N.D."),"ND",IF(OR(M159="NA",M159="N/A",M159="N.A."),"NA",IF(OR(LEFT(M159,2)="&lt;=",LEFT(M159,2)="&gt;="),LEFT(M159,2),IF(OR(LEFT(M159,1)="&lt;",LEFT(M159,1)="&gt;"),LEFT(M159,1),"數值")))))</f>
        <v/>
      </c>
      <c r="O159" s="92">
        <f>IF(OR(N159="",N159="ND",N159="NA"),"",IF(N159="數值",M159,TRIM(MID(M159,LEN(N159)+1,99))))</f>
        <v/>
      </c>
      <c r="P159" s="92">
        <f>IF(O159="","",IFERROR(IF(OR(OR(ISNUMBER(SEARCH("%",O159)),ISNUMBER(SEARCH(" ",O159)),ISNUMBER(SEARCH(",",O159))),OR(SUBSTITUTE(SUBSTITUTE(SUBSTITUTE(SUBSTITUTE(SUBSTITUTE(SUBSTITUTE(SUBSTITUTE(SUBSTITUTE(SUBSTITUTE(SUBSTITUTE(SUBSTITUTE(SUBSTITUTE(SUBSTITUTE(SUBSTITUTE(SUBSTITUTE(SUBSTITUTE(SUBSTITUTE(SUBSTITUTE("x"&amp;O159,"0",""),"1",""),"2",""),"3",""),"4",""),"5",""),"6",""),"7",""),"8",""),"9",""),".",""),"E",""),"+",""),"-",""),"&lt;",""),"&gt;",""),"=","")," ","")&lt;&gt;"x",ISNUMBER(SEARCH("-",SUBSTITUTE(SUBSTITUTE("x"&amp;MID(O159,2,99),"E-","E"),"E+","E"))),ISNUMBER(SEARCH("+",SUBSTITUTE(SUBSTITUTE("x"&amp;MID(O159,2,99),"E-","E"),"E+","E"))))),"",IF(ISNUMBER(AH159),AH159,NA())),""))</f>
        <v/>
      </c>
      <c r="Q159" s="92">
        <f>IF(AND(ISNUMBER(L159),ISNUMBER(P159)),L159*P159,"")</f>
        <v/>
      </c>
      <c r="R159" s="92">
        <f>IF(OR(COUNTA($A159:$D159)=0,U159=0),"",IF(INDEX(DB_05[管制設定值],U159)="","",INDEX(DB_05[管制設定值],U159)))</f>
        <v/>
      </c>
      <c r="S159" s="92">
        <f>IF(OR(COUNTA($A159:$D159)=0,U159=0),"",IF(INDEX(DB_05[監測設定值],U159)="","",INDEX(DB_05[監測設定值],U159)))</f>
        <v/>
      </c>
      <c r="T159" s="92">
        <f>IF(COUNTA($A159:$D159)=0,"",IF(COUNTIFS(DB_04[測項鍵],V159)=1,MATCH(V159,DB_04[測項鍵],0),0))</f>
        <v/>
      </c>
      <c r="U159" s="92">
        <f>IF(COUNTA($A159:$D159)=0,"",IF(COUNTIFS(DB_05[標準鍵],W159)=1,MATCH(W159,DB_05[標準鍵],0),0))</f>
        <v/>
      </c>
      <c r="V159" s="92">
        <f>IF(OR(J159="",A159=""),"",J159&amp;"|"&amp;A159)</f>
        <v/>
      </c>
      <c r="W159" s="92">
        <f>IF(OR('07_QAQC'!$C$3="",V159=""),"",'07_QAQC'!$C$3&amp;"|"&amp;V159)</f>
        <v/>
      </c>
      <c r="X159" s="92">
        <f>IF(OR(H159="",A159=""),"",LEN(H159)&amp;":"&amp;H159&amp;LEN(A159)&amp;":"&amp;A159)</f>
        <v/>
      </c>
      <c r="Y159" s="93">
        <f>IF(COUNTA($A159:$D159)=0,"",IF(I159=0,"樣品未建或重複",IF(INDEX(Samples[樣品檢查],I159)="","OK",INDEX(Samples[樣品檢查],I159))))</f>
        <v/>
      </c>
      <c r="Z159" s="93">
        <f>IF(COUNTA($A159:$D159)=0,"",IF(B159="","缺原始值",IF(OR(B159="-",B159="--"),"無資料",IF(N159="NA","不適用",IF(N159="ND","OK",IF(NOT(ISNUMBER(P159)),"格式待核",IF(AND(N159&lt;&gt;"數值",P159&lt;0),"界限不得為負","OK")))))))</f>
        <v/>
      </c>
      <c r="AA159" s="93">
        <f>IF(COUNTA(A159:D159)=0,"",IF(OR(A159="",H159=""),"缺識別欄位",IF(IF(LEN("="&amp;SUBSTITUTE(SUBSTITUTE(SUBSTITUTE(X159,"~","~~"),"*","~*"),"?","~?"))&lt;=255,COUNTIF(Results[結果識別鍵],"="&amp;SUBSTITUTE(SUBSTITUTE(SUBSTITUTE(X159,"~","~~"),"*","~*"),"?","~?")),COUNTIFS(Results[關聯鍵],"="&amp;SUBSTITUTE(SUBSTITUTE(SUBSTITUTE(H159,"~","~~"),"*","~*"),"?","~?"),Results[分析項目],"="&amp;SUBSTITUTE(SUBSTITUTE(SUBSTITUTE(A159,"~","~~"),"*","~*"),"?","~?")))&gt;1,"同關聯鍵測項重複","OK")))</f>
        <v/>
      </c>
      <c r="AB159" s="93">
        <f>IF(COUNTA($A159:$D159)=0,"",IF(OR(C159="",K159=""),"缺單位",IF(NOT(ISNUMBER(L159)),"單位不相容",IF(L159=1,"OK","已換算"))))</f>
        <v/>
      </c>
      <c r="AC159" s="93">
        <f>IF(COUNTA($A159:$D159)=0,"",IF('07_QAQC'!$C$3="","未選比較版本",IF(U159=0,IF(COUNTIFS(DB_05[標準鍵],W159)&gt;1,"標準鍵重複","未訂此介質／測項門檻"),IF(INDEX(DB_05[版本檢查],U159)&lt;&gt;"OK","標準主檔待核",IF(INDEX(DB_05[標準單位],U159)&lt;&gt;K159,"標準單位不符",IF(INDEX(DB_05[核對狀態],U159)="停用","停用",IF(F159="","缺採樣日期",IF(OR(AND(INDEX(DB_05[生效日],U159)&lt;&gt;"",F159&lt;INDEX(DB_05[生效日],U159)),AND(INDEX(DB_05[失效日],U159)&lt;&gt;"",F159&gt;INDEX(DB_05[失效日],U159))),"日期不適用",INDEX(DB_05[核對狀態],U159)))))))))</f>
        <v/>
      </c>
      <c r="AD159" s="93">
        <f>IF(COUNTA($A159:$D159)=0,"",IF(AC159="未訂此介質／測項門檻",AC159,IF(AC159&lt;&gt;"已核對","標準待核",IF(R159="","未訂管制值",IF(NOT(ISNUMBER(L159)),"單位待核",IF(N159="ND","無法判定（ND無界限）",IF(N159="NA","不適用",IF(Z159&lt;&gt;"OK",Z159,IF(N159="數值",IF(Q159&gt;=R159,"達管制值","未達管制值"),IF(OR(N159="&lt;",N159="&lt;="),IF(OR(Q159&lt;R159,AND(N159="&lt;",Q159=R159)),"未達管制值","無法判定"),IF(OR(N159="&gt;",N159="&gt;="),IF(Q159&gt;=R159,"達管制值","無法判定"),"格式待核")))))))))))</f>
        <v/>
      </c>
      <c r="AE159" s="93">
        <f>IF(COUNTA($A159:$D159)=0,"",IF(AC159="未訂此介質／測項門檻",AC159,IF(AC159&lt;&gt;"已核對","標準待核",IF(S159="","未訂監測值",IF(NOT(ISNUMBER(L159)),"單位待核",IF(N159="ND","無法判定（ND無界限）",IF(N159="NA","不適用",IF(Z159&lt;&gt;"OK",Z159,IF(N159="數值",IF(Q159&gt;=S159,"達監測值","未達監測值"),IF(OR(N159="&lt;",N159="&lt;="),IF(OR(Q159&lt;S159,AND(N159="&lt;",Q159=S159)),"未達監測值","無法判定"),IF(OR(N159="&gt;",N159="&gt;="),IF(Q159&gt;=S159,"達監測值","無法判定"),"格式待核")))))))))))</f>
        <v/>
      </c>
      <c r="AF159" s="93">
        <f>IF(COUNTA($A159:$D159)=0,"",IF(OR(E159="",A159="",B159="",C159=""),"缺必要欄位",IF(Y159&lt;&gt;"OK","樣品資料待補",IF(T159=0,"測項未建或重複",IF(INDEX(DB_04[啟用],T159)&lt;&gt;"是","測項停用",IF(AND(Z159&lt;&gt;"OK",Z159&lt;&gt;"不適用"),Z159,IF(AND(AB159&lt;&gt;"OK",AB159&lt;&gt;"已換算"),"單位待核",IF(AA159&lt;&gt;"OK",AA159,"OK"))))))))</f>
        <v/>
      </c>
      <c r="AG159" s="93">
        <f>IF(COUNTA($A159:$D159)=0,"",IF(N159="ND","ND取0",IF(OR(N159="&lt;",N159="&lt;="),"界限除以2",IF(N159="NA","不適用",IF(OR(N159="&gt;",N159="&gt;="),"保留界限數值","保留原數值")))))</f>
        <v/>
      </c>
      <c r="AH159" s="92">
        <f>IF(O159="","",IFERROR(_xlfn.NUMBERVALUE(O159,".",","),""))</f>
        <v/>
      </c>
      <c r="AI159" s="92">
        <f>IF(H159="","",IFERROR(MATCH(H159,Samples[樣品編號],0),0))</f>
        <v/>
      </c>
    </row>
    <row r="160">
      <c r="A160" s="27" t="inlineStr">
        <is>
          <t>ORP</t>
        </is>
      </c>
      <c r="B160" s="28" t="inlineStr">
        <is>
          <t>-55</t>
        </is>
      </c>
      <c r="C160" s="27" t="inlineStr">
        <is>
          <t>mV</t>
        </is>
      </c>
      <c r="D160" s="39" t="inlineStr">
        <is>
          <t>合成資料，非實測；method=field; reference_electrode=Ag/AgCl; calibration=verified</t>
        </is>
      </c>
      <c r="E160" s="29">
        <f>IF(OR(I160="",I160=0),"",IF(INDEX(Samples[監測點],I160)="","",INDEX(Samples[監測點],I160)))</f>
        <v/>
      </c>
      <c r="F160" s="90">
        <f>IF(OR(I160="",I160=0),"",IF(INDEX(Samples[採樣日期],I160)="","",INDEX(Samples[採樣日期],I160)))</f>
        <v/>
      </c>
      <c r="G160" s="91">
        <f>IF(OR(M160="",M160="NA",M160="N/A"),"",IF(OR(M160="ND",M160="N.D."),0,IFERROR(IF(OR(OR(ISNUMBER(SEARCH("%",O160)),ISNUMBER(SEARCH(" ",O160)),ISNUMBER(SEARCH(",",O160))),OR(SUBSTITUTE(SUBSTITUTE(SUBSTITUTE(SUBSTITUTE(SUBSTITUTE(SUBSTITUTE(SUBSTITUTE(SUBSTITUTE(SUBSTITUTE(SUBSTITUTE(SUBSTITUTE(SUBSTITUTE(SUBSTITUTE(SUBSTITUTE(SUBSTITUTE(SUBSTITUTE(SUBSTITUTE(SUBSTITUTE("x"&amp;M160,"0",""),"1",""),"2",""),"3",""),"4",""),"5",""),"6",""),"7",""),"8",""),"9",""),".",""),"E",""),"+",""),"-",""),"&lt;",""),"&gt;",""),"=","")," ","")&lt;&gt;"x",ISNUMBER(SEARCH("-",SUBSTITUTE(SUBSTITUTE("x"&amp;MID(M160,2,99),"E-","E"),"E+","E"))),ISNUMBER(SEARCH("+",SUBSTITUTE(SUBSTITUTE("x"&amp;MID(M160,2,99),"E-","E"),"E+","E"))))),"",IF(AND(OR(LEFT(M160,1)="&lt;",LEFT(M160,1)="&gt;"),IF(O160="",0,IF(ISNUMBER(AH160),AH160,NA()))&lt;0),"",IF(O160="",0,IF(ISNUMBER(AH160),AH160,NA()))/IF(LEFT(M160,1)="&lt;",2,1))),"")))</f>
        <v/>
      </c>
      <c r="H160" s="57" t="inlineStr">
        <is>
          <t>BH04-W_20260115_02</t>
        </is>
      </c>
      <c r="I160" s="92">
        <f>IF(OR(H160="",AI160=0),0,IF(INDEX(Samples[樣品重複筆數],AI160)=1,AI160,0))</f>
        <v/>
      </c>
      <c r="J160" s="92">
        <f>IF(OR(COUNTA($A160:$D160)=0,I160=0),"",IF(INDEX(Samples[介質],I160)="","",INDEX(Samples[介質],I160)))</f>
        <v/>
      </c>
      <c r="K160" s="92">
        <f>IF(OR(COUNTA($A160:$D160)=0,T160=0),"",IF(INDEX(DB_04[標準單位],T160)="","",INDEX(DB_04[標準單位],T160)))</f>
        <v/>
      </c>
      <c r="L160" s="92">
        <f>IF(COUNTA($A160:$D160)=0,"",IF(OR(C160="",K160=""),"",IF(C160=K160,1,IF(COUNTIFS(DB_06[換算鍵],C160&amp;"|"&amp;K160,DB_06[換算檢查],"OK")=1,INDEX(DB_06[乘數],MATCH(C160&amp;"|"&amp;K160,DB_06[換算鍵],0)),""))))</f>
        <v/>
      </c>
      <c r="M160" s="92">
        <f>UPPER(SUBSTITUTE(SUBSTITUTE(SUBSTITUTE(SUBSTITUTE(TRIM(B160&amp;""),"＜","&lt;"),"＞","&gt;"),"≤","&lt;="),"≥","&gt;="))</f>
        <v/>
      </c>
      <c r="N160" s="92">
        <f>IF(M160="","",IF(OR(M160="ND",M160="N.D."),"ND",IF(OR(M160="NA",M160="N/A",M160="N.A."),"NA",IF(OR(LEFT(M160,2)="&lt;=",LEFT(M160,2)="&gt;="),LEFT(M160,2),IF(OR(LEFT(M160,1)="&lt;",LEFT(M160,1)="&gt;"),LEFT(M160,1),"數值")))))</f>
        <v/>
      </c>
      <c r="O160" s="92">
        <f>IF(OR(N160="",N160="ND",N160="NA"),"",IF(N160="數值",M160,TRIM(MID(M160,LEN(N160)+1,99))))</f>
        <v/>
      </c>
      <c r="P160" s="92">
        <f>IF(O160="","",IFERROR(IF(OR(OR(ISNUMBER(SEARCH("%",O160)),ISNUMBER(SEARCH(" ",O160)),ISNUMBER(SEARCH(",",O160))),OR(SUBSTITUTE(SUBSTITUTE(SUBSTITUTE(SUBSTITUTE(SUBSTITUTE(SUBSTITUTE(SUBSTITUTE(SUBSTITUTE(SUBSTITUTE(SUBSTITUTE(SUBSTITUTE(SUBSTITUTE(SUBSTITUTE(SUBSTITUTE(SUBSTITUTE(SUBSTITUTE(SUBSTITUTE(SUBSTITUTE("x"&amp;O160,"0",""),"1",""),"2",""),"3",""),"4",""),"5",""),"6",""),"7",""),"8",""),"9",""),".",""),"E",""),"+",""),"-",""),"&lt;",""),"&gt;",""),"=","")," ","")&lt;&gt;"x",ISNUMBER(SEARCH("-",SUBSTITUTE(SUBSTITUTE("x"&amp;MID(O160,2,99),"E-","E"),"E+","E"))),ISNUMBER(SEARCH("+",SUBSTITUTE(SUBSTITUTE("x"&amp;MID(O160,2,99),"E-","E"),"E+","E"))))),"",IF(ISNUMBER(AH160),AH160,NA())),""))</f>
        <v/>
      </c>
      <c r="Q160" s="92">
        <f>IF(AND(ISNUMBER(L160),ISNUMBER(P160)),L160*P160,"")</f>
        <v/>
      </c>
      <c r="R160" s="92">
        <f>IF(OR(COUNTA($A160:$D160)=0,U160=0),"",IF(INDEX(DB_05[管制設定值],U160)="","",INDEX(DB_05[管制設定值],U160)))</f>
        <v/>
      </c>
      <c r="S160" s="92">
        <f>IF(OR(COUNTA($A160:$D160)=0,U160=0),"",IF(INDEX(DB_05[監測設定值],U160)="","",INDEX(DB_05[監測設定值],U160)))</f>
        <v/>
      </c>
      <c r="T160" s="92">
        <f>IF(COUNTA($A160:$D160)=0,"",IF(COUNTIFS(DB_04[測項鍵],V160)=1,MATCH(V160,DB_04[測項鍵],0),0))</f>
        <v/>
      </c>
      <c r="U160" s="92">
        <f>IF(COUNTA($A160:$D160)=0,"",IF(COUNTIFS(DB_05[標準鍵],W160)=1,MATCH(W160,DB_05[標準鍵],0),0))</f>
        <v/>
      </c>
      <c r="V160" s="92">
        <f>IF(OR(J160="",A160=""),"",J160&amp;"|"&amp;A160)</f>
        <v/>
      </c>
      <c r="W160" s="92">
        <f>IF(OR('07_QAQC'!$C$3="",V160=""),"",'07_QAQC'!$C$3&amp;"|"&amp;V160)</f>
        <v/>
      </c>
      <c r="X160" s="92">
        <f>IF(OR(H160="",A160=""),"",LEN(H160)&amp;":"&amp;H160&amp;LEN(A160)&amp;":"&amp;A160)</f>
        <v/>
      </c>
      <c r="Y160" s="93">
        <f>IF(COUNTA($A160:$D160)=0,"",IF(I160=0,"樣品未建或重複",IF(INDEX(Samples[樣品檢查],I160)="","OK",INDEX(Samples[樣品檢查],I160))))</f>
        <v/>
      </c>
      <c r="Z160" s="93">
        <f>IF(COUNTA($A160:$D160)=0,"",IF(B160="","缺原始值",IF(OR(B160="-",B160="--"),"無資料",IF(N160="NA","不適用",IF(N160="ND","OK",IF(NOT(ISNUMBER(P160)),"格式待核",IF(AND(N160&lt;&gt;"數值",P160&lt;0),"界限不得為負","OK")))))))</f>
        <v/>
      </c>
      <c r="AA160" s="93">
        <f>IF(COUNTA(A160:D160)=0,"",IF(OR(A160="",H160=""),"缺識別欄位",IF(IF(LEN("="&amp;SUBSTITUTE(SUBSTITUTE(SUBSTITUTE(X160,"~","~~"),"*","~*"),"?","~?"))&lt;=255,COUNTIF(Results[結果識別鍵],"="&amp;SUBSTITUTE(SUBSTITUTE(SUBSTITUTE(X160,"~","~~"),"*","~*"),"?","~?")),COUNTIFS(Results[關聯鍵],"="&amp;SUBSTITUTE(SUBSTITUTE(SUBSTITUTE(H160,"~","~~"),"*","~*"),"?","~?"),Results[分析項目],"="&amp;SUBSTITUTE(SUBSTITUTE(SUBSTITUTE(A160,"~","~~"),"*","~*"),"?","~?")))&gt;1,"同關聯鍵測項重複","OK")))</f>
        <v/>
      </c>
      <c r="AB160" s="93">
        <f>IF(COUNTA($A160:$D160)=0,"",IF(OR(C160="",K160=""),"缺單位",IF(NOT(ISNUMBER(L160)),"單位不相容",IF(L160=1,"OK","已換算"))))</f>
        <v/>
      </c>
      <c r="AC160" s="93">
        <f>IF(COUNTA($A160:$D160)=0,"",IF('07_QAQC'!$C$3="","未選比較版本",IF(U160=0,IF(COUNTIFS(DB_05[標準鍵],W160)&gt;1,"標準鍵重複","未訂此介質／測項門檻"),IF(INDEX(DB_05[版本檢查],U160)&lt;&gt;"OK","標準主檔待核",IF(INDEX(DB_05[標準單位],U160)&lt;&gt;K160,"標準單位不符",IF(INDEX(DB_05[核對狀態],U160)="停用","停用",IF(F160="","缺採樣日期",IF(OR(AND(INDEX(DB_05[生效日],U160)&lt;&gt;"",F160&lt;INDEX(DB_05[生效日],U160)),AND(INDEX(DB_05[失效日],U160)&lt;&gt;"",F160&gt;INDEX(DB_05[失效日],U160))),"日期不適用",INDEX(DB_05[核對狀態],U160)))))))))</f>
        <v/>
      </c>
      <c r="AD160" s="93">
        <f>IF(COUNTA($A160:$D160)=0,"",IF(AC160="未訂此介質／測項門檻",AC160,IF(AC160&lt;&gt;"已核對","標準待核",IF(R160="","未訂管制值",IF(NOT(ISNUMBER(L160)),"單位待核",IF(N160="ND","無法判定（ND無界限）",IF(N160="NA","不適用",IF(Z160&lt;&gt;"OK",Z160,IF(N160="數值",IF(Q160&gt;=R160,"達管制值","未達管制值"),IF(OR(N160="&lt;",N160="&lt;="),IF(OR(Q160&lt;R160,AND(N160="&lt;",Q160=R160)),"未達管制值","無法判定"),IF(OR(N160="&gt;",N160="&gt;="),IF(Q160&gt;=R160,"達管制值","無法判定"),"格式待核")))))))))))</f>
        <v/>
      </c>
      <c r="AE160" s="93">
        <f>IF(COUNTA($A160:$D160)=0,"",IF(AC160="未訂此介質／測項門檻",AC160,IF(AC160&lt;&gt;"已核對","標準待核",IF(S160="","未訂監測值",IF(NOT(ISNUMBER(L160)),"單位待核",IF(N160="ND","無法判定（ND無界限）",IF(N160="NA","不適用",IF(Z160&lt;&gt;"OK",Z160,IF(N160="數值",IF(Q160&gt;=S160,"達監測值","未達監測值"),IF(OR(N160="&lt;",N160="&lt;="),IF(OR(Q160&lt;S160,AND(N160="&lt;",Q160=S160)),"未達監測值","無法判定"),IF(OR(N160="&gt;",N160="&gt;="),IF(Q160&gt;=S160,"達監測值","無法判定"),"格式待核")))))))))))</f>
        <v/>
      </c>
      <c r="AF160" s="93">
        <f>IF(COUNTA($A160:$D160)=0,"",IF(OR(E160="",A160="",B160="",C160=""),"缺必要欄位",IF(Y160&lt;&gt;"OK","樣品資料待補",IF(T160=0,"測項未建或重複",IF(INDEX(DB_04[啟用],T160)&lt;&gt;"是","測項停用",IF(AND(Z160&lt;&gt;"OK",Z160&lt;&gt;"不適用"),Z160,IF(AND(AB160&lt;&gt;"OK",AB160&lt;&gt;"已換算"),"單位待核",IF(AA160&lt;&gt;"OK",AA160,"OK"))))))))</f>
        <v/>
      </c>
      <c r="AG160" s="93">
        <f>IF(COUNTA($A160:$D160)=0,"",IF(N160="ND","ND取0",IF(OR(N160="&lt;",N160="&lt;="),"界限除以2",IF(N160="NA","不適用",IF(OR(N160="&gt;",N160="&gt;="),"保留界限數值","保留原數值")))))</f>
        <v/>
      </c>
      <c r="AH160" s="92">
        <f>IF(O160="","",IFERROR(_xlfn.NUMBERVALUE(O160,".",","),""))</f>
        <v/>
      </c>
      <c r="AI160" s="92">
        <f>IF(H160="","",IFERROR(MATCH(H160,Samples[樣品編號],0),0))</f>
        <v/>
      </c>
    </row>
    <row r="161">
      <c r="A161" s="27" t="inlineStr">
        <is>
          <t>總有機碳</t>
        </is>
      </c>
      <c r="B161" s="28" t="inlineStr">
        <is>
          <t>3.1</t>
        </is>
      </c>
      <c r="C161" s="27" t="inlineStr">
        <is>
          <t>mg/L</t>
        </is>
      </c>
      <c r="D161" s="39" t="inlineStr">
        <is>
          <t>合成資料，非實測；method=lab</t>
        </is>
      </c>
      <c r="E161" s="29">
        <f>IF(OR(I161="",I161=0),"",IF(INDEX(Samples[監測點],I161)="","",INDEX(Samples[監測點],I161)))</f>
        <v/>
      </c>
      <c r="F161" s="90">
        <f>IF(OR(I161="",I161=0),"",IF(INDEX(Samples[採樣日期],I161)="","",INDEX(Samples[採樣日期],I161)))</f>
        <v/>
      </c>
      <c r="G161" s="91">
        <f>IF(OR(M161="",M161="NA",M161="N/A"),"",IF(OR(M161="ND",M161="N.D."),0,IFERROR(IF(OR(OR(ISNUMBER(SEARCH("%",O161)),ISNUMBER(SEARCH(" ",O161)),ISNUMBER(SEARCH(",",O161))),OR(SUBSTITUTE(SUBSTITUTE(SUBSTITUTE(SUBSTITUTE(SUBSTITUTE(SUBSTITUTE(SUBSTITUTE(SUBSTITUTE(SUBSTITUTE(SUBSTITUTE(SUBSTITUTE(SUBSTITUTE(SUBSTITUTE(SUBSTITUTE(SUBSTITUTE(SUBSTITUTE(SUBSTITUTE(SUBSTITUTE("x"&amp;M161,"0",""),"1",""),"2",""),"3",""),"4",""),"5",""),"6",""),"7",""),"8",""),"9",""),".",""),"E",""),"+",""),"-",""),"&lt;",""),"&gt;",""),"=","")," ","")&lt;&gt;"x",ISNUMBER(SEARCH("-",SUBSTITUTE(SUBSTITUTE("x"&amp;MID(M161,2,99),"E-","E"),"E+","E"))),ISNUMBER(SEARCH("+",SUBSTITUTE(SUBSTITUTE("x"&amp;MID(M161,2,99),"E-","E"),"E+","E"))))),"",IF(AND(OR(LEFT(M161,1)="&lt;",LEFT(M161,1)="&gt;"),IF(O161="",0,IF(ISNUMBER(AH161),AH161,NA()))&lt;0),"",IF(O161="",0,IF(ISNUMBER(AH161),AH161,NA()))/IF(LEFT(M161,1)="&lt;",2,1))),"")))</f>
        <v/>
      </c>
      <c r="H161" s="57" t="inlineStr">
        <is>
          <t>BH04-W_20260115_02</t>
        </is>
      </c>
      <c r="I161" s="92">
        <f>IF(OR(H161="",AI161=0),0,IF(INDEX(Samples[樣品重複筆數],AI161)=1,AI161,0))</f>
        <v/>
      </c>
      <c r="J161" s="92">
        <f>IF(OR(COUNTA($A161:$D161)=0,I161=0),"",IF(INDEX(Samples[介質],I161)="","",INDEX(Samples[介質],I161)))</f>
        <v/>
      </c>
      <c r="K161" s="92">
        <f>IF(OR(COUNTA($A161:$D161)=0,T161=0),"",IF(INDEX(DB_04[標準單位],T161)="","",INDEX(DB_04[標準單位],T161)))</f>
        <v/>
      </c>
      <c r="L161" s="92">
        <f>IF(COUNTA($A161:$D161)=0,"",IF(OR(C161="",K161=""),"",IF(C161=K161,1,IF(COUNTIFS(DB_06[換算鍵],C161&amp;"|"&amp;K161,DB_06[換算檢查],"OK")=1,INDEX(DB_06[乘數],MATCH(C161&amp;"|"&amp;K161,DB_06[換算鍵],0)),""))))</f>
        <v/>
      </c>
      <c r="M161" s="92">
        <f>UPPER(SUBSTITUTE(SUBSTITUTE(SUBSTITUTE(SUBSTITUTE(TRIM(B161&amp;""),"＜","&lt;"),"＞","&gt;"),"≤","&lt;="),"≥","&gt;="))</f>
        <v/>
      </c>
      <c r="N161" s="92">
        <f>IF(M161="","",IF(OR(M161="ND",M161="N.D."),"ND",IF(OR(M161="NA",M161="N/A",M161="N.A."),"NA",IF(OR(LEFT(M161,2)="&lt;=",LEFT(M161,2)="&gt;="),LEFT(M161,2),IF(OR(LEFT(M161,1)="&lt;",LEFT(M161,1)="&gt;"),LEFT(M161,1),"數值")))))</f>
        <v/>
      </c>
      <c r="O161" s="92">
        <f>IF(OR(N161="",N161="ND",N161="NA"),"",IF(N161="數值",M161,TRIM(MID(M161,LEN(N161)+1,99))))</f>
        <v/>
      </c>
      <c r="P161" s="92">
        <f>IF(O161="","",IFERROR(IF(OR(OR(ISNUMBER(SEARCH("%",O161)),ISNUMBER(SEARCH(" ",O161)),ISNUMBER(SEARCH(",",O161))),OR(SUBSTITUTE(SUBSTITUTE(SUBSTITUTE(SUBSTITUTE(SUBSTITUTE(SUBSTITUTE(SUBSTITUTE(SUBSTITUTE(SUBSTITUTE(SUBSTITUTE(SUBSTITUTE(SUBSTITUTE(SUBSTITUTE(SUBSTITUTE(SUBSTITUTE(SUBSTITUTE(SUBSTITUTE(SUBSTITUTE("x"&amp;O161,"0",""),"1",""),"2",""),"3",""),"4",""),"5",""),"6",""),"7",""),"8",""),"9",""),".",""),"E",""),"+",""),"-",""),"&lt;",""),"&gt;",""),"=","")," ","")&lt;&gt;"x",ISNUMBER(SEARCH("-",SUBSTITUTE(SUBSTITUTE("x"&amp;MID(O161,2,99),"E-","E"),"E+","E"))),ISNUMBER(SEARCH("+",SUBSTITUTE(SUBSTITUTE("x"&amp;MID(O161,2,99),"E-","E"),"E+","E"))))),"",IF(ISNUMBER(AH161),AH161,NA())),""))</f>
        <v/>
      </c>
      <c r="Q161" s="92">
        <f>IF(AND(ISNUMBER(L161),ISNUMBER(P161)),L161*P161,"")</f>
        <v/>
      </c>
      <c r="R161" s="92">
        <f>IF(OR(COUNTA($A161:$D161)=0,U161=0),"",IF(INDEX(DB_05[管制設定值],U161)="","",INDEX(DB_05[管制設定值],U161)))</f>
        <v/>
      </c>
      <c r="S161" s="92">
        <f>IF(OR(COUNTA($A161:$D161)=0,U161=0),"",IF(INDEX(DB_05[監測設定值],U161)="","",INDEX(DB_05[監測設定值],U161)))</f>
        <v/>
      </c>
      <c r="T161" s="92">
        <f>IF(COUNTA($A161:$D161)=0,"",IF(COUNTIFS(DB_04[測項鍵],V161)=1,MATCH(V161,DB_04[測項鍵],0),0))</f>
        <v/>
      </c>
      <c r="U161" s="92">
        <f>IF(COUNTA($A161:$D161)=0,"",IF(COUNTIFS(DB_05[標準鍵],W161)=1,MATCH(W161,DB_05[標準鍵],0),0))</f>
        <v/>
      </c>
      <c r="V161" s="92">
        <f>IF(OR(J161="",A161=""),"",J161&amp;"|"&amp;A161)</f>
        <v/>
      </c>
      <c r="W161" s="92">
        <f>IF(OR('07_QAQC'!$C$3="",V161=""),"",'07_QAQC'!$C$3&amp;"|"&amp;V161)</f>
        <v/>
      </c>
      <c r="X161" s="92">
        <f>IF(OR(H161="",A161=""),"",LEN(H161)&amp;":"&amp;H161&amp;LEN(A161)&amp;":"&amp;A161)</f>
        <v/>
      </c>
      <c r="Y161" s="93">
        <f>IF(COUNTA($A161:$D161)=0,"",IF(I161=0,"樣品未建或重複",IF(INDEX(Samples[樣品檢查],I161)="","OK",INDEX(Samples[樣品檢查],I161))))</f>
        <v/>
      </c>
      <c r="Z161" s="93">
        <f>IF(COUNTA($A161:$D161)=0,"",IF(B161="","缺原始值",IF(OR(B161="-",B161="--"),"無資料",IF(N161="NA","不適用",IF(N161="ND","OK",IF(NOT(ISNUMBER(P161)),"格式待核",IF(AND(N161&lt;&gt;"數值",P161&lt;0),"界限不得為負","OK")))))))</f>
        <v/>
      </c>
      <c r="AA161" s="93">
        <f>IF(COUNTA(A161:D161)=0,"",IF(OR(A161="",H161=""),"缺識別欄位",IF(IF(LEN("="&amp;SUBSTITUTE(SUBSTITUTE(SUBSTITUTE(X161,"~","~~"),"*","~*"),"?","~?"))&lt;=255,COUNTIF(Results[結果識別鍵],"="&amp;SUBSTITUTE(SUBSTITUTE(SUBSTITUTE(X161,"~","~~"),"*","~*"),"?","~?")),COUNTIFS(Results[關聯鍵],"="&amp;SUBSTITUTE(SUBSTITUTE(SUBSTITUTE(H161,"~","~~"),"*","~*"),"?","~?"),Results[分析項目],"="&amp;SUBSTITUTE(SUBSTITUTE(SUBSTITUTE(A161,"~","~~"),"*","~*"),"?","~?")))&gt;1,"同關聯鍵測項重複","OK")))</f>
        <v/>
      </c>
      <c r="AB161" s="93">
        <f>IF(COUNTA($A161:$D161)=0,"",IF(OR(C161="",K161=""),"缺單位",IF(NOT(ISNUMBER(L161)),"單位不相容",IF(L161=1,"OK","已換算"))))</f>
        <v/>
      </c>
      <c r="AC161" s="93">
        <f>IF(COUNTA($A161:$D161)=0,"",IF('07_QAQC'!$C$3="","未選比較版本",IF(U161=0,IF(COUNTIFS(DB_05[標準鍵],W161)&gt;1,"標準鍵重複","未訂此介質／測項門檻"),IF(INDEX(DB_05[版本檢查],U161)&lt;&gt;"OK","標準主檔待核",IF(INDEX(DB_05[標準單位],U161)&lt;&gt;K161,"標準單位不符",IF(INDEX(DB_05[核對狀態],U161)="停用","停用",IF(F161="","缺採樣日期",IF(OR(AND(INDEX(DB_05[生效日],U161)&lt;&gt;"",F161&lt;INDEX(DB_05[生效日],U161)),AND(INDEX(DB_05[失效日],U161)&lt;&gt;"",F161&gt;INDEX(DB_05[失效日],U161))),"日期不適用",INDEX(DB_05[核對狀態],U161)))))))))</f>
        <v/>
      </c>
      <c r="AD161" s="93">
        <f>IF(COUNTA($A161:$D161)=0,"",IF(AC161="未訂此介質／測項門檻",AC161,IF(AC161&lt;&gt;"已核對","標準待核",IF(R161="","未訂管制值",IF(NOT(ISNUMBER(L161)),"單位待核",IF(N161="ND","無法判定（ND無界限）",IF(N161="NA","不適用",IF(Z161&lt;&gt;"OK",Z161,IF(N161="數值",IF(Q161&gt;=R161,"達管制值","未達管制值"),IF(OR(N161="&lt;",N161="&lt;="),IF(OR(Q161&lt;R161,AND(N161="&lt;",Q161=R161)),"未達管制值","無法判定"),IF(OR(N161="&gt;",N161="&gt;="),IF(Q161&gt;=R161,"達管制值","無法判定"),"格式待核")))))))))))</f>
        <v/>
      </c>
      <c r="AE161" s="93">
        <f>IF(COUNTA($A161:$D161)=0,"",IF(AC161="未訂此介質／測項門檻",AC161,IF(AC161&lt;&gt;"已核對","標準待核",IF(S161="","未訂監測值",IF(NOT(ISNUMBER(L161)),"單位待核",IF(N161="ND","無法判定（ND無界限）",IF(N161="NA","不適用",IF(Z161&lt;&gt;"OK",Z161,IF(N161="數值",IF(Q161&gt;=S161,"達監測值","未達監測值"),IF(OR(N161="&lt;",N161="&lt;="),IF(OR(Q161&lt;S161,AND(N161="&lt;",Q161=S161)),"未達監測值","無法判定"),IF(OR(N161="&gt;",N161="&gt;="),IF(Q161&gt;=S161,"達監測值","無法判定"),"格式待核")))))))))))</f>
        <v/>
      </c>
      <c r="AF161" s="93">
        <f>IF(COUNTA($A161:$D161)=0,"",IF(OR(E161="",A161="",B161="",C161=""),"缺必要欄位",IF(Y161&lt;&gt;"OK","樣品資料待補",IF(T161=0,"測項未建或重複",IF(INDEX(DB_04[啟用],T161)&lt;&gt;"是","測項停用",IF(AND(Z161&lt;&gt;"OK",Z161&lt;&gt;"不適用"),Z161,IF(AND(AB161&lt;&gt;"OK",AB161&lt;&gt;"已換算"),"單位待核",IF(AA161&lt;&gt;"OK",AA161,"OK"))))))))</f>
        <v/>
      </c>
      <c r="AG161" s="93">
        <f>IF(COUNTA($A161:$D161)=0,"",IF(N161="ND","ND取0",IF(OR(N161="&lt;",N161="&lt;="),"界限除以2",IF(N161="NA","不適用",IF(OR(N161="&gt;",N161="&gt;="),"保留界限數值","保留原數值")))))</f>
        <v/>
      </c>
      <c r="AH161" s="92">
        <f>IF(O161="","",IFERROR(_xlfn.NUMBERVALUE(O161,".",","),""))</f>
        <v/>
      </c>
      <c r="AI161" s="92">
        <f>IF(H161="","",IFERROR(MATCH(H161,Samples[樣品編號],0),0))</f>
        <v/>
      </c>
    </row>
    <row r="162">
      <c r="A162" s="27" t="inlineStr">
        <is>
          <t>鋅</t>
        </is>
      </c>
      <c r="B162" s="28" t="inlineStr">
        <is>
          <t>160</t>
        </is>
      </c>
      <c r="C162" s="27" t="inlineStr">
        <is>
          <t>mg/kg</t>
        </is>
      </c>
      <c r="D162" s="39" t="inlineStr">
        <is>
          <t>合成資料，非實測；method=XRF; basis=dry</t>
        </is>
      </c>
      <c r="E162" s="29">
        <f>IF(OR(I162="",I162=0),"",IF(INDEX(Samples[監測點],I162)="","",INDEX(Samples[監測點],I162)))</f>
        <v/>
      </c>
      <c r="F162" s="90">
        <f>IF(OR(I162="",I162=0),"",IF(INDEX(Samples[採樣日期],I162)="","",INDEX(Samples[採樣日期],I162)))</f>
        <v/>
      </c>
      <c r="G162" s="91">
        <f>IF(OR(M162="",M162="NA",M162="N/A"),"",IF(OR(M162="ND",M162="N.D."),0,IFERROR(IF(OR(OR(ISNUMBER(SEARCH("%",O162)),ISNUMBER(SEARCH(" ",O162)),ISNUMBER(SEARCH(",",O162))),OR(SUBSTITUTE(SUBSTITUTE(SUBSTITUTE(SUBSTITUTE(SUBSTITUTE(SUBSTITUTE(SUBSTITUTE(SUBSTITUTE(SUBSTITUTE(SUBSTITUTE(SUBSTITUTE(SUBSTITUTE(SUBSTITUTE(SUBSTITUTE(SUBSTITUTE(SUBSTITUTE(SUBSTITUTE(SUBSTITUTE("x"&amp;M162,"0",""),"1",""),"2",""),"3",""),"4",""),"5",""),"6",""),"7",""),"8",""),"9",""),".",""),"E",""),"+",""),"-",""),"&lt;",""),"&gt;",""),"=","")," ","")&lt;&gt;"x",ISNUMBER(SEARCH("-",SUBSTITUTE(SUBSTITUTE("x"&amp;MID(M162,2,99),"E-","E"),"E+","E"))),ISNUMBER(SEARCH("+",SUBSTITUTE(SUBSTITUTE("x"&amp;MID(M162,2,99),"E-","E"),"E+","E"))))),"",IF(AND(OR(LEFT(M162,1)="&lt;",LEFT(M162,1)="&gt;"),IF(O162="",0,IF(ISNUMBER(AH162),AH162,NA()))&lt;0),"",IF(O162="",0,IF(ISNUMBER(AH162),AH162,NA()))/IF(LEFT(M162,1)="&lt;",2,1))),"")))</f>
        <v/>
      </c>
      <c r="H162" s="57" t="inlineStr">
        <is>
          <t>BH04-S_20260115_03</t>
        </is>
      </c>
      <c r="I162" s="92">
        <f>IF(OR(H162="",AI162=0),0,IF(INDEX(Samples[樣品重複筆數],AI162)=1,AI162,0))</f>
        <v/>
      </c>
      <c r="J162" s="92">
        <f>IF(OR(COUNTA($A162:$D162)=0,I162=0),"",IF(INDEX(Samples[介質],I162)="","",INDEX(Samples[介質],I162)))</f>
        <v/>
      </c>
      <c r="K162" s="92">
        <f>IF(OR(COUNTA($A162:$D162)=0,T162=0),"",IF(INDEX(DB_04[標準單位],T162)="","",INDEX(DB_04[標準單位],T162)))</f>
        <v/>
      </c>
      <c r="L162" s="92">
        <f>IF(COUNTA($A162:$D162)=0,"",IF(OR(C162="",K162=""),"",IF(C162=K162,1,IF(COUNTIFS(DB_06[換算鍵],C162&amp;"|"&amp;K162,DB_06[換算檢查],"OK")=1,INDEX(DB_06[乘數],MATCH(C162&amp;"|"&amp;K162,DB_06[換算鍵],0)),""))))</f>
        <v/>
      </c>
      <c r="M162" s="92">
        <f>UPPER(SUBSTITUTE(SUBSTITUTE(SUBSTITUTE(SUBSTITUTE(TRIM(B162&amp;""),"＜","&lt;"),"＞","&gt;"),"≤","&lt;="),"≥","&gt;="))</f>
        <v/>
      </c>
      <c r="N162" s="92">
        <f>IF(M162="","",IF(OR(M162="ND",M162="N.D."),"ND",IF(OR(M162="NA",M162="N/A",M162="N.A."),"NA",IF(OR(LEFT(M162,2)="&lt;=",LEFT(M162,2)="&gt;="),LEFT(M162,2),IF(OR(LEFT(M162,1)="&lt;",LEFT(M162,1)="&gt;"),LEFT(M162,1),"數值")))))</f>
        <v/>
      </c>
      <c r="O162" s="92">
        <f>IF(OR(N162="",N162="ND",N162="NA"),"",IF(N162="數值",M162,TRIM(MID(M162,LEN(N162)+1,99))))</f>
        <v/>
      </c>
      <c r="P162" s="92">
        <f>IF(O162="","",IFERROR(IF(OR(OR(ISNUMBER(SEARCH("%",O162)),ISNUMBER(SEARCH(" ",O162)),ISNUMBER(SEARCH(",",O162))),OR(SUBSTITUTE(SUBSTITUTE(SUBSTITUTE(SUBSTITUTE(SUBSTITUTE(SUBSTITUTE(SUBSTITUTE(SUBSTITUTE(SUBSTITUTE(SUBSTITUTE(SUBSTITUTE(SUBSTITUTE(SUBSTITUTE(SUBSTITUTE(SUBSTITUTE(SUBSTITUTE(SUBSTITUTE(SUBSTITUTE("x"&amp;O162,"0",""),"1",""),"2",""),"3",""),"4",""),"5",""),"6",""),"7",""),"8",""),"9",""),".",""),"E",""),"+",""),"-",""),"&lt;",""),"&gt;",""),"=","")," ","")&lt;&gt;"x",ISNUMBER(SEARCH("-",SUBSTITUTE(SUBSTITUTE("x"&amp;MID(O162,2,99),"E-","E"),"E+","E"))),ISNUMBER(SEARCH("+",SUBSTITUTE(SUBSTITUTE("x"&amp;MID(O162,2,99),"E-","E"),"E+","E"))))),"",IF(ISNUMBER(AH162),AH162,NA())),""))</f>
        <v/>
      </c>
      <c r="Q162" s="92">
        <f>IF(AND(ISNUMBER(L162),ISNUMBER(P162)),L162*P162,"")</f>
        <v/>
      </c>
      <c r="R162" s="92">
        <f>IF(OR(COUNTA($A162:$D162)=0,U162=0),"",IF(INDEX(DB_05[管制設定值],U162)="","",INDEX(DB_05[管制設定值],U162)))</f>
        <v/>
      </c>
      <c r="S162" s="92">
        <f>IF(OR(COUNTA($A162:$D162)=0,U162=0),"",IF(INDEX(DB_05[監測設定值],U162)="","",INDEX(DB_05[監測設定值],U162)))</f>
        <v/>
      </c>
      <c r="T162" s="92">
        <f>IF(COUNTA($A162:$D162)=0,"",IF(COUNTIFS(DB_04[測項鍵],V162)=1,MATCH(V162,DB_04[測項鍵],0),0))</f>
        <v/>
      </c>
      <c r="U162" s="92">
        <f>IF(COUNTA($A162:$D162)=0,"",IF(COUNTIFS(DB_05[標準鍵],W162)=1,MATCH(W162,DB_05[標準鍵],0),0))</f>
        <v/>
      </c>
      <c r="V162" s="92">
        <f>IF(OR(J162="",A162=""),"",J162&amp;"|"&amp;A162)</f>
        <v/>
      </c>
      <c r="W162" s="92">
        <f>IF(OR('07_QAQC'!$C$3="",V162=""),"",'07_QAQC'!$C$3&amp;"|"&amp;V162)</f>
        <v/>
      </c>
      <c r="X162" s="92">
        <f>IF(OR(H162="",A162=""),"",LEN(H162)&amp;":"&amp;H162&amp;LEN(A162)&amp;":"&amp;A162)</f>
        <v/>
      </c>
      <c r="Y162" s="93">
        <f>IF(COUNTA($A162:$D162)=0,"",IF(I162=0,"樣品未建或重複",IF(INDEX(Samples[樣品檢查],I162)="","OK",INDEX(Samples[樣品檢查],I162))))</f>
        <v/>
      </c>
      <c r="Z162" s="93">
        <f>IF(COUNTA($A162:$D162)=0,"",IF(B162="","缺原始值",IF(OR(B162="-",B162="--"),"無資料",IF(N162="NA","不適用",IF(N162="ND","OK",IF(NOT(ISNUMBER(P162)),"格式待核",IF(AND(N162&lt;&gt;"數值",P162&lt;0),"界限不得為負","OK")))))))</f>
        <v/>
      </c>
      <c r="AA162" s="93">
        <f>IF(COUNTA(A162:D162)=0,"",IF(OR(A162="",H162=""),"缺識別欄位",IF(IF(LEN("="&amp;SUBSTITUTE(SUBSTITUTE(SUBSTITUTE(X162,"~","~~"),"*","~*"),"?","~?"))&lt;=255,COUNTIF(Results[結果識別鍵],"="&amp;SUBSTITUTE(SUBSTITUTE(SUBSTITUTE(X162,"~","~~"),"*","~*"),"?","~?")),COUNTIFS(Results[關聯鍵],"="&amp;SUBSTITUTE(SUBSTITUTE(SUBSTITUTE(H162,"~","~~"),"*","~*"),"?","~?"),Results[分析項目],"="&amp;SUBSTITUTE(SUBSTITUTE(SUBSTITUTE(A162,"~","~~"),"*","~*"),"?","~?")))&gt;1,"同關聯鍵測項重複","OK")))</f>
        <v/>
      </c>
      <c r="AB162" s="93">
        <f>IF(COUNTA($A162:$D162)=0,"",IF(OR(C162="",K162=""),"缺單位",IF(NOT(ISNUMBER(L162)),"單位不相容",IF(L162=1,"OK","已換算"))))</f>
        <v/>
      </c>
      <c r="AC162" s="93">
        <f>IF(COUNTA($A162:$D162)=0,"",IF('07_QAQC'!$C$3="","未選比較版本",IF(U162=0,IF(COUNTIFS(DB_05[標準鍵],W162)&gt;1,"標準鍵重複","未訂此介質／測項門檻"),IF(INDEX(DB_05[版本檢查],U162)&lt;&gt;"OK","標準主檔待核",IF(INDEX(DB_05[標準單位],U162)&lt;&gt;K162,"標準單位不符",IF(INDEX(DB_05[核對狀態],U162)="停用","停用",IF(F162="","缺採樣日期",IF(OR(AND(INDEX(DB_05[生效日],U162)&lt;&gt;"",F162&lt;INDEX(DB_05[生效日],U162)),AND(INDEX(DB_05[失效日],U162)&lt;&gt;"",F162&gt;INDEX(DB_05[失效日],U162))),"日期不適用",INDEX(DB_05[核對狀態],U162)))))))))</f>
        <v/>
      </c>
      <c r="AD162" s="93">
        <f>IF(COUNTA($A162:$D162)=0,"",IF(AC162="未訂此介質／測項門檻",AC162,IF(AC162&lt;&gt;"已核對","標準待核",IF(R162="","未訂管制值",IF(NOT(ISNUMBER(L162)),"單位待核",IF(N162="ND","無法判定（ND無界限）",IF(N162="NA","不適用",IF(Z162&lt;&gt;"OK",Z162,IF(N162="數值",IF(Q162&gt;=R162,"達管制值","未達管制值"),IF(OR(N162="&lt;",N162="&lt;="),IF(OR(Q162&lt;R162,AND(N162="&lt;",Q162=R162)),"未達管制值","無法判定"),IF(OR(N162="&gt;",N162="&gt;="),IF(Q162&gt;=R162,"達管制值","無法判定"),"格式待核")))))))))))</f>
        <v/>
      </c>
      <c r="AE162" s="93">
        <f>IF(COUNTA($A162:$D162)=0,"",IF(AC162="未訂此介質／測項門檻",AC162,IF(AC162&lt;&gt;"已核對","標準待核",IF(S162="","未訂監測值",IF(NOT(ISNUMBER(L162)),"單位待核",IF(N162="ND","無法判定（ND無界限）",IF(N162="NA","不適用",IF(Z162&lt;&gt;"OK",Z162,IF(N162="數值",IF(Q162&gt;=S162,"達監測值","未達監測值"),IF(OR(N162="&lt;",N162="&lt;="),IF(OR(Q162&lt;S162,AND(N162="&lt;",Q162=S162)),"未達監測值","無法判定"),IF(OR(N162="&gt;",N162="&gt;="),IF(Q162&gt;=S162,"達監測值","無法判定"),"格式待核")))))))))))</f>
        <v/>
      </c>
      <c r="AF162" s="93">
        <f>IF(COUNTA($A162:$D162)=0,"",IF(OR(E162="",A162="",B162="",C162=""),"缺必要欄位",IF(Y162&lt;&gt;"OK","樣品資料待補",IF(T162=0,"測項未建或重複",IF(INDEX(DB_04[啟用],T162)&lt;&gt;"是","測項停用",IF(AND(Z162&lt;&gt;"OK",Z162&lt;&gt;"不適用"),Z162,IF(AND(AB162&lt;&gt;"OK",AB162&lt;&gt;"已換算"),"單位待核",IF(AA162&lt;&gt;"OK",AA162,"OK"))))))))</f>
        <v/>
      </c>
      <c r="AG162" s="93">
        <f>IF(COUNTA($A162:$D162)=0,"",IF(N162="ND","ND取0",IF(OR(N162="&lt;",N162="&lt;="),"界限除以2",IF(N162="NA","不適用",IF(OR(N162="&gt;",N162="&gt;="),"保留界限數值","保留原數值")))))</f>
        <v/>
      </c>
      <c r="AH162" s="92">
        <f>IF(O162="","",IFERROR(_xlfn.NUMBERVALUE(O162,".",","),""))</f>
        <v/>
      </c>
      <c r="AI162" s="92">
        <f>IF(H162="","",IFERROR(MATCH(H162,Samples[樣品編號],0),0))</f>
        <v/>
      </c>
    </row>
    <row r="163">
      <c r="A163" s="27" t="inlineStr">
        <is>
          <t>總有機碳</t>
        </is>
      </c>
      <c r="B163" s="28" t="inlineStr">
        <is>
          <t>0.5</t>
        </is>
      </c>
      <c r="C163" s="27" t="inlineStr">
        <is>
          <t>%</t>
        </is>
      </c>
      <c r="D163" s="39" t="inlineStr">
        <is>
          <t>合成資料，非實測；method=lab; basis=dry</t>
        </is>
      </c>
      <c r="E163" s="29">
        <f>IF(OR(I163="",I163=0),"",IF(INDEX(Samples[監測點],I163)="","",INDEX(Samples[監測點],I163)))</f>
        <v/>
      </c>
      <c r="F163" s="90">
        <f>IF(OR(I163="",I163=0),"",IF(INDEX(Samples[採樣日期],I163)="","",INDEX(Samples[採樣日期],I163)))</f>
        <v/>
      </c>
      <c r="G163" s="91">
        <f>IF(OR(M163="",M163="NA",M163="N/A"),"",IF(OR(M163="ND",M163="N.D."),0,IFERROR(IF(OR(OR(ISNUMBER(SEARCH("%",O163)),ISNUMBER(SEARCH(" ",O163)),ISNUMBER(SEARCH(",",O163))),OR(SUBSTITUTE(SUBSTITUTE(SUBSTITUTE(SUBSTITUTE(SUBSTITUTE(SUBSTITUTE(SUBSTITUTE(SUBSTITUTE(SUBSTITUTE(SUBSTITUTE(SUBSTITUTE(SUBSTITUTE(SUBSTITUTE(SUBSTITUTE(SUBSTITUTE(SUBSTITUTE(SUBSTITUTE(SUBSTITUTE("x"&amp;M163,"0",""),"1",""),"2",""),"3",""),"4",""),"5",""),"6",""),"7",""),"8",""),"9",""),".",""),"E",""),"+",""),"-",""),"&lt;",""),"&gt;",""),"=","")," ","")&lt;&gt;"x",ISNUMBER(SEARCH("-",SUBSTITUTE(SUBSTITUTE("x"&amp;MID(M163,2,99),"E-","E"),"E+","E"))),ISNUMBER(SEARCH("+",SUBSTITUTE(SUBSTITUTE("x"&amp;MID(M163,2,99),"E-","E"),"E+","E"))))),"",IF(AND(OR(LEFT(M163,1)="&lt;",LEFT(M163,1)="&gt;"),IF(O163="",0,IF(ISNUMBER(AH163),AH163,NA()))&lt;0),"",IF(O163="",0,IF(ISNUMBER(AH163),AH163,NA()))/IF(LEFT(M163,1)="&lt;",2,1))),"")))</f>
        <v/>
      </c>
      <c r="H163" s="57" t="inlineStr">
        <is>
          <t>BH04-S_20260115_03</t>
        </is>
      </c>
      <c r="I163" s="92">
        <f>IF(OR(H163="",AI163=0),0,IF(INDEX(Samples[樣品重複筆數],AI163)=1,AI163,0))</f>
        <v/>
      </c>
      <c r="J163" s="92">
        <f>IF(OR(COUNTA($A163:$D163)=0,I163=0),"",IF(INDEX(Samples[介質],I163)="","",INDEX(Samples[介質],I163)))</f>
        <v/>
      </c>
      <c r="K163" s="92">
        <f>IF(OR(COUNTA($A163:$D163)=0,T163=0),"",IF(INDEX(DB_04[標準單位],T163)="","",INDEX(DB_04[標準單位],T163)))</f>
        <v/>
      </c>
      <c r="L163" s="92">
        <f>IF(COUNTA($A163:$D163)=0,"",IF(OR(C163="",K163=""),"",IF(C163=K163,1,IF(COUNTIFS(DB_06[換算鍵],C163&amp;"|"&amp;K163,DB_06[換算檢查],"OK")=1,INDEX(DB_06[乘數],MATCH(C163&amp;"|"&amp;K163,DB_06[換算鍵],0)),""))))</f>
        <v/>
      </c>
      <c r="M163" s="92">
        <f>UPPER(SUBSTITUTE(SUBSTITUTE(SUBSTITUTE(SUBSTITUTE(TRIM(B163&amp;""),"＜","&lt;"),"＞","&gt;"),"≤","&lt;="),"≥","&gt;="))</f>
        <v/>
      </c>
      <c r="N163" s="92">
        <f>IF(M163="","",IF(OR(M163="ND",M163="N.D."),"ND",IF(OR(M163="NA",M163="N/A",M163="N.A."),"NA",IF(OR(LEFT(M163,2)="&lt;=",LEFT(M163,2)="&gt;="),LEFT(M163,2),IF(OR(LEFT(M163,1)="&lt;",LEFT(M163,1)="&gt;"),LEFT(M163,1),"數值")))))</f>
        <v/>
      </c>
      <c r="O163" s="92">
        <f>IF(OR(N163="",N163="ND",N163="NA"),"",IF(N163="數值",M163,TRIM(MID(M163,LEN(N163)+1,99))))</f>
        <v/>
      </c>
      <c r="P163" s="92">
        <f>IF(O163="","",IFERROR(IF(OR(OR(ISNUMBER(SEARCH("%",O163)),ISNUMBER(SEARCH(" ",O163)),ISNUMBER(SEARCH(",",O163))),OR(SUBSTITUTE(SUBSTITUTE(SUBSTITUTE(SUBSTITUTE(SUBSTITUTE(SUBSTITUTE(SUBSTITUTE(SUBSTITUTE(SUBSTITUTE(SUBSTITUTE(SUBSTITUTE(SUBSTITUTE(SUBSTITUTE(SUBSTITUTE(SUBSTITUTE(SUBSTITUTE(SUBSTITUTE(SUBSTITUTE("x"&amp;O163,"0",""),"1",""),"2",""),"3",""),"4",""),"5",""),"6",""),"7",""),"8",""),"9",""),".",""),"E",""),"+",""),"-",""),"&lt;",""),"&gt;",""),"=","")," ","")&lt;&gt;"x",ISNUMBER(SEARCH("-",SUBSTITUTE(SUBSTITUTE("x"&amp;MID(O163,2,99),"E-","E"),"E+","E"))),ISNUMBER(SEARCH("+",SUBSTITUTE(SUBSTITUTE("x"&amp;MID(O163,2,99),"E-","E"),"E+","E"))))),"",IF(ISNUMBER(AH163),AH163,NA())),""))</f>
        <v/>
      </c>
      <c r="Q163" s="92">
        <f>IF(AND(ISNUMBER(L163),ISNUMBER(P163)),L163*P163,"")</f>
        <v/>
      </c>
      <c r="R163" s="92">
        <f>IF(OR(COUNTA($A163:$D163)=0,U163=0),"",IF(INDEX(DB_05[管制設定值],U163)="","",INDEX(DB_05[管制設定值],U163)))</f>
        <v/>
      </c>
      <c r="S163" s="92">
        <f>IF(OR(COUNTA($A163:$D163)=0,U163=0),"",IF(INDEX(DB_05[監測設定值],U163)="","",INDEX(DB_05[監測設定值],U163)))</f>
        <v/>
      </c>
      <c r="T163" s="92">
        <f>IF(COUNTA($A163:$D163)=0,"",IF(COUNTIFS(DB_04[測項鍵],V163)=1,MATCH(V163,DB_04[測項鍵],0),0))</f>
        <v/>
      </c>
      <c r="U163" s="92">
        <f>IF(COUNTA($A163:$D163)=0,"",IF(COUNTIFS(DB_05[標準鍵],W163)=1,MATCH(W163,DB_05[標準鍵],0),0))</f>
        <v/>
      </c>
      <c r="V163" s="92">
        <f>IF(OR(J163="",A163=""),"",J163&amp;"|"&amp;A163)</f>
        <v/>
      </c>
      <c r="W163" s="92">
        <f>IF(OR('07_QAQC'!$C$3="",V163=""),"",'07_QAQC'!$C$3&amp;"|"&amp;V163)</f>
        <v/>
      </c>
      <c r="X163" s="92">
        <f>IF(OR(H163="",A163=""),"",LEN(H163)&amp;":"&amp;H163&amp;LEN(A163)&amp;":"&amp;A163)</f>
        <v/>
      </c>
      <c r="Y163" s="93">
        <f>IF(COUNTA($A163:$D163)=0,"",IF(I163=0,"樣品未建或重複",IF(INDEX(Samples[樣品檢查],I163)="","OK",INDEX(Samples[樣品檢查],I163))))</f>
        <v/>
      </c>
      <c r="Z163" s="93">
        <f>IF(COUNTA($A163:$D163)=0,"",IF(B163="","缺原始值",IF(OR(B163="-",B163="--"),"無資料",IF(N163="NA","不適用",IF(N163="ND","OK",IF(NOT(ISNUMBER(P163)),"格式待核",IF(AND(N163&lt;&gt;"數值",P163&lt;0),"界限不得為負","OK")))))))</f>
        <v/>
      </c>
      <c r="AA163" s="93">
        <f>IF(COUNTA(A163:D163)=0,"",IF(OR(A163="",H163=""),"缺識別欄位",IF(IF(LEN("="&amp;SUBSTITUTE(SUBSTITUTE(SUBSTITUTE(X163,"~","~~"),"*","~*"),"?","~?"))&lt;=255,COUNTIF(Results[結果識別鍵],"="&amp;SUBSTITUTE(SUBSTITUTE(SUBSTITUTE(X163,"~","~~"),"*","~*"),"?","~?")),COUNTIFS(Results[關聯鍵],"="&amp;SUBSTITUTE(SUBSTITUTE(SUBSTITUTE(H163,"~","~~"),"*","~*"),"?","~?"),Results[分析項目],"="&amp;SUBSTITUTE(SUBSTITUTE(SUBSTITUTE(A163,"~","~~"),"*","~*"),"?","~?")))&gt;1,"同關聯鍵測項重複","OK")))</f>
        <v/>
      </c>
      <c r="AB163" s="93">
        <f>IF(COUNTA($A163:$D163)=0,"",IF(OR(C163="",K163=""),"缺單位",IF(NOT(ISNUMBER(L163)),"單位不相容",IF(L163=1,"OK","已換算"))))</f>
        <v/>
      </c>
      <c r="AC163" s="93">
        <f>IF(COUNTA($A163:$D163)=0,"",IF('07_QAQC'!$C$3="","未選比較版本",IF(U163=0,IF(COUNTIFS(DB_05[標準鍵],W163)&gt;1,"標準鍵重複","未訂此介質／測項門檻"),IF(INDEX(DB_05[版本檢查],U163)&lt;&gt;"OK","標準主檔待核",IF(INDEX(DB_05[標準單位],U163)&lt;&gt;K163,"標準單位不符",IF(INDEX(DB_05[核對狀態],U163)="停用","停用",IF(F163="","缺採樣日期",IF(OR(AND(INDEX(DB_05[生效日],U163)&lt;&gt;"",F163&lt;INDEX(DB_05[生效日],U163)),AND(INDEX(DB_05[失效日],U163)&lt;&gt;"",F163&gt;INDEX(DB_05[失效日],U163))),"日期不適用",INDEX(DB_05[核對狀態],U163)))))))))</f>
        <v/>
      </c>
      <c r="AD163" s="93">
        <f>IF(COUNTA($A163:$D163)=0,"",IF(AC163="未訂此介質／測項門檻",AC163,IF(AC163&lt;&gt;"已核對","標準待核",IF(R163="","未訂管制值",IF(NOT(ISNUMBER(L163)),"單位待核",IF(N163="ND","無法判定（ND無界限）",IF(N163="NA","不適用",IF(Z163&lt;&gt;"OK",Z163,IF(N163="數值",IF(Q163&gt;=R163,"達管制值","未達管制值"),IF(OR(N163="&lt;",N163="&lt;="),IF(OR(Q163&lt;R163,AND(N163="&lt;",Q163=R163)),"未達管制值","無法判定"),IF(OR(N163="&gt;",N163="&gt;="),IF(Q163&gt;=R163,"達管制值","無法判定"),"格式待核")))))))))))</f>
        <v/>
      </c>
      <c r="AE163" s="93">
        <f>IF(COUNTA($A163:$D163)=0,"",IF(AC163="未訂此介質／測項門檻",AC163,IF(AC163&lt;&gt;"已核對","標準待核",IF(S163="","未訂監測值",IF(NOT(ISNUMBER(L163)),"單位待核",IF(N163="ND","無法判定（ND無界限）",IF(N163="NA","不適用",IF(Z163&lt;&gt;"OK",Z163,IF(N163="數值",IF(Q163&gt;=S163,"達監測值","未達監測值"),IF(OR(N163="&lt;",N163="&lt;="),IF(OR(Q163&lt;S163,AND(N163="&lt;",Q163=S163)),"未達監測值","無法判定"),IF(OR(N163="&gt;",N163="&gt;="),IF(Q163&gt;=S163,"達監測值","無法判定"),"格式待核")))))))))))</f>
        <v/>
      </c>
      <c r="AF163" s="93">
        <f>IF(COUNTA($A163:$D163)=0,"",IF(OR(E163="",A163="",B163="",C163=""),"缺必要欄位",IF(Y163&lt;&gt;"OK","樣品資料待補",IF(T163=0,"測項未建或重複",IF(INDEX(DB_04[啟用],T163)&lt;&gt;"是","測項停用",IF(AND(Z163&lt;&gt;"OK",Z163&lt;&gt;"不適用"),Z163,IF(AND(AB163&lt;&gt;"OK",AB163&lt;&gt;"已換算"),"單位待核",IF(AA163&lt;&gt;"OK",AA163,"OK"))))))))</f>
        <v/>
      </c>
      <c r="AG163" s="93">
        <f>IF(COUNTA($A163:$D163)=0,"",IF(N163="ND","ND取0",IF(OR(N163="&lt;",N163="&lt;="),"界限除以2",IF(N163="NA","不適用",IF(OR(N163="&gt;",N163="&gt;="),"保留界限數值","保留原數值")))))</f>
        <v/>
      </c>
      <c r="AH163" s="92">
        <f>IF(O163="","",IFERROR(_xlfn.NUMBERVALUE(O163,".",","),""))</f>
        <v/>
      </c>
      <c r="AI163" s="92">
        <f>IF(H163="","",IFERROR(MATCH(H163,Samples[樣品編號],0),0))</f>
        <v/>
      </c>
    </row>
    <row r="164">
      <c r="A164" s="27" t="inlineStr">
        <is>
          <t>pH</t>
        </is>
      </c>
      <c r="B164" s="28" t="inlineStr">
        <is>
          <t>6.84</t>
        </is>
      </c>
      <c r="C164" s="27" t="inlineStr">
        <is>
          <t>無因次</t>
        </is>
      </c>
      <c r="D164" s="39" t="inlineStr">
        <is>
          <t>合成資料，非實測；method=field</t>
        </is>
      </c>
      <c r="E164" s="29">
        <f>IF(OR(I164="",I164=0),"",IF(INDEX(Samples[監測點],I164)="","",INDEX(Samples[監測點],I164)))</f>
        <v/>
      </c>
      <c r="F164" s="90">
        <f>IF(OR(I164="",I164=0),"",IF(INDEX(Samples[採樣日期],I164)="","",INDEX(Samples[採樣日期],I164)))</f>
        <v/>
      </c>
      <c r="G164" s="91">
        <f>IF(OR(M164="",M164="NA",M164="N/A"),"",IF(OR(M164="ND",M164="N.D."),0,IFERROR(IF(OR(OR(ISNUMBER(SEARCH("%",O164)),ISNUMBER(SEARCH(" ",O164)),ISNUMBER(SEARCH(",",O164))),OR(SUBSTITUTE(SUBSTITUTE(SUBSTITUTE(SUBSTITUTE(SUBSTITUTE(SUBSTITUTE(SUBSTITUTE(SUBSTITUTE(SUBSTITUTE(SUBSTITUTE(SUBSTITUTE(SUBSTITUTE(SUBSTITUTE(SUBSTITUTE(SUBSTITUTE(SUBSTITUTE(SUBSTITUTE(SUBSTITUTE("x"&amp;M164,"0",""),"1",""),"2",""),"3",""),"4",""),"5",""),"6",""),"7",""),"8",""),"9",""),".",""),"E",""),"+",""),"-",""),"&lt;",""),"&gt;",""),"=","")," ","")&lt;&gt;"x",ISNUMBER(SEARCH("-",SUBSTITUTE(SUBSTITUTE("x"&amp;MID(M164,2,99),"E-","E"),"E+","E"))),ISNUMBER(SEARCH("+",SUBSTITUTE(SUBSTITUTE("x"&amp;MID(M164,2,99),"E-","E"),"E+","E"))))),"",IF(AND(OR(LEFT(M164,1)="&lt;",LEFT(M164,1)="&gt;"),IF(O164="",0,IF(ISNUMBER(AH164),AH164,NA()))&lt;0),"",IF(O164="",0,IF(ISNUMBER(AH164),AH164,NA()))/IF(LEFT(M164,1)="&lt;",2,1))),"")))</f>
        <v/>
      </c>
      <c r="H164" s="57" t="inlineStr">
        <is>
          <t>BH04-W_20260115_03</t>
        </is>
      </c>
      <c r="I164" s="92">
        <f>IF(OR(H164="",AI164=0),0,IF(INDEX(Samples[樣品重複筆數],AI164)=1,AI164,0))</f>
        <v/>
      </c>
      <c r="J164" s="92">
        <f>IF(OR(COUNTA($A164:$D164)=0,I164=0),"",IF(INDEX(Samples[介質],I164)="","",INDEX(Samples[介質],I164)))</f>
        <v/>
      </c>
      <c r="K164" s="92">
        <f>IF(OR(COUNTA($A164:$D164)=0,T164=0),"",IF(INDEX(DB_04[標準單位],T164)="","",INDEX(DB_04[標準單位],T164)))</f>
        <v/>
      </c>
      <c r="L164" s="92">
        <f>IF(COUNTA($A164:$D164)=0,"",IF(OR(C164="",K164=""),"",IF(C164=K164,1,IF(COUNTIFS(DB_06[換算鍵],C164&amp;"|"&amp;K164,DB_06[換算檢查],"OK")=1,INDEX(DB_06[乘數],MATCH(C164&amp;"|"&amp;K164,DB_06[換算鍵],0)),""))))</f>
        <v/>
      </c>
      <c r="M164" s="92">
        <f>UPPER(SUBSTITUTE(SUBSTITUTE(SUBSTITUTE(SUBSTITUTE(TRIM(B164&amp;""),"＜","&lt;"),"＞","&gt;"),"≤","&lt;="),"≥","&gt;="))</f>
        <v/>
      </c>
      <c r="N164" s="92">
        <f>IF(M164="","",IF(OR(M164="ND",M164="N.D."),"ND",IF(OR(M164="NA",M164="N/A",M164="N.A."),"NA",IF(OR(LEFT(M164,2)="&lt;=",LEFT(M164,2)="&gt;="),LEFT(M164,2),IF(OR(LEFT(M164,1)="&lt;",LEFT(M164,1)="&gt;"),LEFT(M164,1),"數值")))))</f>
        <v/>
      </c>
      <c r="O164" s="92">
        <f>IF(OR(N164="",N164="ND",N164="NA"),"",IF(N164="數值",M164,TRIM(MID(M164,LEN(N164)+1,99))))</f>
        <v/>
      </c>
      <c r="P164" s="92">
        <f>IF(O164="","",IFERROR(IF(OR(OR(ISNUMBER(SEARCH("%",O164)),ISNUMBER(SEARCH(" ",O164)),ISNUMBER(SEARCH(",",O164))),OR(SUBSTITUTE(SUBSTITUTE(SUBSTITUTE(SUBSTITUTE(SUBSTITUTE(SUBSTITUTE(SUBSTITUTE(SUBSTITUTE(SUBSTITUTE(SUBSTITUTE(SUBSTITUTE(SUBSTITUTE(SUBSTITUTE(SUBSTITUTE(SUBSTITUTE(SUBSTITUTE(SUBSTITUTE(SUBSTITUTE("x"&amp;O164,"0",""),"1",""),"2",""),"3",""),"4",""),"5",""),"6",""),"7",""),"8",""),"9",""),".",""),"E",""),"+",""),"-",""),"&lt;",""),"&gt;",""),"=","")," ","")&lt;&gt;"x",ISNUMBER(SEARCH("-",SUBSTITUTE(SUBSTITUTE("x"&amp;MID(O164,2,99),"E-","E"),"E+","E"))),ISNUMBER(SEARCH("+",SUBSTITUTE(SUBSTITUTE("x"&amp;MID(O164,2,99),"E-","E"),"E+","E"))))),"",IF(ISNUMBER(AH164),AH164,NA())),""))</f>
        <v/>
      </c>
      <c r="Q164" s="92">
        <f>IF(AND(ISNUMBER(L164),ISNUMBER(P164)),L164*P164,"")</f>
        <v/>
      </c>
      <c r="R164" s="92">
        <f>IF(OR(COUNTA($A164:$D164)=0,U164=0),"",IF(INDEX(DB_05[管制設定值],U164)="","",INDEX(DB_05[管制設定值],U164)))</f>
        <v/>
      </c>
      <c r="S164" s="92">
        <f>IF(OR(COUNTA($A164:$D164)=0,U164=0),"",IF(INDEX(DB_05[監測設定值],U164)="","",INDEX(DB_05[監測設定值],U164)))</f>
        <v/>
      </c>
      <c r="T164" s="92">
        <f>IF(COUNTA($A164:$D164)=0,"",IF(COUNTIFS(DB_04[測項鍵],V164)=1,MATCH(V164,DB_04[測項鍵],0),0))</f>
        <v/>
      </c>
      <c r="U164" s="92">
        <f>IF(COUNTA($A164:$D164)=0,"",IF(COUNTIFS(DB_05[標準鍵],W164)=1,MATCH(W164,DB_05[標準鍵],0),0))</f>
        <v/>
      </c>
      <c r="V164" s="92">
        <f>IF(OR(J164="",A164=""),"",J164&amp;"|"&amp;A164)</f>
        <v/>
      </c>
      <c r="W164" s="92">
        <f>IF(OR('07_QAQC'!$C$3="",V164=""),"",'07_QAQC'!$C$3&amp;"|"&amp;V164)</f>
        <v/>
      </c>
      <c r="X164" s="92">
        <f>IF(OR(H164="",A164=""),"",LEN(H164)&amp;":"&amp;H164&amp;LEN(A164)&amp;":"&amp;A164)</f>
        <v/>
      </c>
      <c r="Y164" s="93">
        <f>IF(COUNTA($A164:$D164)=0,"",IF(I164=0,"樣品未建或重複",IF(INDEX(Samples[樣品檢查],I164)="","OK",INDEX(Samples[樣品檢查],I164))))</f>
        <v/>
      </c>
      <c r="Z164" s="93">
        <f>IF(COUNTA($A164:$D164)=0,"",IF(B164="","缺原始值",IF(OR(B164="-",B164="--"),"無資料",IF(N164="NA","不適用",IF(N164="ND","OK",IF(NOT(ISNUMBER(P164)),"格式待核",IF(AND(N164&lt;&gt;"數值",P164&lt;0),"界限不得為負","OK")))))))</f>
        <v/>
      </c>
      <c r="AA164" s="93">
        <f>IF(COUNTA(A164:D164)=0,"",IF(OR(A164="",H164=""),"缺識別欄位",IF(IF(LEN("="&amp;SUBSTITUTE(SUBSTITUTE(SUBSTITUTE(X164,"~","~~"),"*","~*"),"?","~?"))&lt;=255,COUNTIF(Results[結果識別鍵],"="&amp;SUBSTITUTE(SUBSTITUTE(SUBSTITUTE(X164,"~","~~"),"*","~*"),"?","~?")),COUNTIFS(Results[關聯鍵],"="&amp;SUBSTITUTE(SUBSTITUTE(SUBSTITUTE(H164,"~","~~"),"*","~*"),"?","~?"),Results[分析項目],"="&amp;SUBSTITUTE(SUBSTITUTE(SUBSTITUTE(A164,"~","~~"),"*","~*"),"?","~?")))&gt;1,"同關聯鍵測項重複","OK")))</f>
        <v/>
      </c>
      <c r="AB164" s="93">
        <f>IF(COUNTA($A164:$D164)=0,"",IF(OR(C164="",K164=""),"缺單位",IF(NOT(ISNUMBER(L164)),"單位不相容",IF(L164=1,"OK","已換算"))))</f>
        <v/>
      </c>
      <c r="AC164" s="93">
        <f>IF(COUNTA($A164:$D164)=0,"",IF('07_QAQC'!$C$3="","未選比較版本",IF(U164=0,IF(COUNTIFS(DB_05[標準鍵],W164)&gt;1,"標準鍵重複","未訂此介質／測項門檻"),IF(INDEX(DB_05[版本檢查],U164)&lt;&gt;"OK","標準主檔待核",IF(INDEX(DB_05[標準單位],U164)&lt;&gt;K164,"標準單位不符",IF(INDEX(DB_05[核對狀態],U164)="停用","停用",IF(F164="","缺採樣日期",IF(OR(AND(INDEX(DB_05[生效日],U164)&lt;&gt;"",F164&lt;INDEX(DB_05[生效日],U164)),AND(INDEX(DB_05[失效日],U164)&lt;&gt;"",F164&gt;INDEX(DB_05[失效日],U164))),"日期不適用",INDEX(DB_05[核對狀態],U164)))))))))</f>
        <v/>
      </c>
      <c r="AD164" s="93">
        <f>IF(COUNTA($A164:$D164)=0,"",IF(AC164="未訂此介質／測項門檻",AC164,IF(AC164&lt;&gt;"已核對","標準待核",IF(R164="","未訂管制值",IF(NOT(ISNUMBER(L164)),"單位待核",IF(N164="ND","無法判定（ND無界限）",IF(N164="NA","不適用",IF(Z164&lt;&gt;"OK",Z164,IF(N164="數值",IF(Q164&gt;=R164,"達管制值","未達管制值"),IF(OR(N164="&lt;",N164="&lt;="),IF(OR(Q164&lt;R164,AND(N164="&lt;",Q164=R164)),"未達管制值","無法判定"),IF(OR(N164="&gt;",N164="&gt;="),IF(Q164&gt;=R164,"達管制值","無法判定"),"格式待核")))))))))))</f>
        <v/>
      </c>
      <c r="AE164" s="93">
        <f>IF(COUNTA($A164:$D164)=0,"",IF(AC164="未訂此介質／測項門檻",AC164,IF(AC164&lt;&gt;"已核對","標準待核",IF(S164="","未訂監測值",IF(NOT(ISNUMBER(L164)),"單位待核",IF(N164="ND","無法判定（ND無界限）",IF(N164="NA","不適用",IF(Z164&lt;&gt;"OK",Z164,IF(N164="數值",IF(Q164&gt;=S164,"達監測值","未達監測值"),IF(OR(N164="&lt;",N164="&lt;="),IF(OR(Q164&lt;S164,AND(N164="&lt;",Q164=S164)),"未達監測值","無法判定"),IF(OR(N164="&gt;",N164="&gt;="),IF(Q164&gt;=S164,"達監測值","無法判定"),"格式待核")))))))))))</f>
        <v/>
      </c>
      <c r="AF164" s="93">
        <f>IF(COUNTA($A164:$D164)=0,"",IF(OR(E164="",A164="",B164="",C164=""),"缺必要欄位",IF(Y164&lt;&gt;"OK","樣品資料待補",IF(T164=0,"測項未建或重複",IF(INDEX(DB_04[啟用],T164)&lt;&gt;"是","測項停用",IF(AND(Z164&lt;&gt;"OK",Z164&lt;&gt;"不適用"),Z164,IF(AND(AB164&lt;&gt;"OK",AB164&lt;&gt;"已換算"),"單位待核",IF(AA164&lt;&gt;"OK",AA164,"OK"))))))))</f>
        <v/>
      </c>
      <c r="AG164" s="93">
        <f>IF(COUNTA($A164:$D164)=0,"",IF(N164="ND","ND取0",IF(OR(N164="&lt;",N164="&lt;="),"界限除以2",IF(N164="NA","不適用",IF(OR(N164="&gt;",N164="&gt;="),"保留界限數值","保留原數值")))))</f>
        <v/>
      </c>
      <c r="AH164" s="92">
        <f>IF(O164="","",IFERROR(_xlfn.NUMBERVALUE(O164,".",","),""))</f>
        <v/>
      </c>
      <c r="AI164" s="92">
        <f>IF(H164="","",IFERROR(MATCH(H164,Samples[樣品編號],0),0))</f>
        <v/>
      </c>
    </row>
    <row r="165">
      <c r="A165" s="27" t="inlineStr">
        <is>
          <t>EC</t>
        </is>
      </c>
      <c r="B165" s="28" t="inlineStr">
        <is>
          <t>0.72</t>
        </is>
      </c>
      <c r="C165" s="27" t="inlineStr">
        <is>
          <t>mS/cm</t>
        </is>
      </c>
      <c r="D165" s="39" t="inlineStr">
        <is>
          <t>合成資料，非實測；method=field; temperature=25; temperature_compensated=25C; reference_temperature=25</t>
        </is>
      </c>
      <c r="E165" s="29">
        <f>IF(OR(I165="",I165=0),"",IF(INDEX(Samples[監測點],I165)="","",INDEX(Samples[監測點],I165)))</f>
        <v/>
      </c>
      <c r="F165" s="90">
        <f>IF(OR(I165="",I165=0),"",IF(INDEX(Samples[採樣日期],I165)="","",INDEX(Samples[採樣日期],I165)))</f>
        <v/>
      </c>
      <c r="G165" s="91">
        <f>IF(OR(M165="",M165="NA",M165="N/A"),"",IF(OR(M165="ND",M165="N.D."),0,IFERROR(IF(OR(OR(ISNUMBER(SEARCH("%",O165)),ISNUMBER(SEARCH(" ",O165)),ISNUMBER(SEARCH(",",O165))),OR(SUBSTITUTE(SUBSTITUTE(SUBSTITUTE(SUBSTITUTE(SUBSTITUTE(SUBSTITUTE(SUBSTITUTE(SUBSTITUTE(SUBSTITUTE(SUBSTITUTE(SUBSTITUTE(SUBSTITUTE(SUBSTITUTE(SUBSTITUTE(SUBSTITUTE(SUBSTITUTE(SUBSTITUTE(SUBSTITUTE("x"&amp;M165,"0",""),"1",""),"2",""),"3",""),"4",""),"5",""),"6",""),"7",""),"8",""),"9",""),".",""),"E",""),"+",""),"-",""),"&lt;",""),"&gt;",""),"=","")," ","")&lt;&gt;"x",ISNUMBER(SEARCH("-",SUBSTITUTE(SUBSTITUTE("x"&amp;MID(M165,2,99),"E-","E"),"E+","E"))),ISNUMBER(SEARCH("+",SUBSTITUTE(SUBSTITUTE("x"&amp;MID(M165,2,99),"E-","E"),"E+","E"))))),"",IF(AND(OR(LEFT(M165,1)="&lt;",LEFT(M165,1)="&gt;"),IF(O165="",0,IF(ISNUMBER(AH165),AH165,NA()))&lt;0),"",IF(O165="",0,IF(ISNUMBER(AH165),AH165,NA()))/IF(LEFT(M165,1)="&lt;",2,1))),"")))</f>
        <v/>
      </c>
      <c r="H165" s="57" t="inlineStr">
        <is>
          <t>BH04-W_20260115_03</t>
        </is>
      </c>
      <c r="I165" s="92">
        <f>IF(OR(H165="",AI165=0),0,IF(INDEX(Samples[樣品重複筆數],AI165)=1,AI165,0))</f>
        <v/>
      </c>
      <c r="J165" s="92">
        <f>IF(OR(COUNTA($A165:$D165)=0,I165=0),"",IF(INDEX(Samples[介質],I165)="","",INDEX(Samples[介質],I165)))</f>
        <v/>
      </c>
      <c r="K165" s="92">
        <f>IF(OR(COUNTA($A165:$D165)=0,T165=0),"",IF(INDEX(DB_04[標準單位],T165)="","",INDEX(DB_04[標準單位],T165)))</f>
        <v/>
      </c>
      <c r="L165" s="92">
        <f>IF(COUNTA($A165:$D165)=0,"",IF(OR(C165="",K165=""),"",IF(C165=K165,1,IF(COUNTIFS(DB_06[換算鍵],C165&amp;"|"&amp;K165,DB_06[換算檢查],"OK")=1,INDEX(DB_06[乘數],MATCH(C165&amp;"|"&amp;K165,DB_06[換算鍵],0)),""))))</f>
        <v/>
      </c>
      <c r="M165" s="92">
        <f>UPPER(SUBSTITUTE(SUBSTITUTE(SUBSTITUTE(SUBSTITUTE(TRIM(B165&amp;""),"＜","&lt;"),"＞","&gt;"),"≤","&lt;="),"≥","&gt;="))</f>
        <v/>
      </c>
      <c r="N165" s="92">
        <f>IF(M165="","",IF(OR(M165="ND",M165="N.D."),"ND",IF(OR(M165="NA",M165="N/A",M165="N.A."),"NA",IF(OR(LEFT(M165,2)="&lt;=",LEFT(M165,2)="&gt;="),LEFT(M165,2),IF(OR(LEFT(M165,1)="&lt;",LEFT(M165,1)="&gt;"),LEFT(M165,1),"數值")))))</f>
        <v/>
      </c>
      <c r="O165" s="92">
        <f>IF(OR(N165="",N165="ND",N165="NA"),"",IF(N165="數值",M165,TRIM(MID(M165,LEN(N165)+1,99))))</f>
        <v/>
      </c>
      <c r="P165" s="92">
        <f>IF(O165="","",IFERROR(IF(OR(OR(ISNUMBER(SEARCH("%",O165)),ISNUMBER(SEARCH(" ",O165)),ISNUMBER(SEARCH(",",O165))),OR(SUBSTITUTE(SUBSTITUTE(SUBSTITUTE(SUBSTITUTE(SUBSTITUTE(SUBSTITUTE(SUBSTITUTE(SUBSTITUTE(SUBSTITUTE(SUBSTITUTE(SUBSTITUTE(SUBSTITUTE(SUBSTITUTE(SUBSTITUTE(SUBSTITUTE(SUBSTITUTE(SUBSTITUTE(SUBSTITUTE("x"&amp;O165,"0",""),"1",""),"2",""),"3",""),"4",""),"5",""),"6",""),"7",""),"8",""),"9",""),".",""),"E",""),"+",""),"-",""),"&lt;",""),"&gt;",""),"=","")," ","")&lt;&gt;"x",ISNUMBER(SEARCH("-",SUBSTITUTE(SUBSTITUTE("x"&amp;MID(O165,2,99),"E-","E"),"E+","E"))),ISNUMBER(SEARCH("+",SUBSTITUTE(SUBSTITUTE("x"&amp;MID(O165,2,99),"E-","E"),"E+","E"))))),"",IF(ISNUMBER(AH165),AH165,NA())),""))</f>
        <v/>
      </c>
      <c r="Q165" s="92">
        <f>IF(AND(ISNUMBER(L165),ISNUMBER(P165)),L165*P165,"")</f>
        <v/>
      </c>
      <c r="R165" s="92">
        <f>IF(OR(COUNTA($A165:$D165)=0,U165=0),"",IF(INDEX(DB_05[管制設定值],U165)="","",INDEX(DB_05[管制設定值],U165)))</f>
        <v/>
      </c>
      <c r="S165" s="92">
        <f>IF(OR(COUNTA($A165:$D165)=0,U165=0),"",IF(INDEX(DB_05[監測設定值],U165)="","",INDEX(DB_05[監測設定值],U165)))</f>
        <v/>
      </c>
      <c r="T165" s="92">
        <f>IF(COUNTA($A165:$D165)=0,"",IF(COUNTIFS(DB_04[測項鍵],V165)=1,MATCH(V165,DB_04[測項鍵],0),0))</f>
        <v/>
      </c>
      <c r="U165" s="92">
        <f>IF(COUNTA($A165:$D165)=0,"",IF(COUNTIFS(DB_05[標準鍵],W165)=1,MATCH(W165,DB_05[標準鍵],0),0))</f>
        <v/>
      </c>
      <c r="V165" s="92">
        <f>IF(OR(J165="",A165=""),"",J165&amp;"|"&amp;A165)</f>
        <v/>
      </c>
      <c r="W165" s="92">
        <f>IF(OR('07_QAQC'!$C$3="",V165=""),"",'07_QAQC'!$C$3&amp;"|"&amp;V165)</f>
        <v/>
      </c>
      <c r="X165" s="92">
        <f>IF(OR(H165="",A165=""),"",LEN(H165)&amp;":"&amp;H165&amp;LEN(A165)&amp;":"&amp;A165)</f>
        <v/>
      </c>
      <c r="Y165" s="93">
        <f>IF(COUNTA($A165:$D165)=0,"",IF(I165=0,"樣品未建或重複",IF(INDEX(Samples[樣品檢查],I165)="","OK",INDEX(Samples[樣品檢查],I165))))</f>
        <v/>
      </c>
      <c r="Z165" s="93">
        <f>IF(COUNTA($A165:$D165)=0,"",IF(B165="","缺原始值",IF(OR(B165="-",B165="--"),"無資料",IF(N165="NA","不適用",IF(N165="ND","OK",IF(NOT(ISNUMBER(P165)),"格式待核",IF(AND(N165&lt;&gt;"數值",P165&lt;0),"界限不得為負","OK")))))))</f>
        <v/>
      </c>
      <c r="AA165" s="93">
        <f>IF(COUNTA(A165:D165)=0,"",IF(OR(A165="",H165=""),"缺識別欄位",IF(IF(LEN("="&amp;SUBSTITUTE(SUBSTITUTE(SUBSTITUTE(X165,"~","~~"),"*","~*"),"?","~?"))&lt;=255,COUNTIF(Results[結果識別鍵],"="&amp;SUBSTITUTE(SUBSTITUTE(SUBSTITUTE(X165,"~","~~"),"*","~*"),"?","~?")),COUNTIFS(Results[關聯鍵],"="&amp;SUBSTITUTE(SUBSTITUTE(SUBSTITUTE(H165,"~","~~"),"*","~*"),"?","~?"),Results[分析項目],"="&amp;SUBSTITUTE(SUBSTITUTE(SUBSTITUTE(A165,"~","~~"),"*","~*"),"?","~?")))&gt;1,"同關聯鍵測項重複","OK")))</f>
        <v/>
      </c>
      <c r="AB165" s="93">
        <f>IF(COUNTA($A165:$D165)=0,"",IF(OR(C165="",K165=""),"缺單位",IF(NOT(ISNUMBER(L165)),"單位不相容",IF(L165=1,"OK","已換算"))))</f>
        <v/>
      </c>
      <c r="AC165" s="93">
        <f>IF(COUNTA($A165:$D165)=0,"",IF('07_QAQC'!$C$3="","未選比較版本",IF(U165=0,IF(COUNTIFS(DB_05[標準鍵],W165)&gt;1,"標準鍵重複","未訂此介質／測項門檻"),IF(INDEX(DB_05[版本檢查],U165)&lt;&gt;"OK","標準主檔待核",IF(INDEX(DB_05[標準單位],U165)&lt;&gt;K165,"標準單位不符",IF(INDEX(DB_05[核對狀態],U165)="停用","停用",IF(F165="","缺採樣日期",IF(OR(AND(INDEX(DB_05[生效日],U165)&lt;&gt;"",F165&lt;INDEX(DB_05[生效日],U165)),AND(INDEX(DB_05[失效日],U165)&lt;&gt;"",F165&gt;INDEX(DB_05[失效日],U165))),"日期不適用",INDEX(DB_05[核對狀態],U165)))))))))</f>
        <v/>
      </c>
      <c r="AD165" s="93">
        <f>IF(COUNTA($A165:$D165)=0,"",IF(AC165="未訂此介質／測項門檻",AC165,IF(AC165&lt;&gt;"已核對","標準待核",IF(R165="","未訂管制值",IF(NOT(ISNUMBER(L165)),"單位待核",IF(N165="ND","無法判定（ND無界限）",IF(N165="NA","不適用",IF(Z165&lt;&gt;"OK",Z165,IF(N165="數值",IF(Q165&gt;=R165,"達管制值","未達管制值"),IF(OR(N165="&lt;",N165="&lt;="),IF(OR(Q165&lt;R165,AND(N165="&lt;",Q165=R165)),"未達管制值","無法判定"),IF(OR(N165="&gt;",N165="&gt;="),IF(Q165&gt;=R165,"達管制值","無法判定"),"格式待核")))))))))))</f>
        <v/>
      </c>
      <c r="AE165" s="93">
        <f>IF(COUNTA($A165:$D165)=0,"",IF(AC165="未訂此介質／測項門檻",AC165,IF(AC165&lt;&gt;"已核對","標準待核",IF(S165="","未訂監測值",IF(NOT(ISNUMBER(L165)),"單位待核",IF(N165="ND","無法判定（ND無界限）",IF(N165="NA","不適用",IF(Z165&lt;&gt;"OK",Z165,IF(N165="數值",IF(Q165&gt;=S165,"達監測值","未達監測值"),IF(OR(N165="&lt;",N165="&lt;="),IF(OR(Q165&lt;S165,AND(N165="&lt;",Q165=S165)),"未達監測值","無法判定"),IF(OR(N165="&gt;",N165="&gt;="),IF(Q165&gt;=S165,"達監測值","無法判定"),"格式待核")))))))))))</f>
        <v/>
      </c>
      <c r="AF165" s="93">
        <f>IF(COUNTA($A165:$D165)=0,"",IF(OR(E165="",A165="",B165="",C165=""),"缺必要欄位",IF(Y165&lt;&gt;"OK","樣品資料待補",IF(T165=0,"測項未建或重複",IF(INDEX(DB_04[啟用],T165)&lt;&gt;"是","測項停用",IF(AND(Z165&lt;&gt;"OK",Z165&lt;&gt;"不適用"),Z165,IF(AND(AB165&lt;&gt;"OK",AB165&lt;&gt;"已換算"),"單位待核",IF(AA165&lt;&gt;"OK",AA165,"OK"))))))))</f>
        <v/>
      </c>
      <c r="AG165" s="93">
        <f>IF(COUNTA($A165:$D165)=0,"",IF(N165="ND","ND取0",IF(OR(N165="&lt;",N165="&lt;="),"界限除以2",IF(N165="NA","不適用",IF(OR(N165="&gt;",N165="&gt;="),"保留界限數值","保留原數值")))))</f>
        <v/>
      </c>
      <c r="AH165" s="92">
        <f>IF(O165="","",IFERROR(_xlfn.NUMBERVALUE(O165,".",","),""))</f>
        <v/>
      </c>
      <c r="AI165" s="92">
        <f>IF(H165="","",IFERROR(MATCH(H165,Samples[樣品編號],0),0))</f>
        <v/>
      </c>
    </row>
    <row r="166">
      <c r="A166" s="27" t="inlineStr">
        <is>
          <t>DO</t>
        </is>
      </c>
      <c r="B166" s="28" t="inlineStr">
        <is>
          <t>4.0</t>
        </is>
      </c>
      <c r="C166" s="27" t="inlineStr">
        <is>
          <t>mg/L</t>
        </is>
      </c>
      <c r="D166" s="39" t="inlineStr">
        <is>
          <t>合成資料，非實測；method=field</t>
        </is>
      </c>
      <c r="E166" s="29">
        <f>IF(OR(I166="",I166=0),"",IF(INDEX(Samples[監測點],I166)="","",INDEX(Samples[監測點],I166)))</f>
        <v/>
      </c>
      <c r="F166" s="90">
        <f>IF(OR(I166="",I166=0),"",IF(INDEX(Samples[採樣日期],I166)="","",INDEX(Samples[採樣日期],I166)))</f>
        <v/>
      </c>
      <c r="G166" s="91">
        <f>IF(OR(M166="",M166="NA",M166="N/A"),"",IF(OR(M166="ND",M166="N.D."),0,IFERROR(IF(OR(OR(ISNUMBER(SEARCH("%",O166)),ISNUMBER(SEARCH(" ",O166)),ISNUMBER(SEARCH(",",O166))),OR(SUBSTITUTE(SUBSTITUTE(SUBSTITUTE(SUBSTITUTE(SUBSTITUTE(SUBSTITUTE(SUBSTITUTE(SUBSTITUTE(SUBSTITUTE(SUBSTITUTE(SUBSTITUTE(SUBSTITUTE(SUBSTITUTE(SUBSTITUTE(SUBSTITUTE(SUBSTITUTE(SUBSTITUTE(SUBSTITUTE("x"&amp;M166,"0",""),"1",""),"2",""),"3",""),"4",""),"5",""),"6",""),"7",""),"8",""),"9",""),".",""),"E",""),"+",""),"-",""),"&lt;",""),"&gt;",""),"=","")," ","")&lt;&gt;"x",ISNUMBER(SEARCH("-",SUBSTITUTE(SUBSTITUTE("x"&amp;MID(M166,2,99),"E-","E"),"E+","E"))),ISNUMBER(SEARCH("+",SUBSTITUTE(SUBSTITUTE("x"&amp;MID(M166,2,99),"E-","E"),"E+","E"))))),"",IF(AND(OR(LEFT(M166,1)="&lt;",LEFT(M166,1)="&gt;"),IF(O166="",0,IF(ISNUMBER(AH166),AH166,NA()))&lt;0),"",IF(O166="",0,IF(ISNUMBER(AH166),AH166,NA()))/IF(LEFT(M166,1)="&lt;",2,1))),"")))</f>
        <v/>
      </c>
      <c r="H166" s="57" t="inlineStr">
        <is>
          <t>BH04-W_20260115_03</t>
        </is>
      </c>
      <c r="I166" s="92">
        <f>IF(OR(H166="",AI166=0),0,IF(INDEX(Samples[樣品重複筆數],AI166)=1,AI166,0))</f>
        <v/>
      </c>
      <c r="J166" s="92">
        <f>IF(OR(COUNTA($A166:$D166)=0,I166=0),"",IF(INDEX(Samples[介質],I166)="","",INDEX(Samples[介質],I166)))</f>
        <v/>
      </c>
      <c r="K166" s="92">
        <f>IF(OR(COUNTA($A166:$D166)=0,T166=0),"",IF(INDEX(DB_04[標準單位],T166)="","",INDEX(DB_04[標準單位],T166)))</f>
        <v/>
      </c>
      <c r="L166" s="92">
        <f>IF(COUNTA($A166:$D166)=0,"",IF(OR(C166="",K166=""),"",IF(C166=K166,1,IF(COUNTIFS(DB_06[換算鍵],C166&amp;"|"&amp;K166,DB_06[換算檢查],"OK")=1,INDEX(DB_06[乘數],MATCH(C166&amp;"|"&amp;K166,DB_06[換算鍵],0)),""))))</f>
        <v/>
      </c>
      <c r="M166" s="92">
        <f>UPPER(SUBSTITUTE(SUBSTITUTE(SUBSTITUTE(SUBSTITUTE(TRIM(B166&amp;""),"＜","&lt;"),"＞","&gt;"),"≤","&lt;="),"≥","&gt;="))</f>
        <v/>
      </c>
      <c r="N166" s="92">
        <f>IF(M166="","",IF(OR(M166="ND",M166="N.D."),"ND",IF(OR(M166="NA",M166="N/A",M166="N.A."),"NA",IF(OR(LEFT(M166,2)="&lt;=",LEFT(M166,2)="&gt;="),LEFT(M166,2),IF(OR(LEFT(M166,1)="&lt;",LEFT(M166,1)="&gt;"),LEFT(M166,1),"數值")))))</f>
        <v/>
      </c>
      <c r="O166" s="92">
        <f>IF(OR(N166="",N166="ND",N166="NA"),"",IF(N166="數值",M166,TRIM(MID(M166,LEN(N166)+1,99))))</f>
        <v/>
      </c>
      <c r="P166" s="92">
        <f>IF(O166="","",IFERROR(IF(OR(OR(ISNUMBER(SEARCH("%",O166)),ISNUMBER(SEARCH(" ",O166)),ISNUMBER(SEARCH(",",O166))),OR(SUBSTITUTE(SUBSTITUTE(SUBSTITUTE(SUBSTITUTE(SUBSTITUTE(SUBSTITUTE(SUBSTITUTE(SUBSTITUTE(SUBSTITUTE(SUBSTITUTE(SUBSTITUTE(SUBSTITUTE(SUBSTITUTE(SUBSTITUTE(SUBSTITUTE(SUBSTITUTE(SUBSTITUTE(SUBSTITUTE("x"&amp;O166,"0",""),"1",""),"2",""),"3",""),"4",""),"5",""),"6",""),"7",""),"8",""),"9",""),".",""),"E",""),"+",""),"-",""),"&lt;",""),"&gt;",""),"=","")," ","")&lt;&gt;"x",ISNUMBER(SEARCH("-",SUBSTITUTE(SUBSTITUTE("x"&amp;MID(O166,2,99),"E-","E"),"E+","E"))),ISNUMBER(SEARCH("+",SUBSTITUTE(SUBSTITUTE("x"&amp;MID(O166,2,99),"E-","E"),"E+","E"))))),"",IF(ISNUMBER(AH166),AH166,NA())),""))</f>
        <v/>
      </c>
      <c r="Q166" s="92">
        <f>IF(AND(ISNUMBER(L166),ISNUMBER(P166)),L166*P166,"")</f>
        <v/>
      </c>
      <c r="R166" s="92">
        <f>IF(OR(COUNTA($A166:$D166)=0,U166=0),"",IF(INDEX(DB_05[管制設定值],U166)="","",INDEX(DB_05[管制設定值],U166)))</f>
        <v/>
      </c>
      <c r="S166" s="92">
        <f>IF(OR(COUNTA($A166:$D166)=0,U166=0),"",IF(INDEX(DB_05[監測設定值],U166)="","",INDEX(DB_05[監測設定值],U166)))</f>
        <v/>
      </c>
      <c r="T166" s="92">
        <f>IF(COUNTA($A166:$D166)=0,"",IF(COUNTIFS(DB_04[測項鍵],V166)=1,MATCH(V166,DB_04[測項鍵],0),0))</f>
        <v/>
      </c>
      <c r="U166" s="92">
        <f>IF(COUNTA($A166:$D166)=0,"",IF(COUNTIFS(DB_05[標準鍵],W166)=1,MATCH(W166,DB_05[標準鍵],0),0))</f>
        <v/>
      </c>
      <c r="V166" s="92">
        <f>IF(OR(J166="",A166=""),"",J166&amp;"|"&amp;A166)</f>
        <v/>
      </c>
      <c r="W166" s="92">
        <f>IF(OR('07_QAQC'!$C$3="",V166=""),"",'07_QAQC'!$C$3&amp;"|"&amp;V166)</f>
        <v/>
      </c>
      <c r="X166" s="92">
        <f>IF(OR(H166="",A166=""),"",LEN(H166)&amp;":"&amp;H166&amp;LEN(A166)&amp;":"&amp;A166)</f>
        <v/>
      </c>
      <c r="Y166" s="93">
        <f>IF(COUNTA($A166:$D166)=0,"",IF(I166=0,"樣品未建或重複",IF(INDEX(Samples[樣品檢查],I166)="","OK",INDEX(Samples[樣品檢查],I166))))</f>
        <v/>
      </c>
      <c r="Z166" s="93">
        <f>IF(COUNTA($A166:$D166)=0,"",IF(B166="","缺原始值",IF(OR(B166="-",B166="--"),"無資料",IF(N166="NA","不適用",IF(N166="ND","OK",IF(NOT(ISNUMBER(P166)),"格式待核",IF(AND(N166&lt;&gt;"數值",P166&lt;0),"界限不得為負","OK")))))))</f>
        <v/>
      </c>
      <c r="AA166" s="93">
        <f>IF(COUNTA(A166:D166)=0,"",IF(OR(A166="",H166=""),"缺識別欄位",IF(IF(LEN("="&amp;SUBSTITUTE(SUBSTITUTE(SUBSTITUTE(X166,"~","~~"),"*","~*"),"?","~?"))&lt;=255,COUNTIF(Results[結果識別鍵],"="&amp;SUBSTITUTE(SUBSTITUTE(SUBSTITUTE(X166,"~","~~"),"*","~*"),"?","~?")),COUNTIFS(Results[關聯鍵],"="&amp;SUBSTITUTE(SUBSTITUTE(SUBSTITUTE(H166,"~","~~"),"*","~*"),"?","~?"),Results[分析項目],"="&amp;SUBSTITUTE(SUBSTITUTE(SUBSTITUTE(A166,"~","~~"),"*","~*"),"?","~?")))&gt;1,"同關聯鍵測項重複","OK")))</f>
        <v/>
      </c>
      <c r="AB166" s="93">
        <f>IF(COUNTA($A166:$D166)=0,"",IF(OR(C166="",K166=""),"缺單位",IF(NOT(ISNUMBER(L166)),"單位不相容",IF(L166=1,"OK","已換算"))))</f>
        <v/>
      </c>
      <c r="AC166" s="93">
        <f>IF(COUNTA($A166:$D166)=0,"",IF('07_QAQC'!$C$3="","未選比較版本",IF(U166=0,IF(COUNTIFS(DB_05[標準鍵],W166)&gt;1,"標準鍵重複","未訂此介質／測項門檻"),IF(INDEX(DB_05[版本檢查],U166)&lt;&gt;"OK","標準主檔待核",IF(INDEX(DB_05[標準單位],U166)&lt;&gt;K166,"標準單位不符",IF(INDEX(DB_05[核對狀態],U166)="停用","停用",IF(F166="","缺採樣日期",IF(OR(AND(INDEX(DB_05[生效日],U166)&lt;&gt;"",F166&lt;INDEX(DB_05[生效日],U166)),AND(INDEX(DB_05[失效日],U166)&lt;&gt;"",F166&gt;INDEX(DB_05[失效日],U166))),"日期不適用",INDEX(DB_05[核對狀態],U166)))))))))</f>
        <v/>
      </c>
      <c r="AD166" s="93">
        <f>IF(COUNTA($A166:$D166)=0,"",IF(AC166="未訂此介質／測項門檻",AC166,IF(AC166&lt;&gt;"已核對","標準待核",IF(R166="","未訂管制值",IF(NOT(ISNUMBER(L166)),"單位待核",IF(N166="ND","無法判定（ND無界限）",IF(N166="NA","不適用",IF(Z166&lt;&gt;"OK",Z166,IF(N166="數值",IF(Q166&gt;=R166,"達管制值","未達管制值"),IF(OR(N166="&lt;",N166="&lt;="),IF(OR(Q166&lt;R166,AND(N166="&lt;",Q166=R166)),"未達管制值","無法判定"),IF(OR(N166="&gt;",N166="&gt;="),IF(Q166&gt;=R166,"達管制值","無法判定"),"格式待核")))))))))))</f>
        <v/>
      </c>
      <c r="AE166" s="93">
        <f>IF(COUNTA($A166:$D166)=0,"",IF(AC166="未訂此介質／測項門檻",AC166,IF(AC166&lt;&gt;"已核對","標準待核",IF(S166="","未訂監測值",IF(NOT(ISNUMBER(L166)),"單位待核",IF(N166="ND","無法判定（ND無界限）",IF(N166="NA","不適用",IF(Z166&lt;&gt;"OK",Z166,IF(N166="數值",IF(Q166&gt;=S166,"達監測值","未達監測值"),IF(OR(N166="&lt;",N166="&lt;="),IF(OR(Q166&lt;S166,AND(N166="&lt;",Q166=S166)),"未達監測值","無法判定"),IF(OR(N166="&gt;",N166="&gt;="),IF(Q166&gt;=S166,"達監測值","無法判定"),"格式待核")))))))))))</f>
        <v/>
      </c>
      <c r="AF166" s="93">
        <f>IF(COUNTA($A166:$D166)=0,"",IF(OR(E166="",A166="",B166="",C166=""),"缺必要欄位",IF(Y166&lt;&gt;"OK","樣品資料待補",IF(T166=0,"測項未建或重複",IF(INDEX(DB_04[啟用],T166)&lt;&gt;"是","測項停用",IF(AND(Z166&lt;&gt;"OK",Z166&lt;&gt;"不適用"),Z166,IF(AND(AB166&lt;&gt;"OK",AB166&lt;&gt;"已換算"),"單位待核",IF(AA166&lt;&gt;"OK",AA166,"OK"))))))))</f>
        <v/>
      </c>
      <c r="AG166" s="93">
        <f>IF(COUNTA($A166:$D166)=0,"",IF(N166="ND","ND取0",IF(OR(N166="&lt;",N166="&lt;="),"界限除以2",IF(N166="NA","不適用",IF(OR(N166="&gt;",N166="&gt;="),"保留界限數值","保留原數值")))))</f>
        <v/>
      </c>
      <c r="AH166" s="92">
        <f>IF(O166="","",IFERROR(_xlfn.NUMBERVALUE(O166,".",","),""))</f>
        <v/>
      </c>
      <c r="AI166" s="92">
        <f>IF(H166="","",IFERROR(MATCH(H166,Samples[樣品編號],0),0))</f>
        <v/>
      </c>
    </row>
    <row r="167">
      <c r="A167" s="27" t="inlineStr">
        <is>
          <t>溶氧飽和度</t>
        </is>
      </c>
      <c r="B167" s="28" t="inlineStr">
        <is>
          <t>52</t>
        </is>
      </c>
      <c r="C167" s="27" t="inlineStr">
        <is>
          <t>%</t>
        </is>
      </c>
      <c r="D167" s="39" t="inlineStr">
        <is>
          <t>合成資料，非實測；method=field</t>
        </is>
      </c>
      <c r="E167" s="29">
        <f>IF(OR(I167="",I167=0),"",IF(INDEX(Samples[監測點],I167)="","",INDEX(Samples[監測點],I167)))</f>
        <v/>
      </c>
      <c r="F167" s="90">
        <f>IF(OR(I167="",I167=0),"",IF(INDEX(Samples[採樣日期],I167)="","",INDEX(Samples[採樣日期],I167)))</f>
        <v/>
      </c>
      <c r="G167" s="91">
        <f>IF(OR(M167="",M167="NA",M167="N/A"),"",IF(OR(M167="ND",M167="N.D."),0,IFERROR(IF(OR(OR(ISNUMBER(SEARCH("%",O167)),ISNUMBER(SEARCH(" ",O167)),ISNUMBER(SEARCH(",",O167))),OR(SUBSTITUTE(SUBSTITUTE(SUBSTITUTE(SUBSTITUTE(SUBSTITUTE(SUBSTITUTE(SUBSTITUTE(SUBSTITUTE(SUBSTITUTE(SUBSTITUTE(SUBSTITUTE(SUBSTITUTE(SUBSTITUTE(SUBSTITUTE(SUBSTITUTE(SUBSTITUTE(SUBSTITUTE(SUBSTITUTE("x"&amp;M167,"0",""),"1",""),"2",""),"3",""),"4",""),"5",""),"6",""),"7",""),"8",""),"9",""),".",""),"E",""),"+",""),"-",""),"&lt;",""),"&gt;",""),"=","")," ","")&lt;&gt;"x",ISNUMBER(SEARCH("-",SUBSTITUTE(SUBSTITUTE("x"&amp;MID(M167,2,99),"E-","E"),"E+","E"))),ISNUMBER(SEARCH("+",SUBSTITUTE(SUBSTITUTE("x"&amp;MID(M167,2,99),"E-","E"),"E+","E"))))),"",IF(AND(OR(LEFT(M167,1)="&lt;",LEFT(M167,1)="&gt;"),IF(O167="",0,IF(ISNUMBER(AH167),AH167,NA()))&lt;0),"",IF(O167="",0,IF(ISNUMBER(AH167),AH167,NA()))/IF(LEFT(M167,1)="&lt;",2,1))),"")))</f>
        <v/>
      </c>
      <c r="H167" s="57" t="inlineStr">
        <is>
          <t>BH04-W_20260115_03</t>
        </is>
      </c>
      <c r="I167" s="92">
        <f>IF(OR(H167="",AI167=0),0,IF(INDEX(Samples[樣品重複筆數],AI167)=1,AI167,0))</f>
        <v/>
      </c>
      <c r="J167" s="92">
        <f>IF(OR(COUNTA($A167:$D167)=0,I167=0),"",IF(INDEX(Samples[介質],I167)="","",INDEX(Samples[介質],I167)))</f>
        <v/>
      </c>
      <c r="K167" s="92">
        <f>IF(OR(COUNTA($A167:$D167)=0,T167=0),"",IF(INDEX(DB_04[標準單位],T167)="","",INDEX(DB_04[標準單位],T167)))</f>
        <v/>
      </c>
      <c r="L167" s="92">
        <f>IF(COUNTA($A167:$D167)=0,"",IF(OR(C167="",K167=""),"",IF(C167=K167,1,IF(COUNTIFS(DB_06[換算鍵],C167&amp;"|"&amp;K167,DB_06[換算檢查],"OK")=1,INDEX(DB_06[乘數],MATCH(C167&amp;"|"&amp;K167,DB_06[換算鍵],0)),""))))</f>
        <v/>
      </c>
      <c r="M167" s="92">
        <f>UPPER(SUBSTITUTE(SUBSTITUTE(SUBSTITUTE(SUBSTITUTE(TRIM(B167&amp;""),"＜","&lt;"),"＞","&gt;"),"≤","&lt;="),"≥","&gt;="))</f>
        <v/>
      </c>
      <c r="N167" s="92">
        <f>IF(M167="","",IF(OR(M167="ND",M167="N.D."),"ND",IF(OR(M167="NA",M167="N/A",M167="N.A."),"NA",IF(OR(LEFT(M167,2)="&lt;=",LEFT(M167,2)="&gt;="),LEFT(M167,2),IF(OR(LEFT(M167,1)="&lt;",LEFT(M167,1)="&gt;"),LEFT(M167,1),"數值")))))</f>
        <v/>
      </c>
      <c r="O167" s="92">
        <f>IF(OR(N167="",N167="ND",N167="NA"),"",IF(N167="數值",M167,TRIM(MID(M167,LEN(N167)+1,99))))</f>
        <v/>
      </c>
      <c r="P167" s="92">
        <f>IF(O167="","",IFERROR(IF(OR(OR(ISNUMBER(SEARCH("%",O167)),ISNUMBER(SEARCH(" ",O167)),ISNUMBER(SEARCH(",",O167))),OR(SUBSTITUTE(SUBSTITUTE(SUBSTITUTE(SUBSTITUTE(SUBSTITUTE(SUBSTITUTE(SUBSTITUTE(SUBSTITUTE(SUBSTITUTE(SUBSTITUTE(SUBSTITUTE(SUBSTITUTE(SUBSTITUTE(SUBSTITUTE(SUBSTITUTE(SUBSTITUTE(SUBSTITUTE(SUBSTITUTE("x"&amp;O167,"0",""),"1",""),"2",""),"3",""),"4",""),"5",""),"6",""),"7",""),"8",""),"9",""),".",""),"E",""),"+",""),"-",""),"&lt;",""),"&gt;",""),"=","")," ","")&lt;&gt;"x",ISNUMBER(SEARCH("-",SUBSTITUTE(SUBSTITUTE("x"&amp;MID(O167,2,99),"E-","E"),"E+","E"))),ISNUMBER(SEARCH("+",SUBSTITUTE(SUBSTITUTE("x"&amp;MID(O167,2,99),"E-","E"),"E+","E"))))),"",IF(ISNUMBER(AH167),AH167,NA())),""))</f>
        <v/>
      </c>
      <c r="Q167" s="92">
        <f>IF(AND(ISNUMBER(L167),ISNUMBER(P167)),L167*P167,"")</f>
        <v/>
      </c>
      <c r="R167" s="92">
        <f>IF(OR(COUNTA($A167:$D167)=0,U167=0),"",IF(INDEX(DB_05[管制設定值],U167)="","",INDEX(DB_05[管制設定值],U167)))</f>
        <v/>
      </c>
      <c r="S167" s="92">
        <f>IF(OR(COUNTA($A167:$D167)=0,U167=0),"",IF(INDEX(DB_05[監測設定值],U167)="","",INDEX(DB_05[監測設定值],U167)))</f>
        <v/>
      </c>
      <c r="T167" s="92">
        <f>IF(COUNTA($A167:$D167)=0,"",IF(COUNTIFS(DB_04[測項鍵],V167)=1,MATCH(V167,DB_04[測項鍵],0),0))</f>
        <v/>
      </c>
      <c r="U167" s="92">
        <f>IF(COUNTA($A167:$D167)=0,"",IF(COUNTIFS(DB_05[標準鍵],W167)=1,MATCH(W167,DB_05[標準鍵],0),0))</f>
        <v/>
      </c>
      <c r="V167" s="92">
        <f>IF(OR(J167="",A167=""),"",J167&amp;"|"&amp;A167)</f>
        <v/>
      </c>
      <c r="W167" s="92">
        <f>IF(OR('07_QAQC'!$C$3="",V167=""),"",'07_QAQC'!$C$3&amp;"|"&amp;V167)</f>
        <v/>
      </c>
      <c r="X167" s="92">
        <f>IF(OR(H167="",A167=""),"",LEN(H167)&amp;":"&amp;H167&amp;LEN(A167)&amp;":"&amp;A167)</f>
        <v/>
      </c>
      <c r="Y167" s="93">
        <f>IF(COUNTA($A167:$D167)=0,"",IF(I167=0,"樣品未建或重複",IF(INDEX(Samples[樣品檢查],I167)="","OK",INDEX(Samples[樣品檢查],I167))))</f>
        <v/>
      </c>
      <c r="Z167" s="93">
        <f>IF(COUNTA($A167:$D167)=0,"",IF(B167="","缺原始值",IF(OR(B167="-",B167="--"),"無資料",IF(N167="NA","不適用",IF(N167="ND","OK",IF(NOT(ISNUMBER(P167)),"格式待核",IF(AND(N167&lt;&gt;"數值",P167&lt;0),"界限不得為負","OK")))))))</f>
        <v/>
      </c>
      <c r="AA167" s="93">
        <f>IF(COUNTA(A167:D167)=0,"",IF(OR(A167="",H167=""),"缺識別欄位",IF(IF(LEN("="&amp;SUBSTITUTE(SUBSTITUTE(SUBSTITUTE(X167,"~","~~"),"*","~*"),"?","~?"))&lt;=255,COUNTIF(Results[結果識別鍵],"="&amp;SUBSTITUTE(SUBSTITUTE(SUBSTITUTE(X167,"~","~~"),"*","~*"),"?","~?")),COUNTIFS(Results[關聯鍵],"="&amp;SUBSTITUTE(SUBSTITUTE(SUBSTITUTE(H167,"~","~~"),"*","~*"),"?","~?"),Results[分析項目],"="&amp;SUBSTITUTE(SUBSTITUTE(SUBSTITUTE(A167,"~","~~"),"*","~*"),"?","~?")))&gt;1,"同關聯鍵測項重複","OK")))</f>
        <v/>
      </c>
      <c r="AB167" s="93">
        <f>IF(COUNTA($A167:$D167)=0,"",IF(OR(C167="",K167=""),"缺單位",IF(NOT(ISNUMBER(L167)),"單位不相容",IF(L167=1,"OK","已換算"))))</f>
        <v/>
      </c>
      <c r="AC167" s="93">
        <f>IF(COUNTA($A167:$D167)=0,"",IF('07_QAQC'!$C$3="","未選比較版本",IF(U167=0,IF(COUNTIFS(DB_05[標準鍵],W167)&gt;1,"標準鍵重複","未訂此介質／測項門檻"),IF(INDEX(DB_05[版本檢查],U167)&lt;&gt;"OK","標準主檔待核",IF(INDEX(DB_05[標準單位],U167)&lt;&gt;K167,"標準單位不符",IF(INDEX(DB_05[核對狀態],U167)="停用","停用",IF(F167="","缺採樣日期",IF(OR(AND(INDEX(DB_05[生效日],U167)&lt;&gt;"",F167&lt;INDEX(DB_05[生效日],U167)),AND(INDEX(DB_05[失效日],U167)&lt;&gt;"",F167&gt;INDEX(DB_05[失效日],U167))),"日期不適用",INDEX(DB_05[核對狀態],U167)))))))))</f>
        <v/>
      </c>
      <c r="AD167" s="93">
        <f>IF(COUNTA($A167:$D167)=0,"",IF(AC167="未訂此介質／測項門檻",AC167,IF(AC167&lt;&gt;"已核對","標準待核",IF(R167="","未訂管制值",IF(NOT(ISNUMBER(L167)),"單位待核",IF(N167="ND","無法判定（ND無界限）",IF(N167="NA","不適用",IF(Z167&lt;&gt;"OK",Z167,IF(N167="數值",IF(Q167&gt;=R167,"達管制值","未達管制值"),IF(OR(N167="&lt;",N167="&lt;="),IF(OR(Q167&lt;R167,AND(N167="&lt;",Q167=R167)),"未達管制值","無法判定"),IF(OR(N167="&gt;",N167="&gt;="),IF(Q167&gt;=R167,"達管制值","無法判定"),"格式待核")))))))))))</f>
        <v/>
      </c>
      <c r="AE167" s="93">
        <f>IF(COUNTA($A167:$D167)=0,"",IF(AC167="未訂此介質／測項門檻",AC167,IF(AC167&lt;&gt;"已核對","標準待核",IF(S167="","未訂監測值",IF(NOT(ISNUMBER(L167)),"單位待核",IF(N167="ND","無法判定（ND無界限）",IF(N167="NA","不適用",IF(Z167&lt;&gt;"OK",Z167,IF(N167="數值",IF(Q167&gt;=S167,"達監測值","未達監測值"),IF(OR(N167="&lt;",N167="&lt;="),IF(OR(Q167&lt;S167,AND(N167="&lt;",Q167=S167)),"未達監測值","無法判定"),IF(OR(N167="&gt;",N167="&gt;="),IF(Q167&gt;=S167,"達監測值","無法判定"),"格式待核")))))))))))</f>
        <v/>
      </c>
      <c r="AF167" s="93">
        <f>IF(COUNTA($A167:$D167)=0,"",IF(OR(E167="",A167="",B167="",C167=""),"缺必要欄位",IF(Y167&lt;&gt;"OK","樣品資料待補",IF(T167=0,"測項未建或重複",IF(INDEX(DB_04[啟用],T167)&lt;&gt;"是","測項停用",IF(AND(Z167&lt;&gt;"OK",Z167&lt;&gt;"不適用"),Z167,IF(AND(AB167&lt;&gt;"OK",AB167&lt;&gt;"已換算"),"單位待核",IF(AA167&lt;&gt;"OK",AA167,"OK"))))))))</f>
        <v/>
      </c>
      <c r="AG167" s="93">
        <f>IF(COUNTA($A167:$D167)=0,"",IF(N167="ND","ND取0",IF(OR(N167="&lt;",N167="&lt;="),"界限除以2",IF(N167="NA","不適用",IF(OR(N167="&gt;",N167="&gt;="),"保留界限數值","保留原數值")))))</f>
        <v/>
      </c>
      <c r="AH167" s="92">
        <f>IF(O167="","",IFERROR(_xlfn.NUMBERVALUE(O167,".",","),""))</f>
        <v/>
      </c>
      <c r="AI167" s="92">
        <f>IF(H167="","",IFERROR(MATCH(H167,Samples[樣品編號],0),0))</f>
        <v/>
      </c>
    </row>
    <row r="168">
      <c r="A168" s="27" t="inlineStr">
        <is>
          <t>ORP</t>
        </is>
      </c>
      <c r="B168" s="28" t="inlineStr">
        <is>
          <t>-90</t>
        </is>
      </c>
      <c r="C168" s="27" t="inlineStr">
        <is>
          <t>mV</t>
        </is>
      </c>
      <c r="D168" s="39" t="inlineStr">
        <is>
          <t>合成資料，非實測；method=field; reference_electrode=Ag/AgCl; calibration=verified</t>
        </is>
      </c>
      <c r="E168" s="29">
        <f>IF(OR(I168="",I168=0),"",IF(INDEX(Samples[監測點],I168)="","",INDEX(Samples[監測點],I168)))</f>
        <v/>
      </c>
      <c r="F168" s="90">
        <f>IF(OR(I168="",I168=0),"",IF(INDEX(Samples[採樣日期],I168)="","",INDEX(Samples[採樣日期],I168)))</f>
        <v/>
      </c>
      <c r="G168" s="91">
        <f>IF(OR(M168="",M168="NA",M168="N/A"),"",IF(OR(M168="ND",M168="N.D."),0,IFERROR(IF(OR(OR(ISNUMBER(SEARCH("%",O168)),ISNUMBER(SEARCH(" ",O168)),ISNUMBER(SEARCH(",",O168))),OR(SUBSTITUTE(SUBSTITUTE(SUBSTITUTE(SUBSTITUTE(SUBSTITUTE(SUBSTITUTE(SUBSTITUTE(SUBSTITUTE(SUBSTITUTE(SUBSTITUTE(SUBSTITUTE(SUBSTITUTE(SUBSTITUTE(SUBSTITUTE(SUBSTITUTE(SUBSTITUTE(SUBSTITUTE(SUBSTITUTE("x"&amp;M168,"0",""),"1",""),"2",""),"3",""),"4",""),"5",""),"6",""),"7",""),"8",""),"9",""),".",""),"E",""),"+",""),"-",""),"&lt;",""),"&gt;",""),"=","")," ","")&lt;&gt;"x",ISNUMBER(SEARCH("-",SUBSTITUTE(SUBSTITUTE("x"&amp;MID(M168,2,99),"E-","E"),"E+","E"))),ISNUMBER(SEARCH("+",SUBSTITUTE(SUBSTITUTE("x"&amp;MID(M168,2,99),"E-","E"),"E+","E"))))),"",IF(AND(OR(LEFT(M168,1)="&lt;",LEFT(M168,1)="&gt;"),IF(O168="",0,IF(ISNUMBER(AH168),AH168,NA()))&lt;0),"",IF(O168="",0,IF(ISNUMBER(AH168),AH168,NA()))/IF(LEFT(M168,1)="&lt;",2,1))),"")))</f>
        <v/>
      </c>
      <c r="H168" s="57" t="inlineStr">
        <is>
          <t>BH04-W_20260115_03</t>
        </is>
      </c>
      <c r="I168" s="92">
        <f>IF(OR(H168="",AI168=0),0,IF(INDEX(Samples[樣品重複筆數],AI168)=1,AI168,0))</f>
        <v/>
      </c>
      <c r="J168" s="92">
        <f>IF(OR(COUNTA($A168:$D168)=0,I168=0),"",IF(INDEX(Samples[介質],I168)="","",INDEX(Samples[介質],I168)))</f>
        <v/>
      </c>
      <c r="K168" s="92">
        <f>IF(OR(COUNTA($A168:$D168)=0,T168=0),"",IF(INDEX(DB_04[標準單位],T168)="","",INDEX(DB_04[標準單位],T168)))</f>
        <v/>
      </c>
      <c r="L168" s="92">
        <f>IF(COUNTA($A168:$D168)=0,"",IF(OR(C168="",K168=""),"",IF(C168=K168,1,IF(COUNTIFS(DB_06[換算鍵],C168&amp;"|"&amp;K168,DB_06[換算檢查],"OK")=1,INDEX(DB_06[乘數],MATCH(C168&amp;"|"&amp;K168,DB_06[換算鍵],0)),""))))</f>
        <v/>
      </c>
      <c r="M168" s="92">
        <f>UPPER(SUBSTITUTE(SUBSTITUTE(SUBSTITUTE(SUBSTITUTE(TRIM(B168&amp;""),"＜","&lt;"),"＞","&gt;"),"≤","&lt;="),"≥","&gt;="))</f>
        <v/>
      </c>
      <c r="N168" s="92">
        <f>IF(M168="","",IF(OR(M168="ND",M168="N.D."),"ND",IF(OR(M168="NA",M168="N/A",M168="N.A."),"NA",IF(OR(LEFT(M168,2)="&lt;=",LEFT(M168,2)="&gt;="),LEFT(M168,2),IF(OR(LEFT(M168,1)="&lt;",LEFT(M168,1)="&gt;"),LEFT(M168,1),"數值")))))</f>
        <v/>
      </c>
      <c r="O168" s="92">
        <f>IF(OR(N168="",N168="ND",N168="NA"),"",IF(N168="數值",M168,TRIM(MID(M168,LEN(N168)+1,99))))</f>
        <v/>
      </c>
      <c r="P168" s="92">
        <f>IF(O168="","",IFERROR(IF(OR(OR(ISNUMBER(SEARCH("%",O168)),ISNUMBER(SEARCH(" ",O168)),ISNUMBER(SEARCH(",",O168))),OR(SUBSTITUTE(SUBSTITUTE(SUBSTITUTE(SUBSTITUTE(SUBSTITUTE(SUBSTITUTE(SUBSTITUTE(SUBSTITUTE(SUBSTITUTE(SUBSTITUTE(SUBSTITUTE(SUBSTITUTE(SUBSTITUTE(SUBSTITUTE(SUBSTITUTE(SUBSTITUTE(SUBSTITUTE(SUBSTITUTE("x"&amp;O168,"0",""),"1",""),"2",""),"3",""),"4",""),"5",""),"6",""),"7",""),"8",""),"9",""),".",""),"E",""),"+",""),"-",""),"&lt;",""),"&gt;",""),"=","")," ","")&lt;&gt;"x",ISNUMBER(SEARCH("-",SUBSTITUTE(SUBSTITUTE("x"&amp;MID(O168,2,99),"E-","E"),"E+","E"))),ISNUMBER(SEARCH("+",SUBSTITUTE(SUBSTITUTE("x"&amp;MID(O168,2,99),"E-","E"),"E+","E"))))),"",IF(ISNUMBER(AH168),AH168,NA())),""))</f>
        <v/>
      </c>
      <c r="Q168" s="92">
        <f>IF(AND(ISNUMBER(L168),ISNUMBER(P168)),L168*P168,"")</f>
        <v/>
      </c>
      <c r="R168" s="92">
        <f>IF(OR(COUNTA($A168:$D168)=0,U168=0),"",IF(INDEX(DB_05[管制設定值],U168)="","",INDEX(DB_05[管制設定值],U168)))</f>
        <v/>
      </c>
      <c r="S168" s="92">
        <f>IF(OR(COUNTA($A168:$D168)=0,U168=0),"",IF(INDEX(DB_05[監測設定值],U168)="","",INDEX(DB_05[監測設定值],U168)))</f>
        <v/>
      </c>
      <c r="T168" s="92">
        <f>IF(COUNTA($A168:$D168)=0,"",IF(COUNTIFS(DB_04[測項鍵],V168)=1,MATCH(V168,DB_04[測項鍵],0),0))</f>
        <v/>
      </c>
      <c r="U168" s="92">
        <f>IF(COUNTA($A168:$D168)=0,"",IF(COUNTIFS(DB_05[標準鍵],W168)=1,MATCH(W168,DB_05[標準鍵],0),0))</f>
        <v/>
      </c>
      <c r="V168" s="92">
        <f>IF(OR(J168="",A168=""),"",J168&amp;"|"&amp;A168)</f>
        <v/>
      </c>
      <c r="W168" s="92">
        <f>IF(OR('07_QAQC'!$C$3="",V168=""),"",'07_QAQC'!$C$3&amp;"|"&amp;V168)</f>
        <v/>
      </c>
      <c r="X168" s="92">
        <f>IF(OR(H168="",A168=""),"",LEN(H168)&amp;":"&amp;H168&amp;LEN(A168)&amp;":"&amp;A168)</f>
        <v/>
      </c>
      <c r="Y168" s="93">
        <f>IF(COUNTA($A168:$D168)=0,"",IF(I168=0,"樣品未建或重複",IF(INDEX(Samples[樣品檢查],I168)="","OK",INDEX(Samples[樣品檢查],I168))))</f>
        <v/>
      </c>
      <c r="Z168" s="93">
        <f>IF(COUNTA($A168:$D168)=0,"",IF(B168="","缺原始值",IF(OR(B168="-",B168="--"),"無資料",IF(N168="NA","不適用",IF(N168="ND","OK",IF(NOT(ISNUMBER(P168)),"格式待核",IF(AND(N168&lt;&gt;"數值",P168&lt;0),"界限不得為負","OK")))))))</f>
        <v/>
      </c>
      <c r="AA168" s="93">
        <f>IF(COUNTA(A168:D168)=0,"",IF(OR(A168="",H168=""),"缺識別欄位",IF(IF(LEN("="&amp;SUBSTITUTE(SUBSTITUTE(SUBSTITUTE(X168,"~","~~"),"*","~*"),"?","~?"))&lt;=255,COUNTIF(Results[結果識別鍵],"="&amp;SUBSTITUTE(SUBSTITUTE(SUBSTITUTE(X168,"~","~~"),"*","~*"),"?","~?")),COUNTIFS(Results[關聯鍵],"="&amp;SUBSTITUTE(SUBSTITUTE(SUBSTITUTE(H168,"~","~~"),"*","~*"),"?","~?"),Results[分析項目],"="&amp;SUBSTITUTE(SUBSTITUTE(SUBSTITUTE(A168,"~","~~"),"*","~*"),"?","~?")))&gt;1,"同關聯鍵測項重複","OK")))</f>
        <v/>
      </c>
      <c r="AB168" s="93">
        <f>IF(COUNTA($A168:$D168)=0,"",IF(OR(C168="",K168=""),"缺單位",IF(NOT(ISNUMBER(L168)),"單位不相容",IF(L168=1,"OK","已換算"))))</f>
        <v/>
      </c>
      <c r="AC168" s="93">
        <f>IF(COUNTA($A168:$D168)=0,"",IF('07_QAQC'!$C$3="","未選比較版本",IF(U168=0,IF(COUNTIFS(DB_05[標準鍵],W168)&gt;1,"標準鍵重複","未訂此介質／測項門檻"),IF(INDEX(DB_05[版本檢查],U168)&lt;&gt;"OK","標準主檔待核",IF(INDEX(DB_05[標準單位],U168)&lt;&gt;K168,"標準單位不符",IF(INDEX(DB_05[核對狀態],U168)="停用","停用",IF(F168="","缺採樣日期",IF(OR(AND(INDEX(DB_05[生效日],U168)&lt;&gt;"",F168&lt;INDEX(DB_05[生效日],U168)),AND(INDEX(DB_05[失效日],U168)&lt;&gt;"",F168&gt;INDEX(DB_05[失效日],U168))),"日期不適用",INDEX(DB_05[核對狀態],U168)))))))))</f>
        <v/>
      </c>
      <c r="AD168" s="93">
        <f>IF(COUNTA($A168:$D168)=0,"",IF(AC168="未訂此介質／測項門檻",AC168,IF(AC168&lt;&gt;"已核對","標準待核",IF(R168="","未訂管制值",IF(NOT(ISNUMBER(L168)),"單位待核",IF(N168="ND","無法判定（ND無界限）",IF(N168="NA","不適用",IF(Z168&lt;&gt;"OK",Z168,IF(N168="數值",IF(Q168&gt;=R168,"達管制值","未達管制值"),IF(OR(N168="&lt;",N168="&lt;="),IF(OR(Q168&lt;R168,AND(N168="&lt;",Q168=R168)),"未達管制值","無法判定"),IF(OR(N168="&gt;",N168="&gt;="),IF(Q168&gt;=R168,"達管制值","無法判定"),"格式待核")))))))))))</f>
        <v/>
      </c>
      <c r="AE168" s="93">
        <f>IF(COUNTA($A168:$D168)=0,"",IF(AC168="未訂此介質／測項門檻",AC168,IF(AC168&lt;&gt;"已核對","標準待核",IF(S168="","未訂監測值",IF(NOT(ISNUMBER(L168)),"單位待核",IF(N168="ND","無法判定（ND無界限）",IF(N168="NA","不適用",IF(Z168&lt;&gt;"OK",Z168,IF(N168="數值",IF(Q168&gt;=S168,"達監測值","未達監測值"),IF(OR(N168="&lt;",N168="&lt;="),IF(OR(Q168&lt;S168,AND(N168="&lt;",Q168=S168)),"未達監測值","無法判定"),IF(OR(N168="&gt;",N168="&gt;="),IF(Q168&gt;=S168,"達監測值","無法判定"),"格式待核")))))))))))</f>
        <v/>
      </c>
      <c r="AF168" s="93">
        <f>IF(COUNTA($A168:$D168)=0,"",IF(OR(E168="",A168="",B168="",C168=""),"缺必要欄位",IF(Y168&lt;&gt;"OK","樣品資料待補",IF(T168=0,"測項未建或重複",IF(INDEX(DB_04[啟用],T168)&lt;&gt;"是","測項停用",IF(AND(Z168&lt;&gt;"OK",Z168&lt;&gt;"不適用"),Z168,IF(AND(AB168&lt;&gt;"OK",AB168&lt;&gt;"已換算"),"單位待核",IF(AA168&lt;&gt;"OK",AA168,"OK"))))))))</f>
        <v/>
      </c>
      <c r="AG168" s="93">
        <f>IF(COUNTA($A168:$D168)=0,"",IF(N168="ND","ND取0",IF(OR(N168="&lt;",N168="&lt;="),"界限除以2",IF(N168="NA","不適用",IF(OR(N168="&gt;",N168="&gt;="),"保留界限數值","保留原數值")))))</f>
        <v/>
      </c>
      <c r="AH168" s="92">
        <f>IF(O168="","",IFERROR(_xlfn.NUMBERVALUE(O168,".",","),""))</f>
        <v/>
      </c>
      <c r="AI168" s="92">
        <f>IF(H168="","",IFERROR(MATCH(H168,Samples[樣品編號],0),0))</f>
        <v/>
      </c>
    </row>
    <row r="169">
      <c r="A169" s="27" t="inlineStr">
        <is>
          <t>總有機碳</t>
        </is>
      </c>
      <c r="B169" s="28" t="inlineStr">
        <is>
          <t>3.4</t>
        </is>
      </c>
      <c r="C169" s="27" t="inlineStr">
        <is>
          <t>mg/L</t>
        </is>
      </c>
      <c r="D169" s="39" t="inlineStr">
        <is>
          <t>合成資料，非實測；method=lab</t>
        </is>
      </c>
      <c r="E169" s="29">
        <f>IF(OR(I169="",I169=0),"",IF(INDEX(Samples[監測點],I169)="","",INDEX(Samples[監測點],I169)))</f>
        <v/>
      </c>
      <c r="F169" s="90">
        <f>IF(OR(I169="",I169=0),"",IF(INDEX(Samples[採樣日期],I169)="","",INDEX(Samples[採樣日期],I169)))</f>
        <v/>
      </c>
      <c r="G169" s="91">
        <f>IF(OR(M169="",M169="NA",M169="N/A"),"",IF(OR(M169="ND",M169="N.D."),0,IFERROR(IF(OR(OR(ISNUMBER(SEARCH("%",O169)),ISNUMBER(SEARCH(" ",O169)),ISNUMBER(SEARCH(",",O169))),OR(SUBSTITUTE(SUBSTITUTE(SUBSTITUTE(SUBSTITUTE(SUBSTITUTE(SUBSTITUTE(SUBSTITUTE(SUBSTITUTE(SUBSTITUTE(SUBSTITUTE(SUBSTITUTE(SUBSTITUTE(SUBSTITUTE(SUBSTITUTE(SUBSTITUTE(SUBSTITUTE(SUBSTITUTE(SUBSTITUTE("x"&amp;M169,"0",""),"1",""),"2",""),"3",""),"4",""),"5",""),"6",""),"7",""),"8",""),"9",""),".",""),"E",""),"+",""),"-",""),"&lt;",""),"&gt;",""),"=","")," ","")&lt;&gt;"x",ISNUMBER(SEARCH("-",SUBSTITUTE(SUBSTITUTE("x"&amp;MID(M169,2,99),"E-","E"),"E+","E"))),ISNUMBER(SEARCH("+",SUBSTITUTE(SUBSTITUTE("x"&amp;MID(M169,2,99),"E-","E"),"E+","E"))))),"",IF(AND(OR(LEFT(M169,1)="&lt;",LEFT(M169,1)="&gt;"),IF(O169="",0,IF(ISNUMBER(AH169),AH169,NA()))&lt;0),"",IF(O169="",0,IF(ISNUMBER(AH169),AH169,NA()))/IF(LEFT(M169,1)="&lt;",2,1))),"")))</f>
        <v/>
      </c>
      <c r="H169" s="57" t="inlineStr">
        <is>
          <t>BH04-W_20260115_03</t>
        </is>
      </c>
      <c r="I169" s="92">
        <f>IF(OR(H169="",AI169=0),0,IF(INDEX(Samples[樣品重複筆數],AI169)=1,AI169,0))</f>
        <v/>
      </c>
      <c r="J169" s="92">
        <f>IF(OR(COUNTA($A169:$D169)=0,I169=0),"",IF(INDEX(Samples[介質],I169)="","",INDEX(Samples[介質],I169)))</f>
        <v/>
      </c>
      <c r="K169" s="92">
        <f>IF(OR(COUNTA($A169:$D169)=0,T169=0),"",IF(INDEX(DB_04[標準單位],T169)="","",INDEX(DB_04[標準單位],T169)))</f>
        <v/>
      </c>
      <c r="L169" s="92">
        <f>IF(COUNTA($A169:$D169)=0,"",IF(OR(C169="",K169=""),"",IF(C169=K169,1,IF(COUNTIFS(DB_06[換算鍵],C169&amp;"|"&amp;K169,DB_06[換算檢查],"OK")=1,INDEX(DB_06[乘數],MATCH(C169&amp;"|"&amp;K169,DB_06[換算鍵],0)),""))))</f>
        <v/>
      </c>
      <c r="M169" s="92">
        <f>UPPER(SUBSTITUTE(SUBSTITUTE(SUBSTITUTE(SUBSTITUTE(TRIM(B169&amp;""),"＜","&lt;"),"＞","&gt;"),"≤","&lt;="),"≥","&gt;="))</f>
        <v/>
      </c>
      <c r="N169" s="92">
        <f>IF(M169="","",IF(OR(M169="ND",M169="N.D."),"ND",IF(OR(M169="NA",M169="N/A",M169="N.A."),"NA",IF(OR(LEFT(M169,2)="&lt;=",LEFT(M169,2)="&gt;="),LEFT(M169,2),IF(OR(LEFT(M169,1)="&lt;",LEFT(M169,1)="&gt;"),LEFT(M169,1),"數值")))))</f>
        <v/>
      </c>
      <c r="O169" s="92">
        <f>IF(OR(N169="",N169="ND",N169="NA"),"",IF(N169="數值",M169,TRIM(MID(M169,LEN(N169)+1,99))))</f>
        <v/>
      </c>
      <c r="P169" s="92">
        <f>IF(O169="","",IFERROR(IF(OR(OR(ISNUMBER(SEARCH("%",O169)),ISNUMBER(SEARCH(" ",O169)),ISNUMBER(SEARCH(",",O169))),OR(SUBSTITUTE(SUBSTITUTE(SUBSTITUTE(SUBSTITUTE(SUBSTITUTE(SUBSTITUTE(SUBSTITUTE(SUBSTITUTE(SUBSTITUTE(SUBSTITUTE(SUBSTITUTE(SUBSTITUTE(SUBSTITUTE(SUBSTITUTE(SUBSTITUTE(SUBSTITUTE(SUBSTITUTE(SUBSTITUTE("x"&amp;O169,"0",""),"1",""),"2",""),"3",""),"4",""),"5",""),"6",""),"7",""),"8",""),"9",""),".",""),"E",""),"+",""),"-",""),"&lt;",""),"&gt;",""),"=","")," ","")&lt;&gt;"x",ISNUMBER(SEARCH("-",SUBSTITUTE(SUBSTITUTE("x"&amp;MID(O169,2,99),"E-","E"),"E+","E"))),ISNUMBER(SEARCH("+",SUBSTITUTE(SUBSTITUTE("x"&amp;MID(O169,2,99),"E-","E"),"E+","E"))))),"",IF(ISNUMBER(AH169),AH169,NA())),""))</f>
        <v/>
      </c>
      <c r="Q169" s="92">
        <f>IF(AND(ISNUMBER(L169),ISNUMBER(P169)),L169*P169,"")</f>
        <v/>
      </c>
      <c r="R169" s="92">
        <f>IF(OR(COUNTA($A169:$D169)=0,U169=0),"",IF(INDEX(DB_05[管制設定值],U169)="","",INDEX(DB_05[管制設定值],U169)))</f>
        <v/>
      </c>
      <c r="S169" s="92">
        <f>IF(OR(COUNTA($A169:$D169)=0,U169=0),"",IF(INDEX(DB_05[監測設定值],U169)="","",INDEX(DB_05[監測設定值],U169)))</f>
        <v/>
      </c>
      <c r="T169" s="92">
        <f>IF(COUNTA($A169:$D169)=0,"",IF(COUNTIFS(DB_04[測項鍵],V169)=1,MATCH(V169,DB_04[測項鍵],0),0))</f>
        <v/>
      </c>
      <c r="U169" s="92">
        <f>IF(COUNTA($A169:$D169)=0,"",IF(COUNTIFS(DB_05[標準鍵],W169)=1,MATCH(W169,DB_05[標準鍵],0),0))</f>
        <v/>
      </c>
      <c r="V169" s="92">
        <f>IF(OR(J169="",A169=""),"",J169&amp;"|"&amp;A169)</f>
        <v/>
      </c>
      <c r="W169" s="92">
        <f>IF(OR('07_QAQC'!$C$3="",V169=""),"",'07_QAQC'!$C$3&amp;"|"&amp;V169)</f>
        <v/>
      </c>
      <c r="X169" s="92">
        <f>IF(OR(H169="",A169=""),"",LEN(H169)&amp;":"&amp;H169&amp;LEN(A169)&amp;":"&amp;A169)</f>
        <v/>
      </c>
      <c r="Y169" s="93">
        <f>IF(COUNTA($A169:$D169)=0,"",IF(I169=0,"樣品未建或重複",IF(INDEX(Samples[樣品檢查],I169)="","OK",INDEX(Samples[樣品檢查],I169))))</f>
        <v/>
      </c>
      <c r="Z169" s="93">
        <f>IF(COUNTA($A169:$D169)=0,"",IF(B169="","缺原始值",IF(OR(B169="-",B169="--"),"無資料",IF(N169="NA","不適用",IF(N169="ND","OK",IF(NOT(ISNUMBER(P169)),"格式待核",IF(AND(N169&lt;&gt;"數值",P169&lt;0),"界限不得為負","OK")))))))</f>
        <v/>
      </c>
      <c r="AA169" s="93">
        <f>IF(COUNTA(A169:D169)=0,"",IF(OR(A169="",H169=""),"缺識別欄位",IF(IF(LEN("="&amp;SUBSTITUTE(SUBSTITUTE(SUBSTITUTE(X169,"~","~~"),"*","~*"),"?","~?"))&lt;=255,COUNTIF(Results[結果識別鍵],"="&amp;SUBSTITUTE(SUBSTITUTE(SUBSTITUTE(X169,"~","~~"),"*","~*"),"?","~?")),COUNTIFS(Results[關聯鍵],"="&amp;SUBSTITUTE(SUBSTITUTE(SUBSTITUTE(H169,"~","~~"),"*","~*"),"?","~?"),Results[分析項目],"="&amp;SUBSTITUTE(SUBSTITUTE(SUBSTITUTE(A169,"~","~~"),"*","~*"),"?","~?")))&gt;1,"同關聯鍵測項重複","OK")))</f>
        <v/>
      </c>
      <c r="AB169" s="93">
        <f>IF(COUNTA($A169:$D169)=0,"",IF(OR(C169="",K169=""),"缺單位",IF(NOT(ISNUMBER(L169)),"單位不相容",IF(L169=1,"OK","已換算"))))</f>
        <v/>
      </c>
      <c r="AC169" s="93">
        <f>IF(COUNTA($A169:$D169)=0,"",IF('07_QAQC'!$C$3="","未選比較版本",IF(U169=0,IF(COUNTIFS(DB_05[標準鍵],W169)&gt;1,"標準鍵重複","未訂此介質／測項門檻"),IF(INDEX(DB_05[版本檢查],U169)&lt;&gt;"OK","標準主檔待核",IF(INDEX(DB_05[標準單位],U169)&lt;&gt;K169,"標準單位不符",IF(INDEX(DB_05[核對狀態],U169)="停用","停用",IF(F169="","缺採樣日期",IF(OR(AND(INDEX(DB_05[生效日],U169)&lt;&gt;"",F169&lt;INDEX(DB_05[生效日],U169)),AND(INDEX(DB_05[失效日],U169)&lt;&gt;"",F169&gt;INDEX(DB_05[失效日],U169))),"日期不適用",INDEX(DB_05[核對狀態],U169)))))))))</f>
        <v/>
      </c>
      <c r="AD169" s="93">
        <f>IF(COUNTA($A169:$D169)=0,"",IF(AC169="未訂此介質／測項門檻",AC169,IF(AC169&lt;&gt;"已核對","標準待核",IF(R169="","未訂管制值",IF(NOT(ISNUMBER(L169)),"單位待核",IF(N169="ND","無法判定（ND無界限）",IF(N169="NA","不適用",IF(Z169&lt;&gt;"OK",Z169,IF(N169="數值",IF(Q169&gt;=R169,"達管制值","未達管制值"),IF(OR(N169="&lt;",N169="&lt;="),IF(OR(Q169&lt;R169,AND(N169="&lt;",Q169=R169)),"未達管制值","無法判定"),IF(OR(N169="&gt;",N169="&gt;="),IF(Q169&gt;=R169,"達管制值","無法判定"),"格式待核")))))))))))</f>
        <v/>
      </c>
      <c r="AE169" s="93">
        <f>IF(COUNTA($A169:$D169)=0,"",IF(AC169="未訂此介質／測項門檻",AC169,IF(AC169&lt;&gt;"已核對","標準待核",IF(S169="","未訂監測值",IF(NOT(ISNUMBER(L169)),"單位待核",IF(N169="ND","無法判定（ND無界限）",IF(N169="NA","不適用",IF(Z169&lt;&gt;"OK",Z169,IF(N169="數值",IF(Q169&gt;=S169,"達監測值","未達監測值"),IF(OR(N169="&lt;",N169="&lt;="),IF(OR(Q169&lt;S169,AND(N169="&lt;",Q169=S169)),"未達監測值","無法判定"),IF(OR(N169="&gt;",N169="&gt;="),IF(Q169&gt;=S169,"達監測值","無法判定"),"格式待核")))))))))))</f>
        <v/>
      </c>
      <c r="AF169" s="93">
        <f>IF(COUNTA($A169:$D169)=0,"",IF(OR(E169="",A169="",B169="",C169=""),"缺必要欄位",IF(Y169&lt;&gt;"OK","樣品資料待補",IF(T169=0,"測項未建或重複",IF(INDEX(DB_04[啟用],T169)&lt;&gt;"是","測項停用",IF(AND(Z169&lt;&gt;"OK",Z169&lt;&gt;"不適用"),Z169,IF(AND(AB169&lt;&gt;"OK",AB169&lt;&gt;"已換算"),"單位待核",IF(AA169&lt;&gt;"OK",AA169,"OK"))))))))</f>
        <v/>
      </c>
      <c r="AG169" s="93">
        <f>IF(COUNTA($A169:$D169)=0,"",IF(N169="ND","ND取0",IF(OR(N169="&lt;",N169="&lt;="),"界限除以2",IF(N169="NA","不適用",IF(OR(N169="&gt;",N169="&gt;="),"保留界限數值","保留原數值")))))</f>
        <v/>
      </c>
      <c r="AH169" s="92">
        <f>IF(O169="","",IFERROR(_xlfn.NUMBERVALUE(O169,".",","),""))</f>
        <v/>
      </c>
      <c r="AI169" s="92">
        <f>IF(H169="","",IFERROR(MATCH(H169,Samples[樣品編號],0),0))</f>
        <v/>
      </c>
    </row>
    <row r="170">
      <c r="A170" s="27" t="inlineStr">
        <is>
          <t>鋅</t>
        </is>
      </c>
      <c r="B170" s="28" t="inlineStr">
        <is>
          <t>126</t>
        </is>
      </c>
      <c r="C170" s="27" t="inlineStr">
        <is>
          <t>mg/kg</t>
        </is>
      </c>
      <c r="D170" s="39" t="inlineStr">
        <is>
          <t>合成資料，非實測；method=XRF; basis=dry</t>
        </is>
      </c>
      <c r="E170" s="29">
        <f>IF(OR(I170="",I170=0),"",IF(INDEX(Samples[監測點],I170)="","",INDEX(Samples[監測點],I170)))</f>
        <v/>
      </c>
      <c r="F170" s="90">
        <f>IF(OR(I170="",I170=0),"",IF(INDEX(Samples[採樣日期],I170)="","",INDEX(Samples[採樣日期],I170)))</f>
        <v/>
      </c>
      <c r="G170" s="91">
        <f>IF(OR(M170="",M170="NA",M170="N/A"),"",IF(OR(M170="ND",M170="N.D."),0,IFERROR(IF(OR(OR(ISNUMBER(SEARCH("%",O170)),ISNUMBER(SEARCH(" ",O170)),ISNUMBER(SEARCH(",",O170))),OR(SUBSTITUTE(SUBSTITUTE(SUBSTITUTE(SUBSTITUTE(SUBSTITUTE(SUBSTITUTE(SUBSTITUTE(SUBSTITUTE(SUBSTITUTE(SUBSTITUTE(SUBSTITUTE(SUBSTITUTE(SUBSTITUTE(SUBSTITUTE(SUBSTITUTE(SUBSTITUTE(SUBSTITUTE(SUBSTITUTE("x"&amp;M170,"0",""),"1",""),"2",""),"3",""),"4",""),"5",""),"6",""),"7",""),"8",""),"9",""),".",""),"E",""),"+",""),"-",""),"&lt;",""),"&gt;",""),"=","")," ","")&lt;&gt;"x",ISNUMBER(SEARCH("-",SUBSTITUTE(SUBSTITUTE("x"&amp;MID(M170,2,99),"E-","E"),"E+","E"))),ISNUMBER(SEARCH("+",SUBSTITUTE(SUBSTITUTE("x"&amp;MID(M170,2,99),"E-","E"),"E+","E"))))),"",IF(AND(OR(LEFT(M170,1)="&lt;",LEFT(M170,1)="&gt;"),IF(O170="",0,IF(ISNUMBER(AH170),AH170,NA()))&lt;0),"",IF(O170="",0,IF(ISNUMBER(AH170),AH170,NA()))/IF(LEFT(M170,1)="&lt;",2,1))),"")))</f>
        <v/>
      </c>
      <c r="H170" s="57" t="inlineStr">
        <is>
          <t>BH04-S_20260415_01</t>
        </is>
      </c>
      <c r="I170" s="92">
        <f>IF(OR(H170="",AI170=0),0,IF(INDEX(Samples[樣品重複筆數],AI170)=1,AI170,0))</f>
        <v/>
      </c>
      <c r="J170" s="92">
        <f>IF(OR(COUNTA($A170:$D170)=0,I170=0),"",IF(INDEX(Samples[介質],I170)="","",INDEX(Samples[介質],I170)))</f>
        <v/>
      </c>
      <c r="K170" s="92">
        <f>IF(OR(COUNTA($A170:$D170)=0,T170=0),"",IF(INDEX(DB_04[標準單位],T170)="","",INDEX(DB_04[標準單位],T170)))</f>
        <v/>
      </c>
      <c r="L170" s="92">
        <f>IF(COUNTA($A170:$D170)=0,"",IF(OR(C170="",K170=""),"",IF(C170=K170,1,IF(COUNTIFS(DB_06[換算鍵],C170&amp;"|"&amp;K170,DB_06[換算檢查],"OK")=1,INDEX(DB_06[乘數],MATCH(C170&amp;"|"&amp;K170,DB_06[換算鍵],0)),""))))</f>
        <v/>
      </c>
      <c r="M170" s="92">
        <f>UPPER(SUBSTITUTE(SUBSTITUTE(SUBSTITUTE(SUBSTITUTE(TRIM(B170&amp;""),"＜","&lt;"),"＞","&gt;"),"≤","&lt;="),"≥","&gt;="))</f>
        <v/>
      </c>
      <c r="N170" s="92">
        <f>IF(M170="","",IF(OR(M170="ND",M170="N.D."),"ND",IF(OR(M170="NA",M170="N/A",M170="N.A."),"NA",IF(OR(LEFT(M170,2)="&lt;=",LEFT(M170,2)="&gt;="),LEFT(M170,2),IF(OR(LEFT(M170,1)="&lt;",LEFT(M170,1)="&gt;"),LEFT(M170,1),"數值")))))</f>
        <v/>
      </c>
      <c r="O170" s="92">
        <f>IF(OR(N170="",N170="ND",N170="NA"),"",IF(N170="數值",M170,TRIM(MID(M170,LEN(N170)+1,99))))</f>
        <v/>
      </c>
      <c r="P170" s="92">
        <f>IF(O170="","",IFERROR(IF(OR(OR(ISNUMBER(SEARCH("%",O170)),ISNUMBER(SEARCH(" ",O170)),ISNUMBER(SEARCH(",",O170))),OR(SUBSTITUTE(SUBSTITUTE(SUBSTITUTE(SUBSTITUTE(SUBSTITUTE(SUBSTITUTE(SUBSTITUTE(SUBSTITUTE(SUBSTITUTE(SUBSTITUTE(SUBSTITUTE(SUBSTITUTE(SUBSTITUTE(SUBSTITUTE(SUBSTITUTE(SUBSTITUTE(SUBSTITUTE(SUBSTITUTE("x"&amp;O170,"0",""),"1",""),"2",""),"3",""),"4",""),"5",""),"6",""),"7",""),"8",""),"9",""),".",""),"E",""),"+",""),"-",""),"&lt;",""),"&gt;",""),"=","")," ","")&lt;&gt;"x",ISNUMBER(SEARCH("-",SUBSTITUTE(SUBSTITUTE("x"&amp;MID(O170,2,99),"E-","E"),"E+","E"))),ISNUMBER(SEARCH("+",SUBSTITUTE(SUBSTITUTE("x"&amp;MID(O170,2,99),"E-","E"),"E+","E"))))),"",IF(ISNUMBER(AH170),AH170,NA())),""))</f>
        <v/>
      </c>
      <c r="Q170" s="92">
        <f>IF(AND(ISNUMBER(L170),ISNUMBER(P170)),L170*P170,"")</f>
        <v/>
      </c>
      <c r="R170" s="92">
        <f>IF(OR(COUNTA($A170:$D170)=0,U170=0),"",IF(INDEX(DB_05[管制設定值],U170)="","",INDEX(DB_05[管制設定值],U170)))</f>
        <v/>
      </c>
      <c r="S170" s="92">
        <f>IF(OR(COUNTA($A170:$D170)=0,U170=0),"",IF(INDEX(DB_05[監測設定值],U170)="","",INDEX(DB_05[監測設定值],U170)))</f>
        <v/>
      </c>
      <c r="T170" s="92">
        <f>IF(COUNTA($A170:$D170)=0,"",IF(COUNTIFS(DB_04[測項鍵],V170)=1,MATCH(V170,DB_04[測項鍵],0),0))</f>
        <v/>
      </c>
      <c r="U170" s="92">
        <f>IF(COUNTA($A170:$D170)=0,"",IF(COUNTIFS(DB_05[標準鍵],W170)=1,MATCH(W170,DB_05[標準鍵],0),0))</f>
        <v/>
      </c>
      <c r="V170" s="92">
        <f>IF(OR(J170="",A170=""),"",J170&amp;"|"&amp;A170)</f>
        <v/>
      </c>
      <c r="W170" s="92">
        <f>IF(OR('07_QAQC'!$C$3="",V170=""),"",'07_QAQC'!$C$3&amp;"|"&amp;V170)</f>
        <v/>
      </c>
      <c r="X170" s="92">
        <f>IF(OR(H170="",A170=""),"",LEN(H170)&amp;":"&amp;H170&amp;LEN(A170)&amp;":"&amp;A170)</f>
        <v/>
      </c>
      <c r="Y170" s="93">
        <f>IF(COUNTA($A170:$D170)=0,"",IF(I170=0,"樣品未建或重複",IF(INDEX(Samples[樣品檢查],I170)="","OK",INDEX(Samples[樣品檢查],I170))))</f>
        <v/>
      </c>
      <c r="Z170" s="93">
        <f>IF(COUNTA($A170:$D170)=0,"",IF(B170="","缺原始值",IF(OR(B170="-",B170="--"),"無資料",IF(N170="NA","不適用",IF(N170="ND","OK",IF(NOT(ISNUMBER(P170)),"格式待核",IF(AND(N170&lt;&gt;"數值",P170&lt;0),"界限不得為負","OK")))))))</f>
        <v/>
      </c>
      <c r="AA170" s="93">
        <f>IF(COUNTA(A170:D170)=0,"",IF(OR(A170="",H170=""),"缺識別欄位",IF(IF(LEN("="&amp;SUBSTITUTE(SUBSTITUTE(SUBSTITUTE(X170,"~","~~"),"*","~*"),"?","~?"))&lt;=255,COUNTIF(Results[結果識別鍵],"="&amp;SUBSTITUTE(SUBSTITUTE(SUBSTITUTE(X170,"~","~~"),"*","~*"),"?","~?")),COUNTIFS(Results[關聯鍵],"="&amp;SUBSTITUTE(SUBSTITUTE(SUBSTITUTE(H170,"~","~~"),"*","~*"),"?","~?"),Results[分析項目],"="&amp;SUBSTITUTE(SUBSTITUTE(SUBSTITUTE(A170,"~","~~"),"*","~*"),"?","~?")))&gt;1,"同關聯鍵測項重複","OK")))</f>
        <v/>
      </c>
      <c r="AB170" s="93">
        <f>IF(COUNTA($A170:$D170)=0,"",IF(OR(C170="",K170=""),"缺單位",IF(NOT(ISNUMBER(L170)),"單位不相容",IF(L170=1,"OK","已換算"))))</f>
        <v/>
      </c>
      <c r="AC170" s="93">
        <f>IF(COUNTA($A170:$D170)=0,"",IF('07_QAQC'!$C$3="","未選比較版本",IF(U170=0,IF(COUNTIFS(DB_05[標準鍵],W170)&gt;1,"標準鍵重複","未訂此介質／測項門檻"),IF(INDEX(DB_05[版本檢查],U170)&lt;&gt;"OK","標準主檔待核",IF(INDEX(DB_05[標準單位],U170)&lt;&gt;K170,"標準單位不符",IF(INDEX(DB_05[核對狀態],U170)="停用","停用",IF(F170="","缺採樣日期",IF(OR(AND(INDEX(DB_05[生效日],U170)&lt;&gt;"",F170&lt;INDEX(DB_05[生效日],U170)),AND(INDEX(DB_05[失效日],U170)&lt;&gt;"",F170&gt;INDEX(DB_05[失效日],U170))),"日期不適用",INDEX(DB_05[核對狀態],U170)))))))))</f>
        <v/>
      </c>
      <c r="AD170" s="93">
        <f>IF(COUNTA($A170:$D170)=0,"",IF(AC170="未訂此介質／測項門檻",AC170,IF(AC170&lt;&gt;"已核對","標準待核",IF(R170="","未訂管制值",IF(NOT(ISNUMBER(L170)),"單位待核",IF(N170="ND","無法判定（ND無界限）",IF(N170="NA","不適用",IF(Z170&lt;&gt;"OK",Z170,IF(N170="數值",IF(Q170&gt;=R170,"達管制值","未達管制值"),IF(OR(N170="&lt;",N170="&lt;="),IF(OR(Q170&lt;R170,AND(N170="&lt;",Q170=R170)),"未達管制值","無法判定"),IF(OR(N170="&gt;",N170="&gt;="),IF(Q170&gt;=R170,"達管制值","無法判定"),"格式待核")))))))))))</f>
        <v/>
      </c>
      <c r="AE170" s="93">
        <f>IF(COUNTA($A170:$D170)=0,"",IF(AC170="未訂此介質／測項門檻",AC170,IF(AC170&lt;&gt;"已核對","標準待核",IF(S170="","未訂監測值",IF(NOT(ISNUMBER(L170)),"單位待核",IF(N170="ND","無法判定（ND無界限）",IF(N170="NA","不適用",IF(Z170&lt;&gt;"OK",Z170,IF(N170="數值",IF(Q170&gt;=S170,"達監測值","未達監測值"),IF(OR(N170="&lt;",N170="&lt;="),IF(OR(Q170&lt;S170,AND(N170="&lt;",Q170=S170)),"未達監測值","無法判定"),IF(OR(N170="&gt;",N170="&gt;="),IF(Q170&gt;=S170,"達監測值","無法判定"),"格式待核")))))))))))</f>
        <v/>
      </c>
      <c r="AF170" s="93">
        <f>IF(COUNTA($A170:$D170)=0,"",IF(OR(E170="",A170="",B170="",C170=""),"缺必要欄位",IF(Y170&lt;&gt;"OK","樣品資料待補",IF(T170=0,"測項未建或重複",IF(INDEX(DB_04[啟用],T170)&lt;&gt;"是","測項停用",IF(AND(Z170&lt;&gt;"OK",Z170&lt;&gt;"不適用"),Z170,IF(AND(AB170&lt;&gt;"OK",AB170&lt;&gt;"已換算"),"單位待核",IF(AA170&lt;&gt;"OK",AA170,"OK"))))))))</f>
        <v/>
      </c>
      <c r="AG170" s="93">
        <f>IF(COUNTA($A170:$D170)=0,"",IF(N170="ND","ND取0",IF(OR(N170="&lt;",N170="&lt;="),"界限除以2",IF(N170="NA","不適用",IF(OR(N170="&gt;",N170="&gt;="),"保留界限數值","保留原數值")))))</f>
        <v/>
      </c>
      <c r="AH170" s="92">
        <f>IF(O170="","",IFERROR(_xlfn.NUMBERVALUE(O170,".",","),""))</f>
        <v/>
      </c>
      <c r="AI170" s="92">
        <f>IF(H170="","",IFERROR(MATCH(H170,Samples[樣品編號],0),0))</f>
        <v/>
      </c>
    </row>
    <row r="171">
      <c r="A171" s="27" t="inlineStr">
        <is>
          <t>總有機碳</t>
        </is>
      </c>
      <c r="B171" s="28" t="inlineStr">
        <is>
          <t>0.44</t>
        </is>
      </c>
      <c r="C171" s="27" t="inlineStr">
        <is>
          <t>%</t>
        </is>
      </c>
      <c r="D171" s="39" t="inlineStr">
        <is>
          <t>合成資料，非實測；method=lab; basis=dry</t>
        </is>
      </c>
      <c r="E171" s="29">
        <f>IF(OR(I171="",I171=0),"",IF(INDEX(Samples[監測點],I171)="","",INDEX(Samples[監測點],I171)))</f>
        <v/>
      </c>
      <c r="F171" s="90">
        <f>IF(OR(I171="",I171=0),"",IF(INDEX(Samples[採樣日期],I171)="","",INDEX(Samples[採樣日期],I171)))</f>
        <v/>
      </c>
      <c r="G171" s="91">
        <f>IF(OR(M171="",M171="NA",M171="N/A"),"",IF(OR(M171="ND",M171="N.D."),0,IFERROR(IF(OR(OR(ISNUMBER(SEARCH("%",O171)),ISNUMBER(SEARCH(" ",O171)),ISNUMBER(SEARCH(",",O171))),OR(SUBSTITUTE(SUBSTITUTE(SUBSTITUTE(SUBSTITUTE(SUBSTITUTE(SUBSTITUTE(SUBSTITUTE(SUBSTITUTE(SUBSTITUTE(SUBSTITUTE(SUBSTITUTE(SUBSTITUTE(SUBSTITUTE(SUBSTITUTE(SUBSTITUTE(SUBSTITUTE(SUBSTITUTE(SUBSTITUTE("x"&amp;M171,"0",""),"1",""),"2",""),"3",""),"4",""),"5",""),"6",""),"7",""),"8",""),"9",""),".",""),"E",""),"+",""),"-",""),"&lt;",""),"&gt;",""),"=","")," ","")&lt;&gt;"x",ISNUMBER(SEARCH("-",SUBSTITUTE(SUBSTITUTE("x"&amp;MID(M171,2,99),"E-","E"),"E+","E"))),ISNUMBER(SEARCH("+",SUBSTITUTE(SUBSTITUTE("x"&amp;MID(M171,2,99),"E-","E"),"E+","E"))))),"",IF(AND(OR(LEFT(M171,1)="&lt;",LEFT(M171,1)="&gt;"),IF(O171="",0,IF(ISNUMBER(AH171),AH171,NA()))&lt;0),"",IF(O171="",0,IF(ISNUMBER(AH171),AH171,NA()))/IF(LEFT(M171,1)="&lt;",2,1))),"")))</f>
        <v/>
      </c>
      <c r="H171" s="57" t="inlineStr">
        <is>
          <t>BH04-S_20260415_01</t>
        </is>
      </c>
      <c r="I171" s="92">
        <f>IF(OR(H171="",AI171=0),0,IF(INDEX(Samples[樣品重複筆數],AI171)=1,AI171,0))</f>
        <v/>
      </c>
      <c r="J171" s="92">
        <f>IF(OR(COUNTA($A171:$D171)=0,I171=0),"",IF(INDEX(Samples[介質],I171)="","",INDEX(Samples[介質],I171)))</f>
        <v/>
      </c>
      <c r="K171" s="92">
        <f>IF(OR(COUNTA($A171:$D171)=0,T171=0),"",IF(INDEX(DB_04[標準單位],T171)="","",INDEX(DB_04[標準單位],T171)))</f>
        <v/>
      </c>
      <c r="L171" s="92">
        <f>IF(COUNTA($A171:$D171)=0,"",IF(OR(C171="",K171=""),"",IF(C171=K171,1,IF(COUNTIFS(DB_06[換算鍵],C171&amp;"|"&amp;K171,DB_06[換算檢查],"OK")=1,INDEX(DB_06[乘數],MATCH(C171&amp;"|"&amp;K171,DB_06[換算鍵],0)),""))))</f>
        <v/>
      </c>
      <c r="M171" s="92">
        <f>UPPER(SUBSTITUTE(SUBSTITUTE(SUBSTITUTE(SUBSTITUTE(TRIM(B171&amp;""),"＜","&lt;"),"＞","&gt;"),"≤","&lt;="),"≥","&gt;="))</f>
        <v/>
      </c>
      <c r="N171" s="92">
        <f>IF(M171="","",IF(OR(M171="ND",M171="N.D."),"ND",IF(OR(M171="NA",M171="N/A",M171="N.A."),"NA",IF(OR(LEFT(M171,2)="&lt;=",LEFT(M171,2)="&gt;="),LEFT(M171,2),IF(OR(LEFT(M171,1)="&lt;",LEFT(M171,1)="&gt;"),LEFT(M171,1),"數值")))))</f>
        <v/>
      </c>
      <c r="O171" s="92">
        <f>IF(OR(N171="",N171="ND",N171="NA"),"",IF(N171="數值",M171,TRIM(MID(M171,LEN(N171)+1,99))))</f>
        <v/>
      </c>
      <c r="P171" s="92">
        <f>IF(O171="","",IFERROR(IF(OR(OR(ISNUMBER(SEARCH("%",O171)),ISNUMBER(SEARCH(" ",O171)),ISNUMBER(SEARCH(",",O171))),OR(SUBSTITUTE(SUBSTITUTE(SUBSTITUTE(SUBSTITUTE(SUBSTITUTE(SUBSTITUTE(SUBSTITUTE(SUBSTITUTE(SUBSTITUTE(SUBSTITUTE(SUBSTITUTE(SUBSTITUTE(SUBSTITUTE(SUBSTITUTE(SUBSTITUTE(SUBSTITUTE(SUBSTITUTE(SUBSTITUTE("x"&amp;O171,"0",""),"1",""),"2",""),"3",""),"4",""),"5",""),"6",""),"7",""),"8",""),"9",""),".",""),"E",""),"+",""),"-",""),"&lt;",""),"&gt;",""),"=","")," ","")&lt;&gt;"x",ISNUMBER(SEARCH("-",SUBSTITUTE(SUBSTITUTE("x"&amp;MID(O171,2,99),"E-","E"),"E+","E"))),ISNUMBER(SEARCH("+",SUBSTITUTE(SUBSTITUTE("x"&amp;MID(O171,2,99),"E-","E"),"E+","E"))))),"",IF(ISNUMBER(AH171),AH171,NA())),""))</f>
        <v/>
      </c>
      <c r="Q171" s="92">
        <f>IF(AND(ISNUMBER(L171),ISNUMBER(P171)),L171*P171,"")</f>
        <v/>
      </c>
      <c r="R171" s="92">
        <f>IF(OR(COUNTA($A171:$D171)=0,U171=0),"",IF(INDEX(DB_05[管制設定值],U171)="","",INDEX(DB_05[管制設定值],U171)))</f>
        <v/>
      </c>
      <c r="S171" s="92">
        <f>IF(OR(COUNTA($A171:$D171)=0,U171=0),"",IF(INDEX(DB_05[監測設定值],U171)="","",INDEX(DB_05[監測設定值],U171)))</f>
        <v/>
      </c>
      <c r="T171" s="92">
        <f>IF(COUNTA($A171:$D171)=0,"",IF(COUNTIFS(DB_04[測項鍵],V171)=1,MATCH(V171,DB_04[測項鍵],0),0))</f>
        <v/>
      </c>
      <c r="U171" s="92">
        <f>IF(COUNTA($A171:$D171)=0,"",IF(COUNTIFS(DB_05[標準鍵],W171)=1,MATCH(W171,DB_05[標準鍵],0),0))</f>
        <v/>
      </c>
      <c r="V171" s="92">
        <f>IF(OR(J171="",A171=""),"",J171&amp;"|"&amp;A171)</f>
        <v/>
      </c>
      <c r="W171" s="92">
        <f>IF(OR('07_QAQC'!$C$3="",V171=""),"",'07_QAQC'!$C$3&amp;"|"&amp;V171)</f>
        <v/>
      </c>
      <c r="X171" s="92">
        <f>IF(OR(H171="",A171=""),"",LEN(H171)&amp;":"&amp;H171&amp;LEN(A171)&amp;":"&amp;A171)</f>
        <v/>
      </c>
      <c r="Y171" s="93">
        <f>IF(COUNTA($A171:$D171)=0,"",IF(I171=0,"樣品未建或重複",IF(INDEX(Samples[樣品檢查],I171)="","OK",INDEX(Samples[樣品檢查],I171))))</f>
        <v/>
      </c>
      <c r="Z171" s="93">
        <f>IF(COUNTA($A171:$D171)=0,"",IF(B171="","缺原始值",IF(OR(B171="-",B171="--"),"無資料",IF(N171="NA","不適用",IF(N171="ND","OK",IF(NOT(ISNUMBER(P171)),"格式待核",IF(AND(N171&lt;&gt;"數值",P171&lt;0),"界限不得為負","OK")))))))</f>
        <v/>
      </c>
      <c r="AA171" s="93">
        <f>IF(COUNTA(A171:D171)=0,"",IF(OR(A171="",H171=""),"缺識別欄位",IF(IF(LEN("="&amp;SUBSTITUTE(SUBSTITUTE(SUBSTITUTE(X171,"~","~~"),"*","~*"),"?","~?"))&lt;=255,COUNTIF(Results[結果識別鍵],"="&amp;SUBSTITUTE(SUBSTITUTE(SUBSTITUTE(X171,"~","~~"),"*","~*"),"?","~?")),COUNTIFS(Results[關聯鍵],"="&amp;SUBSTITUTE(SUBSTITUTE(SUBSTITUTE(H171,"~","~~"),"*","~*"),"?","~?"),Results[分析項目],"="&amp;SUBSTITUTE(SUBSTITUTE(SUBSTITUTE(A171,"~","~~"),"*","~*"),"?","~?")))&gt;1,"同關聯鍵測項重複","OK")))</f>
        <v/>
      </c>
      <c r="AB171" s="93">
        <f>IF(COUNTA($A171:$D171)=0,"",IF(OR(C171="",K171=""),"缺單位",IF(NOT(ISNUMBER(L171)),"單位不相容",IF(L171=1,"OK","已換算"))))</f>
        <v/>
      </c>
      <c r="AC171" s="93">
        <f>IF(COUNTA($A171:$D171)=0,"",IF('07_QAQC'!$C$3="","未選比較版本",IF(U171=0,IF(COUNTIFS(DB_05[標準鍵],W171)&gt;1,"標準鍵重複","未訂此介質／測項門檻"),IF(INDEX(DB_05[版本檢查],U171)&lt;&gt;"OK","標準主檔待核",IF(INDEX(DB_05[標準單位],U171)&lt;&gt;K171,"標準單位不符",IF(INDEX(DB_05[核對狀態],U171)="停用","停用",IF(F171="","缺採樣日期",IF(OR(AND(INDEX(DB_05[生效日],U171)&lt;&gt;"",F171&lt;INDEX(DB_05[生效日],U171)),AND(INDEX(DB_05[失效日],U171)&lt;&gt;"",F171&gt;INDEX(DB_05[失效日],U171))),"日期不適用",INDEX(DB_05[核對狀態],U171)))))))))</f>
        <v/>
      </c>
      <c r="AD171" s="93">
        <f>IF(COUNTA($A171:$D171)=0,"",IF(AC171="未訂此介質／測項門檻",AC171,IF(AC171&lt;&gt;"已核對","標準待核",IF(R171="","未訂管制值",IF(NOT(ISNUMBER(L171)),"單位待核",IF(N171="ND","無法判定（ND無界限）",IF(N171="NA","不適用",IF(Z171&lt;&gt;"OK",Z171,IF(N171="數值",IF(Q171&gt;=R171,"達管制值","未達管制值"),IF(OR(N171="&lt;",N171="&lt;="),IF(OR(Q171&lt;R171,AND(N171="&lt;",Q171=R171)),"未達管制值","無法判定"),IF(OR(N171="&gt;",N171="&gt;="),IF(Q171&gt;=R171,"達管制值","無法判定"),"格式待核")))))))))))</f>
        <v/>
      </c>
      <c r="AE171" s="93">
        <f>IF(COUNTA($A171:$D171)=0,"",IF(AC171="未訂此介質／測項門檻",AC171,IF(AC171&lt;&gt;"已核對","標準待核",IF(S171="","未訂監測值",IF(NOT(ISNUMBER(L171)),"單位待核",IF(N171="ND","無法判定（ND無界限）",IF(N171="NA","不適用",IF(Z171&lt;&gt;"OK",Z171,IF(N171="數值",IF(Q171&gt;=S171,"達監測值","未達監測值"),IF(OR(N171="&lt;",N171="&lt;="),IF(OR(Q171&lt;S171,AND(N171="&lt;",Q171=S171)),"未達監測值","無法判定"),IF(OR(N171="&gt;",N171="&gt;="),IF(Q171&gt;=S171,"達監測值","無法判定"),"格式待核")))))))))))</f>
        <v/>
      </c>
      <c r="AF171" s="93">
        <f>IF(COUNTA($A171:$D171)=0,"",IF(OR(E171="",A171="",B171="",C171=""),"缺必要欄位",IF(Y171&lt;&gt;"OK","樣品資料待補",IF(T171=0,"測項未建或重複",IF(INDEX(DB_04[啟用],T171)&lt;&gt;"是","測項停用",IF(AND(Z171&lt;&gt;"OK",Z171&lt;&gt;"不適用"),Z171,IF(AND(AB171&lt;&gt;"OK",AB171&lt;&gt;"已換算"),"單位待核",IF(AA171&lt;&gt;"OK",AA171,"OK"))))))))</f>
        <v/>
      </c>
      <c r="AG171" s="93">
        <f>IF(COUNTA($A171:$D171)=0,"",IF(N171="ND","ND取0",IF(OR(N171="&lt;",N171="&lt;="),"界限除以2",IF(N171="NA","不適用",IF(OR(N171="&gt;",N171="&gt;="),"保留界限數值","保留原數值")))))</f>
        <v/>
      </c>
      <c r="AH171" s="92">
        <f>IF(O171="","",IFERROR(_xlfn.NUMBERVALUE(O171,".",","),""))</f>
        <v/>
      </c>
      <c r="AI171" s="92">
        <f>IF(H171="","",IFERROR(MATCH(H171,Samples[樣品編號],0),0))</f>
        <v/>
      </c>
    </row>
    <row r="172">
      <c r="A172" s="27" t="inlineStr">
        <is>
          <t>pH</t>
        </is>
      </c>
      <c r="B172" s="28" t="inlineStr">
        <is>
          <t>6.78</t>
        </is>
      </c>
      <c r="C172" s="27" t="inlineStr">
        <is>
          <t>無因次</t>
        </is>
      </c>
      <c r="D172" s="39" t="inlineStr">
        <is>
          <t>合成資料，非實測；method=field</t>
        </is>
      </c>
      <c r="E172" s="29">
        <f>IF(OR(I172="",I172=0),"",IF(INDEX(Samples[監測點],I172)="","",INDEX(Samples[監測點],I172)))</f>
        <v/>
      </c>
      <c r="F172" s="90">
        <f>IF(OR(I172="",I172=0),"",IF(INDEX(Samples[採樣日期],I172)="","",INDEX(Samples[採樣日期],I172)))</f>
        <v/>
      </c>
      <c r="G172" s="91">
        <f>IF(OR(M172="",M172="NA",M172="N/A"),"",IF(OR(M172="ND",M172="N.D."),0,IFERROR(IF(OR(OR(ISNUMBER(SEARCH("%",O172)),ISNUMBER(SEARCH(" ",O172)),ISNUMBER(SEARCH(",",O172))),OR(SUBSTITUTE(SUBSTITUTE(SUBSTITUTE(SUBSTITUTE(SUBSTITUTE(SUBSTITUTE(SUBSTITUTE(SUBSTITUTE(SUBSTITUTE(SUBSTITUTE(SUBSTITUTE(SUBSTITUTE(SUBSTITUTE(SUBSTITUTE(SUBSTITUTE(SUBSTITUTE(SUBSTITUTE(SUBSTITUTE("x"&amp;M172,"0",""),"1",""),"2",""),"3",""),"4",""),"5",""),"6",""),"7",""),"8",""),"9",""),".",""),"E",""),"+",""),"-",""),"&lt;",""),"&gt;",""),"=","")," ","")&lt;&gt;"x",ISNUMBER(SEARCH("-",SUBSTITUTE(SUBSTITUTE("x"&amp;MID(M172,2,99),"E-","E"),"E+","E"))),ISNUMBER(SEARCH("+",SUBSTITUTE(SUBSTITUTE("x"&amp;MID(M172,2,99),"E-","E"),"E+","E"))))),"",IF(AND(OR(LEFT(M172,1)="&lt;",LEFT(M172,1)="&gt;"),IF(O172="",0,IF(ISNUMBER(AH172),AH172,NA()))&lt;0),"",IF(O172="",0,IF(ISNUMBER(AH172),AH172,NA()))/IF(LEFT(M172,1)="&lt;",2,1))),"")))</f>
        <v/>
      </c>
      <c r="H172" s="57" t="inlineStr">
        <is>
          <t>BH04-W_20260415_01</t>
        </is>
      </c>
      <c r="I172" s="92">
        <f>IF(OR(H172="",AI172=0),0,IF(INDEX(Samples[樣品重複筆數],AI172)=1,AI172,0))</f>
        <v/>
      </c>
      <c r="J172" s="92">
        <f>IF(OR(COUNTA($A172:$D172)=0,I172=0),"",IF(INDEX(Samples[介質],I172)="","",INDEX(Samples[介質],I172)))</f>
        <v/>
      </c>
      <c r="K172" s="92">
        <f>IF(OR(COUNTA($A172:$D172)=0,T172=0),"",IF(INDEX(DB_04[標準單位],T172)="","",INDEX(DB_04[標準單位],T172)))</f>
        <v/>
      </c>
      <c r="L172" s="92">
        <f>IF(COUNTA($A172:$D172)=0,"",IF(OR(C172="",K172=""),"",IF(C172=K172,1,IF(COUNTIFS(DB_06[換算鍵],C172&amp;"|"&amp;K172,DB_06[換算檢查],"OK")=1,INDEX(DB_06[乘數],MATCH(C172&amp;"|"&amp;K172,DB_06[換算鍵],0)),""))))</f>
        <v/>
      </c>
      <c r="M172" s="92">
        <f>UPPER(SUBSTITUTE(SUBSTITUTE(SUBSTITUTE(SUBSTITUTE(TRIM(B172&amp;""),"＜","&lt;"),"＞","&gt;"),"≤","&lt;="),"≥","&gt;="))</f>
        <v/>
      </c>
      <c r="N172" s="92">
        <f>IF(M172="","",IF(OR(M172="ND",M172="N.D."),"ND",IF(OR(M172="NA",M172="N/A",M172="N.A."),"NA",IF(OR(LEFT(M172,2)="&lt;=",LEFT(M172,2)="&gt;="),LEFT(M172,2),IF(OR(LEFT(M172,1)="&lt;",LEFT(M172,1)="&gt;"),LEFT(M172,1),"數值")))))</f>
        <v/>
      </c>
      <c r="O172" s="92">
        <f>IF(OR(N172="",N172="ND",N172="NA"),"",IF(N172="數值",M172,TRIM(MID(M172,LEN(N172)+1,99))))</f>
        <v/>
      </c>
      <c r="P172" s="92">
        <f>IF(O172="","",IFERROR(IF(OR(OR(ISNUMBER(SEARCH("%",O172)),ISNUMBER(SEARCH(" ",O172)),ISNUMBER(SEARCH(",",O172))),OR(SUBSTITUTE(SUBSTITUTE(SUBSTITUTE(SUBSTITUTE(SUBSTITUTE(SUBSTITUTE(SUBSTITUTE(SUBSTITUTE(SUBSTITUTE(SUBSTITUTE(SUBSTITUTE(SUBSTITUTE(SUBSTITUTE(SUBSTITUTE(SUBSTITUTE(SUBSTITUTE(SUBSTITUTE(SUBSTITUTE("x"&amp;O172,"0",""),"1",""),"2",""),"3",""),"4",""),"5",""),"6",""),"7",""),"8",""),"9",""),".",""),"E",""),"+",""),"-",""),"&lt;",""),"&gt;",""),"=","")," ","")&lt;&gt;"x",ISNUMBER(SEARCH("-",SUBSTITUTE(SUBSTITUTE("x"&amp;MID(O172,2,99),"E-","E"),"E+","E"))),ISNUMBER(SEARCH("+",SUBSTITUTE(SUBSTITUTE("x"&amp;MID(O172,2,99),"E-","E"),"E+","E"))))),"",IF(ISNUMBER(AH172),AH172,NA())),""))</f>
        <v/>
      </c>
      <c r="Q172" s="92">
        <f>IF(AND(ISNUMBER(L172),ISNUMBER(P172)),L172*P172,"")</f>
        <v/>
      </c>
      <c r="R172" s="92">
        <f>IF(OR(COUNTA($A172:$D172)=0,U172=0),"",IF(INDEX(DB_05[管制設定值],U172)="","",INDEX(DB_05[管制設定值],U172)))</f>
        <v/>
      </c>
      <c r="S172" s="92">
        <f>IF(OR(COUNTA($A172:$D172)=0,U172=0),"",IF(INDEX(DB_05[監測設定值],U172)="","",INDEX(DB_05[監測設定值],U172)))</f>
        <v/>
      </c>
      <c r="T172" s="92">
        <f>IF(COUNTA($A172:$D172)=0,"",IF(COUNTIFS(DB_04[測項鍵],V172)=1,MATCH(V172,DB_04[測項鍵],0),0))</f>
        <v/>
      </c>
      <c r="U172" s="92">
        <f>IF(COUNTA($A172:$D172)=0,"",IF(COUNTIFS(DB_05[標準鍵],W172)=1,MATCH(W172,DB_05[標準鍵],0),0))</f>
        <v/>
      </c>
      <c r="V172" s="92">
        <f>IF(OR(J172="",A172=""),"",J172&amp;"|"&amp;A172)</f>
        <v/>
      </c>
      <c r="W172" s="92">
        <f>IF(OR('07_QAQC'!$C$3="",V172=""),"",'07_QAQC'!$C$3&amp;"|"&amp;V172)</f>
        <v/>
      </c>
      <c r="X172" s="92">
        <f>IF(OR(H172="",A172=""),"",LEN(H172)&amp;":"&amp;H172&amp;LEN(A172)&amp;":"&amp;A172)</f>
        <v/>
      </c>
      <c r="Y172" s="93">
        <f>IF(COUNTA($A172:$D172)=0,"",IF(I172=0,"樣品未建或重複",IF(INDEX(Samples[樣品檢查],I172)="","OK",INDEX(Samples[樣品檢查],I172))))</f>
        <v/>
      </c>
      <c r="Z172" s="93">
        <f>IF(COUNTA($A172:$D172)=0,"",IF(B172="","缺原始值",IF(OR(B172="-",B172="--"),"無資料",IF(N172="NA","不適用",IF(N172="ND","OK",IF(NOT(ISNUMBER(P172)),"格式待核",IF(AND(N172&lt;&gt;"數值",P172&lt;0),"界限不得為負","OK")))))))</f>
        <v/>
      </c>
      <c r="AA172" s="93">
        <f>IF(COUNTA(A172:D172)=0,"",IF(OR(A172="",H172=""),"缺識別欄位",IF(IF(LEN("="&amp;SUBSTITUTE(SUBSTITUTE(SUBSTITUTE(X172,"~","~~"),"*","~*"),"?","~?"))&lt;=255,COUNTIF(Results[結果識別鍵],"="&amp;SUBSTITUTE(SUBSTITUTE(SUBSTITUTE(X172,"~","~~"),"*","~*"),"?","~?")),COUNTIFS(Results[關聯鍵],"="&amp;SUBSTITUTE(SUBSTITUTE(SUBSTITUTE(H172,"~","~~"),"*","~*"),"?","~?"),Results[分析項目],"="&amp;SUBSTITUTE(SUBSTITUTE(SUBSTITUTE(A172,"~","~~"),"*","~*"),"?","~?")))&gt;1,"同關聯鍵測項重複","OK")))</f>
        <v/>
      </c>
      <c r="AB172" s="93">
        <f>IF(COUNTA($A172:$D172)=0,"",IF(OR(C172="",K172=""),"缺單位",IF(NOT(ISNUMBER(L172)),"單位不相容",IF(L172=1,"OK","已換算"))))</f>
        <v/>
      </c>
      <c r="AC172" s="93">
        <f>IF(COUNTA($A172:$D172)=0,"",IF('07_QAQC'!$C$3="","未選比較版本",IF(U172=0,IF(COUNTIFS(DB_05[標準鍵],W172)&gt;1,"標準鍵重複","未訂此介質／測項門檻"),IF(INDEX(DB_05[版本檢查],U172)&lt;&gt;"OK","標準主檔待核",IF(INDEX(DB_05[標準單位],U172)&lt;&gt;K172,"標準單位不符",IF(INDEX(DB_05[核對狀態],U172)="停用","停用",IF(F172="","缺採樣日期",IF(OR(AND(INDEX(DB_05[生效日],U172)&lt;&gt;"",F172&lt;INDEX(DB_05[生效日],U172)),AND(INDEX(DB_05[失效日],U172)&lt;&gt;"",F172&gt;INDEX(DB_05[失效日],U172))),"日期不適用",INDEX(DB_05[核對狀態],U172)))))))))</f>
        <v/>
      </c>
      <c r="AD172" s="93">
        <f>IF(COUNTA($A172:$D172)=0,"",IF(AC172="未訂此介質／測項門檻",AC172,IF(AC172&lt;&gt;"已核對","標準待核",IF(R172="","未訂管制值",IF(NOT(ISNUMBER(L172)),"單位待核",IF(N172="ND","無法判定（ND無界限）",IF(N172="NA","不適用",IF(Z172&lt;&gt;"OK",Z172,IF(N172="數值",IF(Q172&gt;=R172,"達管制值","未達管制值"),IF(OR(N172="&lt;",N172="&lt;="),IF(OR(Q172&lt;R172,AND(N172="&lt;",Q172=R172)),"未達管制值","無法判定"),IF(OR(N172="&gt;",N172="&gt;="),IF(Q172&gt;=R172,"達管制值","無法判定"),"格式待核")))))))))))</f>
        <v/>
      </c>
      <c r="AE172" s="93">
        <f>IF(COUNTA($A172:$D172)=0,"",IF(AC172="未訂此介質／測項門檻",AC172,IF(AC172&lt;&gt;"已核對","標準待核",IF(S172="","未訂監測值",IF(NOT(ISNUMBER(L172)),"單位待核",IF(N172="ND","無法判定（ND無界限）",IF(N172="NA","不適用",IF(Z172&lt;&gt;"OK",Z172,IF(N172="數值",IF(Q172&gt;=S172,"達監測值","未達監測值"),IF(OR(N172="&lt;",N172="&lt;="),IF(OR(Q172&lt;S172,AND(N172="&lt;",Q172=S172)),"未達監測值","無法判定"),IF(OR(N172="&gt;",N172="&gt;="),IF(Q172&gt;=S172,"達監測值","無法判定"),"格式待核")))))))))))</f>
        <v/>
      </c>
      <c r="AF172" s="93">
        <f>IF(COUNTA($A172:$D172)=0,"",IF(OR(E172="",A172="",B172="",C172=""),"缺必要欄位",IF(Y172&lt;&gt;"OK","樣品資料待補",IF(T172=0,"測項未建或重複",IF(INDEX(DB_04[啟用],T172)&lt;&gt;"是","測項停用",IF(AND(Z172&lt;&gt;"OK",Z172&lt;&gt;"不適用"),Z172,IF(AND(AB172&lt;&gt;"OK",AB172&lt;&gt;"已換算"),"單位待核",IF(AA172&lt;&gt;"OK",AA172,"OK"))))))))</f>
        <v/>
      </c>
      <c r="AG172" s="93">
        <f>IF(COUNTA($A172:$D172)=0,"",IF(N172="ND","ND取0",IF(OR(N172="&lt;",N172="&lt;="),"界限除以2",IF(N172="NA","不適用",IF(OR(N172="&gt;",N172="&gt;="),"保留界限數值","保留原數值")))))</f>
        <v/>
      </c>
      <c r="AH172" s="92">
        <f>IF(O172="","",IFERROR(_xlfn.NUMBERVALUE(O172,".",","),""))</f>
        <v/>
      </c>
      <c r="AI172" s="92">
        <f>IF(H172="","",IFERROR(MATCH(H172,Samples[樣品編號],0),0))</f>
        <v/>
      </c>
    </row>
    <row r="173">
      <c r="A173" s="27" t="inlineStr">
        <is>
          <t>EC</t>
        </is>
      </c>
      <c r="B173" s="28" t="inlineStr">
        <is>
          <t>0.53</t>
        </is>
      </c>
      <c r="C173" s="27" t="inlineStr">
        <is>
          <t>mS/cm</t>
        </is>
      </c>
      <c r="D173" s="39" t="inlineStr">
        <is>
          <t>合成資料，非實測；method=field; temperature=25; temperature_compensated=25C; reference_temperature=25</t>
        </is>
      </c>
      <c r="E173" s="29">
        <f>IF(OR(I173="",I173=0),"",IF(INDEX(Samples[監測點],I173)="","",INDEX(Samples[監測點],I173)))</f>
        <v/>
      </c>
      <c r="F173" s="90">
        <f>IF(OR(I173="",I173=0),"",IF(INDEX(Samples[採樣日期],I173)="","",INDEX(Samples[採樣日期],I173)))</f>
        <v/>
      </c>
      <c r="G173" s="91">
        <f>IF(OR(M173="",M173="NA",M173="N/A"),"",IF(OR(M173="ND",M173="N.D."),0,IFERROR(IF(OR(OR(ISNUMBER(SEARCH("%",O173)),ISNUMBER(SEARCH(" ",O173)),ISNUMBER(SEARCH(",",O173))),OR(SUBSTITUTE(SUBSTITUTE(SUBSTITUTE(SUBSTITUTE(SUBSTITUTE(SUBSTITUTE(SUBSTITUTE(SUBSTITUTE(SUBSTITUTE(SUBSTITUTE(SUBSTITUTE(SUBSTITUTE(SUBSTITUTE(SUBSTITUTE(SUBSTITUTE(SUBSTITUTE(SUBSTITUTE(SUBSTITUTE("x"&amp;M173,"0",""),"1",""),"2",""),"3",""),"4",""),"5",""),"6",""),"7",""),"8",""),"9",""),".",""),"E",""),"+",""),"-",""),"&lt;",""),"&gt;",""),"=","")," ","")&lt;&gt;"x",ISNUMBER(SEARCH("-",SUBSTITUTE(SUBSTITUTE("x"&amp;MID(M173,2,99),"E-","E"),"E+","E"))),ISNUMBER(SEARCH("+",SUBSTITUTE(SUBSTITUTE("x"&amp;MID(M173,2,99),"E-","E"),"E+","E"))))),"",IF(AND(OR(LEFT(M173,1)="&lt;",LEFT(M173,1)="&gt;"),IF(O173="",0,IF(ISNUMBER(AH173),AH173,NA()))&lt;0),"",IF(O173="",0,IF(ISNUMBER(AH173),AH173,NA()))/IF(LEFT(M173,1)="&lt;",2,1))),"")))</f>
        <v/>
      </c>
      <c r="H173" s="57" t="inlineStr">
        <is>
          <t>BH04-W_20260415_01</t>
        </is>
      </c>
      <c r="I173" s="92">
        <f>IF(OR(H173="",AI173=0),0,IF(INDEX(Samples[樣品重複筆數],AI173)=1,AI173,0))</f>
        <v/>
      </c>
      <c r="J173" s="92">
        <f>IF(OR(COUNTA($A173:$D173)=0,I173=0),"",IF(INDEX(Samples[介質],I173)="","",INDEX(Samples[介質],I173)))</f>
        <v/>
      </c>
      <c r="K173" s="92">
        <f>IF(OR(COUNTA($A173:$D173)=0,T173=0),"",IF(INDEX(DB_04[標準單位],T173)="","",INDEX(DB_04[標準單位],T173)))</f>
        <v/>
      </c>
      <c r="L173" s="92">
        <f>IF(COUNTA($A173:$D173)=0,"",IF(OR(C173="",K173=""),"",IF(C173=K173,1,IF(COUNTIFS(DB_06[換算鍵],C173&amp;"|"&amp;K173,DB_06[換算檢查],"OK")=1,INDEX(DB_06[乘數],MATCH(C173&amp;"|"&amp;K173,DB_06[換算鍵],0)),""))))</f>
        <v/>
      </c>
      <c r="M173" s="92">
        <f>UPPER(SUBSTITUTE(SUBSTITUTE(SUBSTITUTE(SUBSTITUTE(TRIM(B173&amp;""),"＜","&lt;"),"＞","&gt;"),"≤","&lt;="),"≥","&gt;="))</f>
        <v/>
      </c>
      <c r="N173" s="92">
        <f>IF(M173="","",IF(OR(M173="ND",M173="N.D."),"ND",IF(OR(M173="NA",M173="N/A",M173="N.A."),"NA",IF(OR(LEFT(M173,2)="&lt;=",LEFT(M173,2)="&gt;="),LEFT(M173,2),IF(OR(LEFT(M173,1)="&lt;",LEFT(M173,1)="&gt;"),LEFT(M173,1),"數值")))))</f>
        <v/>
      </c>
      <c r="O173" s="92">
        <f>IF(OR(N173="",N173="ND",N173="NA"),"",IF(N173="數值",M173,TRIM(MID(M173,LEN(N173)+1,99))))</f>
        <v/>
      </c>
      <c r="P173" s="92">
        <f>IF(O173="","",IFERROR(IF(OR(OR(ISNUMBER(SEARCH("%",O173)),ISNUMBER(SEARCH(" ",O173)),ISNUMBER(SEARCH(",",O173))),OR(SUBSTITUTE(SUBSTITUTE(SUBSTITUTE(SUBSTITUTE(SUBSTITUTE(SUBSTITUTE(SUBSTITUTE(SUBSTITUTE(SUBSTITUTE(SUBSTITUTE(SUBSTITUTE(SUBSTITUTE(SUBSTITUTE(SUBSTITUTE(SUBSTITUTE(SUBSTITUTE(SUBSTITUTE(SUBSTITUTE("x"&amp;O173,"0",""),"1",""),"2",""),"3",""),"4",""),"5",""),"6",""),"7",""),"8",""),"9",""),".",""),"E",""),"+",""),"-",""),"&lt;",""),"&gt;",""),"=","")," ","")&lt;&gt;"x",ISNUMBER(SEARCH("-",SUBSTITUTE(SUBSTITUTE("x"&amp;MID(O173,2,99),"E-","E"),"E+","E"))),ISNUMBER(SEARCH("+",SUBSTITUTE(SUBSTITUTE("x"&amp;MID(O173,2,99),"E-","E"),"E+","E"))))),"",IF(ISNUMBER(AH173),AH173,NA())),""))</f>
        <v/>
      </c>
      <c r="Q173" s="92">
        <f>IF(AND(ISNUMBER(L173),ISNUMBER(P173)),L173*P173,"")</f>
        <v/>
      </c>
      <c r="R173" s="92">
        <f>IF(OR(COUNTA($A173:$D173)=0,U173=0),"",IF(INDEX(DB_05[管制設定值],U173)="","",INDEX(DB_05[管制設定值],U173)))</f>
        <v/>
      </c>
      <c r="S173" s="92">
        <f>IF(OR(COUNTA($A173:$D173)=0,U173=0),"",IF(INDEX(DB_05[監測設定值],U173)="","",INDEX(DB_05[監測設定值],U173)))</f>
        <v/>
      </c>
      <c r="T173" s="92">
        <f>IF(COUNTA($A173:$D173)=0,"",IF(COUNTIFS(DB_04[測項鍵],V173)=1,MATCH(V173,DB_04[測項鍵],0),0))</f>
        <v/>
      </c>
      <c r="U173" s="92">
        <f>IF(COUNTA($A173:$D173)=0,"",IF(COUNTIFS(DB_05[標準鍵],W173)=1,MATCH(W173,DB_05[標準鍵],0),0))</f>
        <v/>
      </c>
      <c r="V173" s="92">
        <f>IF(OR(J173="",A173=""),"",J173&amp;"|"&amp;A173)</f>
        <v/>
      </c>
      <c r="W173" s="92">
        <f>IF(OR('07_QAQC'!$C$3="",V173=""),"",'07_QAQC'!$C$3&amp;"|"&amp;V173)</f>
        <v/>
      </c>
      <c r="X173" s="92">
        <f>IF(OR(H173="",A173=""),"",LEN(H173)&amp;":"&amp;H173&amp;LEN(A173)&amp;":"&amp;A173)</f>
        <v/>
      </c>
      <c r="Y173" s="93">
        <f>IF(COUNTA($A173:$D173)=0,"",IF(I173=0,"樣品未建或重複",IF(INDEX(Samples[樣品檢查],I173)="","OK",INDEX(Samples[樣品檢查],I173))))</f>
        <v/>
      </c>
      <c r="Z173" s="93">
        <f>IF(COUNTA($A173:$D173)=0,"",IF(B173="","缺原始值",IF(OR(B173="-",B173="--"),"無資料",IF(N173="NA","不適用",IF(N173="ND","OK",IF(NOT(ISNUMBER(P173)),"格式待核",IF(AND(N173&lt;&gt;"數值",P173&lt;0),"界限不得為負","OK")))))))</f>
        <v/>
      </c>
      <c r="AA173" s="93">
        <f>IF(COUNTA(A173:D173)=0,"",IF(OR(A173="",H173=""),"缺識別欄位",IF(IF(LEN("="&amp;SUBSTITUTE(SUBSTITUTE(SUBSTITUTE(X173,"~","~~"),"*","~*"),"?","~?"))&lt;=255,COUNTIF(Results[結果識別鍵],"="&amp;SUBSTITUTE(SUBSTITUTE(SUBSTITUTE(X173,"~","~~"),"*","~*"),"?","~?")),COUNTIFS(Results[關聯鍵],"="&amp;SUBSTITUTE(SUBSTITUTE(SUBSTITUTE(H173,"~","~~"),"*","~*"),"?","~?"),Results[分析項目],"="&amp;SUBSTITUTE(SUBSTITUTE(SUBSTITUTE(A173,"~","~~"),"*","~*"),"?","~?")))&gt;1,"同關聯鍵測項重複","OK")))</f>
        <v/>
      </c>
      <c r="AB173" s="93">
        <f>IF(COUNTA($A173:$D173)=0,"",IF(OR(C173="",K173=""),"缺單位",IF(NOT(ISNUMBER(L173)),"單位不相容",IF(L173=1,"OK","已換算"))))</f>
        <v/>
      </c>
      <c r="AC173" s="93">
        <f>IF(COUNTA($A173:$D173)=0,"",IF('07_QAQC'!$C$3="","未選比較版本",IF(U173=0,IF(COUNTIFS(DB_05[標準鍵],W173)&gt;1,"標準鍵重複","未訂此介質／測項門檻"),IF(INDEX(DB_05[版本檢查],U173)&lt;&gt;"OK","標準主檔待核",IF(INDEX(DB_05[標準單位],U173)&lt;&gt;K173,"標準單位不符",IF(INDEX(DB_05[核對狀態],U173)="停用","停用",IF(F173="","缺採樣日期",IF(OR(AND(INDEX(DB_05[生效日],U173)&lt;&gt;"",F173&lt;INDEX(DB_05[生效日],U173)),AND(INDEX(DB_05[失效日],U173)&lt;&gt;"",F173&gt;INDEX(DB_05[失效日],U173))),"日期不適用",INDEX(DB_05[核對狀態],U173)))))))))</f>
        <v/>
      </c>
      <c r="AD173" s="93">
        <f>IF(COUNTA($A173:$D173)=0,"",IF(AC173="未訂此介質／測項門檻",AC173,IF(AC173&lt;&gt;"已核對","標準待核",IF(R173="","未訂管制值",IF(NOT(ISNUMBER(L173)),"單位待核",IF(N173="ND","無法判定（ND無界限）",IF(N173="NA","不適用",IF(Z173&lt;&gt;"OK",Z173,IF(N173="數值",IF(Q173&gt;=R173,"達管制值","未達管制值"),IF(OR(N173="&lt;",N173="&lt;="),IF(OR(Q173&lt;R173,AND(N173="&lt;",Q173=R173)),"未達管制值","無法判定"),IF(OR(N173="&gt;",N173="&gt;="),IF(Q173&gt;=R173,"達管制值","無法判定"),"格式待核")))))))))))</f>
        <v/>
      </c>
      <c r="AE173" s="93">
        <f>IF(COUNTA($A173:$D173)=0,"",IF(AC173="未訂此介質／測項門檻",AC173,IF(AC173&lt;&gt;"已核對","標準待核",IF(S173="","未訂監測值",IF(NOT(ISNUMBER(L173)),"單位待核",IF(N173="ND","無法判定（ND無界限）",IF(N173="NA","不適用",IF(Z173&lt;&gt;"OK",Z173,IF(N173="數值",IF(Q173&gt;=S173,"達監測值","未達監測值"),IF(OR(N173="&lt;",N173="&lt;="),IF(OR(Q173&lt;S173,AND(N173="&lt;",Q173=S173)),"未達監測值","無法判定"),IF(OR(N173="&gt;",N173="&gt;="),IF(Q173&gt;=S173,"達監測值","無法判定"),"格式待核")))))))))))</f>
        <v/>
      </c>
      <c r="AF173" s="93">
        <f>IF(COUNTA($A173:$D173)=0,"",IF(OR(E173="",A173="",B173="",C173=""),"缺必要欄位",IF(Y173&lt;&gt;"OK","樣品資料待補",IF(T173=0,"測項未建或重複",IF(INDEX(DB_04[啟用],T173)&lt;&gt;"是","測項停用",IF(AND(Z173&lt;&gt;"OK",Z173&lt;&gt;"不適用"),Z173,IF(AND(AB173&lt;&gt;"OK",AB173&lt;&gt;"已換算"),"單位待核",IF(AA173&lt;&gt;"OK",AA173,"OK"))))))))</f>
        <v/>
      </c>
      <c r="AG173" s="93">
        <f>IF(COUNTA($A173:$D173)=0,"",IF(N173="ND","ND取0",IF(OR(N173="&lt;",N173="&lt;="),"界限除以2",IF(N173="NA","不適用",IF(OR(N173="&gt;",N173="&gt;="),"保留界限數值","保留原數值")))))</f>
        <v/>
      </c>
      <c r="AH173" s="92">
        <f>IF(O173="","",IFERROR(_xlfn.NUMBERVALUE(O173,".",","),""))</f>
        <v/>
      </c>
      <c r="AI173" s="92">
        <f>IF(H173="","",IFERROR(MATCH(H173,Samples[樣品編號],0),0))</f>
        <v/>
      </c>
    </row>
    <row r="174">
      <c r="A174" s="27" t="inlineStr">
        <is>
          <t>DO</t>
        </is>
      </c>
      <c r="B174" s="28" t="inlineStr">
        <is>
          <t>5.8</t>
        </is>
      </c>
      <c r="C174" s="27" t="inlineStr">
        <is>
          <t>mg/L</t>
        </is>
      </c>
      <c r="D174" s="39" t="inlineStr">
        <is>
          <t>合成資料，非實測；method=field</t>
        </is>
      </c>
      <c r="E174" s="29">
        <f>IF(OR(I174="",I174=0),"",IF(INDEX(Samples[監測點],I174)="","",INDEX(Samples[監測點],I174)))</f>
        <v/>
      </c>
      <c r="F174" s="90">
        <f>IF(OR(I174="",I174=0),"",IF(INDEX(Samples[採樣日期],I174)="","",INDEX(Samples[採樣日期],I174)))</f>
        <v/>
      </c>
      <c r="G174" s="91">
        <f>IF(OR(M174="",M174="NA",M174="N/A"),"",IF(OR(M174="ND",M174="N.D."),0,IFERROR(IF(OR(OR(ISNUMBER(SEARCH("%",O174)),ISNUMBER(SEARCH(" ",O174)),ISNUMBER(SEARCH(",",O174))),OR(SUBSTITUTE(SUBSTITUTE(SUBSTITUTE(SUBSTITUTE(SUBSTITUTE(SUBSTITUTE(SUBSTITUTE(SUBSTITUTE(SUBSTITUTE(SUBSTITUTE(SUBSTITUTE(SUBSTITUTE(SUBSTITUTE(SUBSTITUTE(SUBSTITUTE(SUBSTITUTE(SUBSTITUTE(SUBSTITUTE("x"&amp;M174,"0",""),"1",""),"2",""),"3",""),"4",""),"5",""),"6",""),"7",""),"8",""),"9",""),".",""),"E",""),"+",""),"-",""),"&lt;",""),"&gt;",""),"=","")," ","")&lt;&gt;"x",ISNUMBER(SEARCH("-",SUBSTITUTE(SUBSTITUTE("x"&amp;MID(M174,2,99),"E-","E"),"E+","E"))),ISNUMBER(SEARCH("+",SUBSTITUTE(SUBSTITUTE("x"&amp;MID(M174,2,99),"E-","E"),"E+","E"))))),"",IF(AND(OR(LEFT(M174,1)="&lt;",LEFT(M174,1)="&gt;"),IF(O174="",0,IF(ISNUMBER(AH174),AH174,NA()))&lt;0),"",IF(O174="",0,IF(ISNUMBER(AH174),AH174,NA()))/IF(LEFT(M174,1)="&lt;",2,1))),"")))</f>
        <v/>
      </c>
      <c r="H174" s="57" t="inlineStr">
        <is>
          <t>BH04-W_20260415_01</t>
        </is>
      </c>
      <c r="I174" s="92">
        <f>IF(OR(H174="",AI174=0),0,IF(INDEX(Samples[樣品重複筆數],AI174)=1,AI174,0))</f>
        <v/>
      </c>
      <c r="J174" s="92">
        <f>IF(OR(COUNTA($A174:$D174)=0,I174=0),"",IF(INDEX(Samples[介質],I174)="","",INDEX(Samples[介質],I174)))</f>
        <v/>
      </c>
      <c r="K174" s="92">
        <f>IF(OR(COUNTA($A174:$D174)=0,T174=0),"",IF(INDEX(DB_04[標準單位],T174)="","",INDEX(DB_04[標準單位],T174)))</f>
        <v/>
      </c>
      <c r="L174" s="92">
        <f>IF(COUNTA($A174:$D174)=0,"",IF(OR(C174="",K174=""),"",IF(C174=K174,1,IF(COUNTIFS(DB_06[換算鍵],C174&amp;"|"&amp;K174,DB_06[換算檢查],"OK")=1,INDEX(DB_06[乘數],MATCH(C174&amp;"|"&amp;K174,DB_06[換算鍵],0)),""))))</f>
        <v/>
      </c>
      <c r="M174" s="92">
        <f>UPPER(SUBSTITUTE(SUBSTITUTE(SUBSTITUTE(SUBSTITUTE(TRIM(B174&amp;""),"＜","&lt;"),"＞","&gt;"),"≤","&lt;="),"≥","&gt;="))</f>
        <v/>
      </c>
      <c r="N174" s="92">
        <f>IF(M174="","",IF(OR(M174="ND",M174="N.D."),"ND",IF(OR(M174="NA",M174="N/A",M174="N.A."),"NA",IF(OR(LEFT(M174,2)="&lt;=",LEFT(M174,2)="&gt;="),LEFT(M174,2),IF(OR(LEFT(M174,1)="&lt;",LEFT(M174,1)="&gt;"),LEFT(M174,1),"數值")))))</f>
        <v/>
      </c>
      <c r="O174" s="92">
        <f>IF(OR(N174="",N174="ND",N174="NA"),"",IF(N174="數值",M174,TRIM(MID(M174,LEN(N174)+1,99))))</f>
        <v/>
      </c>
      <c r="P174" s="92">
        <f>IF(O174="","",IFERROR(IF(OR(OR(ISNUMBER(SEARCH("%",O174)),ISNUMBER(SEARCH(" ",O174)),ISNUMBER(SEARCH(",",O174))),OR(SUBSTITUTE(SUBSTITUTE(SUBSTITUTE(SUBSTITUTE(SUBSTITUTE(SUBSTITUTE(SUBSTITUTE(SUBSTITUTE(SUBSTITUTE(SUBSTITUTE(SUBSTITUTE(SUBSTITUTE(SUBSTITUTE(SUBSTITUTE(SUBSTITUTE(SUBSTITUTE(SUBSTITUTE(SUBSTITUTE("x"&amp;O174,"0",""),"1",""),"2",""),"3",""),"4",""),"5",""),"6",""),"7",""),"8",""),"9",""),".",""),"E",""),"+",""),"-",""),"&lt;",""),"&gt;",""),"=","")," ","")&lt;&gt;"x",ISNUMBER(SEARCH("-",SUBSTITUTE(SUBSTITUTE("x"&amp;MID(O174,2,99),"E-","E"),"E+","E"))),ISNUMBER(SEARCH("+",SUBSTITUTE(SUBSTITUTE("x"&amp;MID(O174,2,99),"E-","E"),"E+","E"))))),"",IF(ISNUMBER(AH174),AH174,NA())),""))</f>
        <v/>
      </c>
      <c r="Q174" s="92">
        <f>IF(AND(ISNUMBER(L174),ISNUMBER(P174)),L174*P174,"")</f>
        <v/>
      </c>
      <c r="R174" s="92">
        <f>IF(OR(COUNTA($A174:$D174)=0,U174=0),"",IF(INDEX(DB_05[管制設定值],U174)="","",INDEX(DB_05[管制設定值],U174)))</f>
        <v/>
      </c>
      <c r="S174" s="92">
        <f>IF(OR(COUNTA($A174:$D174)=0,U174=0),"",IF(INDEX(DB_05[監測設定值],U174)="","",INDEX(DB_05[監測設定值],U174)))</f>
        <v/>
      </c>
      <c r="T174" s="92">
        <f>IF(COUNTA($A174:$D174)=0,"",IF(COUNTIFS(DB_04[測項鍵],V174)=1,MATCH(V174,DB_04[測項鍵],0),0))</f>
        <v/>
      </c>
      <c r="U174" s="92">
        <f>IF(COUNTA($A174:$D174)=0,"",IF(COUNTIFS(DB_05[標準鍵],W174)=1,MATCH(W174,DB_05[標準鍵],0),0))</f>
        <v/>
      </c>
      <c r="V174" s="92">
        <f>IF(OR(J174="",A174=""),"",J174&amp;"|"&amp;A174)</f>
        <v/>
      </c>
      <c r="W174" s="92">
        <f>IF(OR('07_QAQC'!$C$3="",V174=""),"",'07_QAQC'!$C$3&amp;"|"&amp;V174)</f>
        <v/>
      </c>
      <c r="X174" s="92">
        <f>IF(OR(H174="",A174=""),"",LEN(H174)&amp;":"&amp;H174&amp;LEN(A174)&amp;":"&amp;A174)</f>
        <v/>
      </c>
      <c r="Y174" s="93">
        <f>IF(COUNTA($A174:$D174)=0,"",IF(I174=0,"樣品未建或重複",IF(INDEX(Samples[樣品檢查],I174)="","OK",INDEX(Samples[樣品檢查],I174))))</f>
        <v/>
      </c>
      <c r="Z174" s="93">
        <f>IF(COUNTA($A174:$D174)=0,"",IF(B174="","缺原始值",IF(OR(B174="-",B174="--"),"無資料",IF(N174="NA","不適用",IF(N174="ND","OK",IF(NOT(ISNUMBER(P174)),"格式待核",IF(AND(N174&lt;&gt;"數值",P174&lt;0),"界限不得為負","OK")))))))</f>
        <v/>
      </c>
      <c r="AA174" s="93">
        <f>IF(COUNTA(A174:D174)=0,"",IF(OR(A174="",H174=""),"缺識別欄位",IF(IF(LEN("="&amp;SUBSTITUTE(SUBSTITUTE(SUBSTITUTE(X174,"~","~~"),"*","~*"),"?","~?"))&lt;=255,COUNTIF(Results[結果識別鍵],"="&amp;SUBSTITUTE(SUBSTITUTE(SUBSTITUTE(X174,"~","~~"),"*","~*"),"?","~?")),COUNTIFS(Results[關聯鍵],"="&amp;SUBSTITUTE(SUBSTITUTE(SUBSTITUTE(H174,"~","~~"),"*","~*"),"?","~?"),Results[分析項目],"="&amp;SUBSTITUTE(SUBSTITUTE(SUBSTITUTE(A174,"~","~~"),"*","~*"),"?","~?")))&gt;1,"同關聯鍵測項重複","OK")))</f>
        <v/>
      </c>
      <c r="AB174" s="93">
        <f>IF(COUNTA($A174:$D174)=0,"",IF(OR(C174="",K174=""),"缺單位",IF(NOT(ISNUMBER(L174)),"單位不相容",IF(L174=1,"OK","已換算"))))</f>
        <v/>
      </c>
      <c r="AC174" s="93">
        <f>IF(COUNTA($A174:$D174)=0,"",IF('07_QAQC'!$C$3="","未選比較版本",IF(U174=0,IF(COUNTIFS(DB_05[標準鍵],W174)&gt;1,"標準鍵重複","未訂此介質／測項門檻"),IF(INDEX(DB_05[版本檢查],U174)&lt;&gt;"OK","標準主檔待核",IF(INDEX(DB_05[標準單位],U174)&lt;&gt;K174,"標準單位不符",IF(INDEX(DB_05[核對狀態],U174)="停用","停用",IF(F174="","缺採樣日期",IF(OR(AND(INDEX(DB_05[生效日],U174)&lt;&gt;"",F174&lt;INDEX(DB_05[生效日],U174)),AND(INDEX(DB_05[失效日],U174)&lt;&gt;"",F174&gt;INDEX(DB_05[失效日],U174))),"日期不適用",INDEX(DB_05[核對狀態],U174)))))))))</f>
        <v/>
      </c>
      <c r="AD174" s="93">
        <f>IF(COUNTA($A174:$D174)=0,"",IF(AC174="未訂此介質／測項門檻",AC174,IF(AC174&lt;&gt;"已核對","標準待核",IF(R174="","未訂管制值",IF(NOT(ISNUMBER(L174)),"單位待核",IF(N174="ND","無法判定（ND無界限）",IF(N174="NA","不適用",IF(Z174&lt;&gt;"OK",Z174,IF(N174="數值",IF(Q174&gt;=R174,"達管制值","未達管制值"),IF(OR(N174="&lt;",N174="&lt;="),IF(OR(Q174&lt;R174,AND(N174="&lt;",Q174=R174)),"未達管制值","無法判定"),IF(OR(N174="&gt;",N174="&gt;="),IF(Q174&gt;=R174,"達管制值","無法判定"),"格式待核")))))))))))</f>
        <v/>
      </c>
      <c r="AE174" s="93">
        <f>IF(COUNTA($A174:$D174)=0,"",IF(AC174="未訂此介質／測項門檻",AC174,IF(AC174&lt;&gt;"已核對","標準待核",IF(S174="","未訂監測值",IF(NOT(ISNUMBER(L174)),"單位待核",IF(N174="ND","無法判定（ND無界限）",IF(N174="NA","不適用",IF(Z174&lt;&gt;"OK",Z174,IF(N174="數值",IF(Q174&gt;=S174,"達監測值","未達監測值"),IF(OR(N174="&lt;",N174="&lt;="),IF(OR(Q174&lt;S174,AND(N174="&lt;",Q174=S174)),"未達監測值","無法判定"),IF(OR(N174="&gt;",N174="&gt;="),IF(Q174&gt;=S174,"達監測值","無法判定"),"格式待核")))))))))))</f>
        <v/>
      </c>
      <c r="AF174" s="93">
        <f>IF(COUNTA($A174:$D174)=0,"",IF(OR(E174="",A174="",B174="",C174=""),"缺必要欄位",IF(Y174&lt;&gt;"OK","樣品資料待補",IF(T174=0,"測項未建或重複",IF(INDEX(DB_04[啟用],T174)&lt;&gt;"是","測項停用",IF(AND(Z174&lt;&gt;"OK",Z174&lt;&gt;"不適用"),Z174,IF(AND(AB174&lt;&gt;"OK",AB174&lt;&gt;"已換算"),"單位待核",IF(AA174&lt;&gt;"OK",AA174,"OK"))))))))</f>
        <v/>
      </c>
      <c r="AG174" s="93">
        <f>IF(COUNTA($A174:$D174)=0,"",IF(N174="ND","ND取0",IF(OR(N174="&lt;",N174="&lt;="),"界限除以2",IF(N174="NA","不適用",IF(OR(N174="&gt;",N174="&gt;="),"保留界限數值","保留原數值")))))</f>
        <v/>
      </c>
      <c r="AH174" s="92">
        <f>IF(O174="","",IFERROR(_xlfn.NUMBERVALUE(O174,".",","),""))</f>
        <v/>
      </c>
      <c r="AI174" s="92">
        <f>IF(H174="","",IFERROR(MATCH(H174,Samples[樣品編號],0),0))</f>
        <v/>
      </c>
    </row>
    <row r="175">
      <c r="A175" s="27" t="inlineStr">
        <is>
          <t>溶氧飽和度</t>
        </is>
      </c>
      <c r="B175" s="28" t="inlineStr">
        <is>
          <t>70</t>
        </is>
      </c>
      <c r="C175" s="27" t="inlineStr">
        <is>
          <t>%</t>
        </is>
      </c>
      <c r="D175" s="39" t="inlineStr">
        <is>
          <t>合成資料，非實測；method=field</t>
        </is>
      </c>
      <c r="E175" s="29">
        <f>IF(OR(I175="",I175=0),"",IF(INDEX(Samples[監測點],I175)="","",INDEX(Samples[監測點],I175)))</f>
        <v/>
      </c>
      <c r="F175" s="90">
        <f>IF(OR(I175="",I175=0),"",IF(INDEX(Samples[採樣日期],I175)="","",INDEX(Samples[採樣日期],I175)))</f>
        <v/>
      </c>
      <c r="G175" s="91">
        <f>IF(OR(M175="",M175="NA",M175="N/A"),"",IF(OR(M175="ND",M175="N.D."),0,IFERROR(IF(OR(OR(ISNUMBER(SEARCH("%",O175)),ISNUMBER(SEARCH(" ",O175)),ISNUMBER(SEARCH(",",O175))),OR(SUBSTITUTE(SUBSTITUTE(SUBSTITUTE(SUBSTITUTE(SUBSTITUTE(SUBSTITUTE(SUBSTITUTE(SUBSTITUTE(SUBSTITUTE(SUBSTITUTE(SUBSTITUTE(SUBSTITUTE(SUBSTITUTE(SUBSTITUTE(SUBSTITUTE(SUBSTITUTE(SUBSTITUTE(SUBSTITUTE("x"&amp;M175,"0",""),"1",""),"2",""),"3",""),"4",""),"5",""),"6",""),"7",""),"8",""),"9",""),".",""),"E",""),"+",""),"-",""),"&lt;",""),"&gt;",""),"=","")," ","")&lt;&gt;"x",ISNUMBER(SEARCH("-",SUBSTITUTE(SUBSTITUTE("x"&amp;MID(M175,2,99),"E-","E"),"E+","E"))),ISNUMBER(SEARCH("+",SUBSTITUTE(SUBSTITUTE("x"&amp;MID(M175,2,99),"E-","E"),"E+","E"))))),"",IF(AND(OR(LEFT(M175,1)="&lt;",LEFT(M175,1)="&gt;"),IF(O175="",0,IF(ISNUMBER(AH175),AH175,NA()))&lt;0),"",IF(O175="",0,IF(ISNUMBER(AH175),AH175,NA()))/IF(LEFT(M175,1)="&lt;",2,1))),"")))</f>
        <v/>
      </c>
      <c r="H175" s="57" t="inlineStr">
        <is>
          <t>BH04-W_20260415_01</t>
        </is>
      </c>
      <c r="I175" s="92">
        <f>IF(OR(H175="",AI175=0),0,IF(INDEX(Samples[樣品重複筆數],AI175)=1,AI175,0))</f>
        <v/>
      </c>
      <c r="J175" s="92">
        <f>IF(OR(COUNTA($A175:$D175)=0,I175=0),"",IF(INDEX(Samples[介質],I175)="","",INDEX(Samples[介質],I175)))</f>
        <v/>
      </c>
      <c r="K175" s="92">
        <f>IF(OR(COUNTA($A175:$D175)=0,T175=0),"",IF(INDEX(DB_04[標準單位],T175)="","",INDEX(DB_04[標準單位],T175)))</f>
        <v/>
      </c>
      <c r="L175" s="92">
        <f>IF(COUNTA($A175:$D175)=0,"",IF(OR(C175="",K175=""),"",IF(C175=K175,1,IF(COUNTIFS(DB_06[換算鍵],C175&amp;"|"&amp;K175,DB_06[換算檢查],"OK")=1,INDEX(DB_06[乘數],MATCH(C175&amp;"|"&amp;K175,DB_06[換算鍵],0)),""))))</f>
        <v/>
      </c>
      <c r="M175" s="92">
        <f>UPPER(SUBSTITUTE(SUBSTITUTE(SUBSTITUTE(SUBSTITUTE(TRIM(B175&amp;""),"＜","&lt;"),"＞","&gt;"),"≤","&lt;="),"≥","&gt;="))</f>
        <v/>
      </c>
      <c r="N175" s="92">
        <f>IF(M175="","",IF(OR(M175="ND",M175="N.D."),"ND",IF(OR(M175="NA",M175="N/A",M175="N.A."),"NA",IF(OR(LEFT(M175,2)="&lt;=",LEFT(M175,2)="&gt;="),LEFT(M175,2),IF(OR(LEFT(M175,1)="&lt;",LEFT(M175,1)="&gt;"),LEFT(M175,1),"數值")))))</f>
        <v/>
      </c>
      <c r="O175" s="92">
        <f>IF(OR(N175="",N175="ND",N175="NA"),"",IF(N175="數值",M175,TRIM(MID(M175,LEN(N175)+1,99))))</f>
        <v/>
      </c>
      <c r="P175" s="92">
        <f>IF(O175="","",IFERROR(IF(OR(OR(ISNUMBER(SEARCH("%",O175)),ISNUMBER(SEARCH(" ",O175)),ISNUMBER(SEARCH(",",O175))),OR(SUBSTITUTE(SUBSTITUTE(SUBSTITUTE(SUBSTITUTE(SUBSTITUTE(SUBSTITUTE(SUBSTITUTE(SUBSTITUTE(SUBSTITUTE(SUBSTITUTE(SUBSTITUTE(SUBSTITUTE(SUBSTITUTE(SUBSTITUTE(SUBSTITUTE(SUBSTITUTE(SUBSTITUTE(SUBSTITUTE("x"&amp;O175,"0",""),"1",""),"2",""),"3",""),"4",""),"5",""),"6",""),"7",""),"8",""),"9",""),".",""),"E",""),"+",""),"-",""),"&lt;",""),"&gt;",""),"=","")," ","")&lt;&gt;"x",ISNUMBER(SEARCH("-",SUBSTITUTE(SUBSTITUTE("x"&amp;MID(O175,2,99),"E-","E"),"E+","E"))),ISNUMBER(SEARCH("+",SUBSTITUTE(SUBSTITUTE("x"&amp;MID(O175,2,99),"E-","E"),"E+","E"))))),"",IF(ISNUMBER(AH175),AH175,NA())),""))</f>
        <v/>
      </c>
      <c r="Q175" s="92">
        <f>IF(AND(ISNUMBER(L175),ISNUMBER(P175)),L175*P175,"")</f>
        <v/>
      </c>
      <c r="R175" s="92">
        <f>IF(OR(COUNTA($A175:$D175)=0,U175=0),"",IF(INDEX(DB_05[管制設定值],U175)="","",INDEX(DB_05[管制設定值],U175)))</f>
        <v/>
      </c>
      <c r="S175" s="92">
        <f>IF(OR(COUNTA($A175:$D175)=0,U175=0),"",IF(INDEX(DB_05[監測設定值],U175)="","",INDEX(DB_05[監測設定值],U175)))</f>
        <v/>
      </c>
      <c r="T175" s="92">
        <f>IF(COUNTA($A175:$D175)=0,"",IF(COUNTIFS(DB_04[測項鍵],V175)=1,MATCH(V175,DB_04[測項鍵],0),0))</f>
        <v/>
      </c>
      <c r="U175" s="92">
        <f>IF(COUNTA($A175:$D175)=0,"",IF(COUNTIFS(DB_05[標準鍵],W175)=1,MATCH(W175,DB_05[標準鍵],0),0))</f>
        <v/>
      </c>
      <c r="V175" s="92">
        <f>IF(OR(J175="",A175=""),"",J175&amp;"|"&amp;A175)</f>
        <v/>
      </c>
      <c r="W175" s="92">
        <f>IF(OR('07_QAQC'!$C$3="",V175=""),"",'07_QAQC'!$C$3&amp;"|"&amp;V175)</f>
        <v/>
      </c>
      <c r="X175" s="92">
        <f>IF(OR(H175="",A175=""),"",LEN(H175)&amp;":"&amp;H175&amp;LEN(A175)&amp;":"&amp;A175)</f>
        <v/>
      </c>
      <c r="Y175" s="93">
        <f>IF(COUNTA($A175:$D175)=0,"",IF(I175=0,"樣品未建或重複",IF(INDEX(Samples[樣品檢查],I175)="","OK",INDEX(Samples[樣品檢查],I175))))</f>
        <v/>
      </c>
      <c r="Z175" s="93">
        <f>IF(COUNTA($A175:$D175)=0,"",IF(B175="","缺原始值",IF(OR(B175="-",B175="--"),"無資料",IF(N175="NA","不適用",IF(N175="ND","OK",IF(NOT(ISNUMBER(P175)),"格式待核",IF(AND(N175&lt;&gt;"數值",P175&lt;0),"界限不得為負","OK")))))))</f>
        <v/>
      </c>
      <c r="AA175" s="93">
        <f>IF(COUNTA(A175:D175)=0,"",IF(OR(A175="",H175=""),"缺識別欄位",IF(IF(LEN("="&amp;SUBSTITUTE(SUBSTITUTE(SUBSTITUTE(X175,"~","~~"),"*","~*"),"?","~?"))&lt;=255,COUNTIF(Results[結果識別鍵],"="&amp;SUBSTITUTE(SUBSTITUTE(SUBSTITUTE(X175,"~","~~"),"*","~*"),"?","~?")),COUNTIFS(Results[關聯鍵],"="&amp;SUBSTITUTE(SUBSTITUTE(SUBSTITUTE(H175,"~","~~"),"*","~*"),"?","~?"),Results[分析項目],"="&amp;SUBSTITUTE(SUBSTITUTE(SUBSTITUTE(A175,"~","~~"),"*","~*"),"?","~?")))&gt;1,"同關聯鍵測項重複","OK")))</f>
        <v/>
      </c>
      <c r="AB175" s="93">
        <f>IF(COUNTA($A175:$D175)=0,"",IF(OR(C175="",K175=""),"缺單位",IF(NOT(ISNUMBER(L175)),"單位不相容",IF(L175=1,"OK","已換算"))))</f>
        <v/>
      </c>
      <c r="AC175" s="93">
        <f>IF(COUNTA($A175:$D175)=0,"",IF('07_QAQC'!$C$3="","未選比較版本",IF(U175=0,IF(COUNTIFS(DB_05[標準鍵],W175)&gt;1,"標準鍵重複","未訂此介質／測項門檻"),IF(INDEX(DB_05[版本檢查],U175)&lt;&gt;"OK","標準主檔待核",IF(INDEX(DB_05[標準單位],U175)&lt;&gt;K175,"標準單位不符",IF(INDEX(DB_05[核對狀態],U175)="停用","停用",IF(F175="","缺採樣日期",IF(OR(AND(INDEX(DB_05[生效日],U175)&lt;&gt;"",F175&lt;INDEX(DB_05[生效日],U175)),AND(INDEX(DB_05[失效日],U175)&lt;&gt;"",F175&gt;INDEX(DB_05[失效日],U175))),"日期不適用",INDEX(DB_05[核對狀態],U175)))))))))</f>
        <v/>
      </c>
      <c r="AD175" s="93">
        <f>IF(COUNTA($A175:$D175)=0,"",IF(AC175="未訂此介質／測項門檻",AC175,IF(AC175&lt;&gt;"已核對","標準待核",IF(R175="","未訂管制值",IF(NOT(ISNUMBER(L175)),"單位待核",IF(N175="ND","無法判定（ND無界限）",IF(N175="NA","不適用",IF(Z175&lt;&gt;"OK",Z175,IF(N175="數值",IF(Q175&gt;=R175,"達管制值","未達管制值"),IF(OR(N175="&lt;",N175="&lt;="),IF(OR(Q175&lt;R175,AND(N175="&lt;",Q175=R175)),"未達管制值","無法判定"),IF(OR(N175="&gt;",N175="&gt;="),IF(Q175&gt;=R175,"達管制值","無法判定"),"格式待核")))))))))))</f>
        <v/>
      </c>
      <c r="AE175" s="93">
        <f>IF(COUNTA($A175:$D175)=0,"",IF(AC175="未訂此介質／測項門檻",AC175,IF(AC175&lt;&gt;"已核對","標準待核",IF(S175="","未訂監測值",IF(NOT(ISNUMBER(L175)),"單位待核",IF(N175="ND","無法判定（ND無界限）",IF(N175="NA","不適用",IF(Z175&lt;&gt;"OK",Z175,IF(N175="數值",IF(Q175&gt;=S175,"達監測值","未達監測值"),IF(OR(N175="&lt;",N175="&lt;="),IF(OR(Q175&lt;S175,AND(N175="&lt;",Q175=S175)),"未達監測值","無法判定"),IF(OR(N175="&gt;",N175="&gt;="),IF(Q175&gt;=S175,"達監測值","無法判定"),"格式待核")))))))))))</f>
        <v/>
      </c>
      <c r="AF175" s="93">
        <f>IF(COUNTA($A175:$D175)=0,"",IF(OR(E175="",A175="",B175="",C175=""),"缺必要欄位",IF(Y175&lt;&gt;"OK","樣品資料待補",IF(T175=0,"測項未建或重複",IF(INDEX(DB_04[啟用],T175)&lt;&gt;"是","測項停用",IF(AND(Z175&lt;&gt;"OK",Z175&lt;&gt;"不適用"),Z175,IF(AND(AB175&lt;&gt;"OK",AB175&lt;&gt;"已換算"),"單位待核",IF(AA175&lt;&gt;"OK",AA175,"OK"))))))))</f>
        <v/>
      </c>
      <c r="AG175" s="93">
        <f>IF(COUNTA($A175:$D175)=0,"",IF(N175="ND","ND取0",IF(OR(N175="&lt;",N175="&lt;="),"界限除以2",IF(N175="NA","不適用",IF(OR(N175="&gt;",N175="&gt;="),"保留界限數值","保留原數值")))))</f>
        <v/>
      </c>
      <c r="AH175" s="92">
        <f>IF(O175="","",IFERROR(_xlfn.NUMBERVALUE(O175,".",","),""))</f>
        <v/>
      </c>
      <c r="AI175" s="92">
        <f>IF(H175="","",IFERROR(MATCH(H175,Samples[樣品編號],0),0))</f>
        <v/>
      </c>
    </row>
    <row r="176">
      <c r="A176" s="27" t="inlineStr">
        <is>
          <t>ORP</t>
        </is>
      </c>
      <c r="B176" s="28" t="inlineStr">
        <is>
          <t>-15</t>
        </is>
      </c>
      <c r="C176" s="27" t="inlineStr">
        <is>
          <t>mV</t>
        </is>
      </c>
      <c r="D176" s="39" t="inlineStr">
        <is>
          <t>合成資料，非實測；method=field; reference_electrode=Ag/AgCl; calibration=verified</t>
        </is>
      </c>
      <c r="E176" s="29">
        <f>IF(OR(I176="",I176=0),"",IF(INDEX(Samples[監測點],I176)="","",INDEX(Samples[監測點],I176)))</f>
        <v/>
      </c>
      <c r="F176" s="90">
        <f>IF(OR(I176="",I176=0),"",IF(INDEX(Samples[採樣日期],I176)="","",INDEX(Samples[採樣日期],I176)))</f>
        <v/>
      </c>
      <c r="G176" s="91">
        <f>IF(OR(M176="",M176="NA",M176="N/A"),"",IF(OR(M176="ND",M176="N.D."),0,IFERROR(IF(OR(OR(ISNUMBER(SEARCH("%",O176)),ISNUMBER(SEARCH(" ",O176)),ISNUMBER(SEARCH(",",O176))),OR(SUBSTITUTE(SUBSTITUTE(SUBSTITUTE(SUBSTITUTE(SUBSTITUTE(SUBSTITUTE(SUBSTITUTE(SUBSTITUTE(SUBSTITUTE(SUBSTITUTE(SUBSTITUTE(SUBSTITUTE(SUBSTITUTE(SUBSTITUTE(SUBSTITUTE(SUBSTITUTE(SUBSTITUTE(SUBSTITUTE("x"&amp;M176,"0",""),"1",""),"2",""),"3",""),"4",""),"5",""),"6",""),"7",""),"8",""),"9",""),".",""),"E",""),"+",""),"-",""),"&lt;",""),"&gt;",""),"=","")," ","")&lt;&gt;"x",ISNUMBER(SEARCH("-",SUBSTITUTE(SUBSTITUTE("x"&amp;MID(M176,2,99),"E-","E"),"E+","E"))),ISNUMBER(SEARCH("+",SUBSTITUTE(SUBSTITUTE("x"&amp;MID(M176,2,99),"E-","E"),"E+","E"))))),"",IF(AND(OR(LEFT(M176,1)="&lt;",LEFT(M176,1)="&gt;"),IF(O176="",0,IF(ISNUMBER(AH176),AH176,NA()))&lt;0),"",IF(O176="",0,IF(ISNUMBER(AH176),AH176,NA()))/IF(LEFT(M176,1)="&lt;",2,1))),"")))</f>
        <v/>
      </c>
      <c r="H176" s="57" t="inlineStr">
        <is>
          <t>BH04-W_20260415_01</t>
        </is>
      </c>
      <c r="I176" s="92">
        <f>IF(OR(H176="",AI176=0),0,IF(INDEX(Samples[樣品重複筆數],AI176)=1,AI176,0))</f>
        <v/>
      </c>
      <c r="J176" s="92">
        <f>IF(OR(COUNTA($A176:$D176)=0,I176=0),"",IF(INDEX(Samples[介質],I176)="","",INDEX(Samples[介質],I176)))</f>
        <v/>
      </c>
      <c r="K176" s="92">
        <f>IF(OR(COUNTA($A176:$D176)=0,T176=0),"",IF(INDEX(DB_04[標準單位],T176)="","",INDEX(DB_04[標準單位],T176)))</f>
        <v/>
      </c>
      <c r="L176" s="92">
        <f>IF(COUNTA($A176:$D176)=0,"",IF(OR(C176="",K176=""),"",IF(C176=K176,1,IF(COUNTIFS(DB_06[換算鍵],C176&amp;"|"&amp;K176,DB_06[換算檢查],"OK")=1,INDEX(DB_06[乘數],MATCH(C176&amp;"|"&amp;K176,DB_06[換算鍵],0)),""))))</f>
        <v/>
      </c>
      <c r="M176" s="92">
        <f>UPPER(SUBSTITUTE(SUBSTITUTE(SUBSTITUTE(SUBSTITUTE(TRIM(B176&amp;""),"＜","&lt;"),"＞","&gt;"),"≤","&lt;="),"≥","&gt;="))</f>
        <v/>
      </c>
      <c r="N176" s="92">
        <f>IF(M176="","",IF(OR(M176="ND",M176="N.D."),"ND",IF(OR(M176="NA",M176="N/A",M176="N.A."),"NA",IF(OR(LEFT(M176,2)="&lt;=",LEFT(M176,2)="&gt;="),LEFT(M176,2),IF(OR(LEFT(M176,1)="&lt;",LEFT(M176,1)="&gt;"),LEFT(M176,1),"數值")))))</f>
        <v/>
      </c>
      <c r="O176" s="92">
        <f>IF(OR(N176="",N176="ND",N176="NA"),"",IF(N176="數值",M176,TRIM(MID(M176,LEN(N176)+1,99))))</f>
        <v/>
      </c>
      <c r="P176" s="92">
        <f>IF(O176="","",IFERROR(IF(OR(OR(ISNUMBER(SEARCH("%",O176)),ISNUMBER(SEARCH(" ",O176)),ISNUMBER(SEARCH(",",O176))),OR(SUBSTITUTE(SUBSTITUTE(SUBSTITUTE(SUBSTITUTE(SUBSTITUTE(SUBSTITUTE(SUBSTITUTE(SUBSTITUTE(SUBSTITUTE(SUBSTITUTE(SUBSTITUTE(SUBSTITUTE(SUBSTITUTE(SUBSTITUTE(SUBSTITUTE(SUBSTITUTE(SUBSTITUTE(SUBSTITUTE("x"&amp;O176,"0",""),"1",""),"2",""),"3",""),"4",""),"5",""),"6",""),"7",""),"8",""),"9",""),".",""),"E",""),"+",""),"-",""),"&lt;",""),"&gt;",""),"=","")," ","")&lt;&gt;"x",ISNUMBER(SEARCH("-",SUBSTITUTE(SUBSTITUTE("x"&amp;MID(O176,2,99),"E-","E"),"E+","E"))),ISNUMBER(SEARCH("+",SUBSTITUTE(SUBSTITUTE("x"&amp;MID(O176,2,99),"E-","E"),"E+","E"))))),"",IF(ISNUMBER(AH176),AH176,NA())),""))</f>
        <v/>
      </c>
      <c r="Q176" s="92">
        <f>IF(AND(ISNUMBER(L176),ISNUMBER(P176)),L176*P176,"")</f>
        <v/>
      </c>
      <c r="R176" s="92">
        <f>IF(OR(COUNTA($A176:$D176)=0,U176=0),"",IF(INDEX(DB_05[管制設定值],U176)="","",INDEX(DB_05[管制設定值],U176)))</f>
        <v/>
      </c>
      <c r="S176" s="92">
        <f>IF(OR(COUNTA($A176:$D176)=0,U176=0),"",IF(INDEX(DB_05[監測設定值],U176)="","",INDEX(DB_05[監測設定值],U176)))</f>
        <v/>
      </c>
      <c r="T176" s="92">
        <f>IF(COUNTA($A176:$D176)=0,"",IF(COUNTIFS(DB_04[測項鍵],V176)=1,MATCH(V176,DB_04[測項鍵],0),0))</f>
        <v/>
      </c>
      <c r="U176" s="92">
        <f>IF(COUNTA($A176:$D176)=0,"",IF(COUNTIFS(DB_05[標準鍵],W176)=1,MATCH(W176,DB_05[標準鍵],0),0))</f>
        <v/>
      </c>
      <c r="V176" s="92">
        <f>IF(OR(J176="",A176=""),"",J176&amp;"|"&amp;A176)</f>
        <v/>
      </c>
      <c r="W176" s="92">
        <f>IF(OR('07_QAQC'!$C$3="",V176=""),"",'07_QAQC'!$C$3&amp;"|"&amp;V176)</f>
        <v/>
      </c>
      <c r="X176" s="92">
        <f>IF(OR(H176="",A176=""),"",LEN(H176)&amp;":"&amp;H176&amp;LEN(A176)&amp;":"&amp;A176)</f>
        <v/>
      </c>
      <c r="Y176" s="93">
        <f>IF(COUNTA($A176:$D176)=0,"",IF(I176=0,"樣品未建或重複",IF(INDEX(Samples[樣品檢查],I176)="","OK",INDEX(Samples[樣品檢查],I176))))</f>
        <v/>
      </c>
      <c r="Z176" s="93">
        <f>IF(COUNTA($A176:$D176)=0,"",IF(B176="","缺原始值",IF(OR(B176="-",B176="--"),"無資料",IF(N176="NA","不適用",IF(N176="ND","OK",IF(NOT(ISNUMBER(P176)),"格式待核",IF(AND(N176&lt;&gt;"數值",P176&lt;0),"界限不得為負","OK")))))))</f>
        <v/>
      </c>
      <c r="AA176" s="93">
        <f>IF(COUNTA(A176:D176)=0,"",IF(OR(A176="",H176=""),"缺識別欄位",IF(IF(LEN("="&amp;SUBSTITUTE(SUBSTITUTE(SUBSTITUTE(X176,"~","~~"),"*","~*"),"?","~?"))&lt;=255,COUNTIF(Results[結果識別鍵],"="&amp;SUBSTITUTE(SUBSTITUTE(SUBSTITUTE(X176,"~","~~"),"*","~*"),"?","~?")),COUNTIFS(Results[關聯鍵],"="&amp;SUBSTITUTE(SUBSTITUTE(SUBSTITUTE(H176,"~","~~"),"*","~*"),"?","~?"),Results[分析項目],"="&amp;SUBSTITUTE(SUBSTITUTE(SUBSTITUTE(A176,"~","~~"),"*","~*"),"?","~?")))&gt;1,"同關聯鍵測項重複","OK")))</f>
        <v/>
      </c>
      <c r="AB176" s="93">
        <f>IF(COUNTA($A176:$D176)=0,"",IF(OR(C176="",K176=""),"缺單位",IF(NOT(ISNUMBER(L176)),"單位不相容",IF(L176=1,"OK","已換算"))))</f>
        <v/>
      </c>
      <c r="AC176" s="93">
        <f>IF(COUNTA($A176:$D176)=0,"",IF('07_QAQC'!$C$3="","未選比較版本",IF(U176=0,IF(COUNTIFS(DB_05[標準鍵],W176)&gt;1,"標準鍵重複","未訂此介質／測項門檻"),IF(INDEX(DB_05[版本檢查],U176)&lt;&gt;"OK","標準主檔待核",IF(INDEX(DB_05[標準單位],U176)&lt;&gt;K176,"標準單位不符",IF(INDEX(DB_05[核對狀態],U176)="停用","停用",IF(F176="","缺採樣日期",IF(OR(AND(INDEX(DB_05[生效日],U176)&lt;&gt;"",F176&lt;INDEX(DB_05[生效日],U176)),AND(INDEX(DB_05[失效日],U176)&lt;&gt;"",F176&gt;INDEX(DB_05[失效日],U176))),"日期不適用",INDEX(DB_05[核對狀態],U176)))))))))</f>
        <v/>
      </c>
      <c r="AD176" s="93">
        <f>IF(COUNTA($A176:$D176)=0,"",IF(AC176="未訂此介質／測項門檻",AC176,IF(AC176&lt;&gt;"已核對","標準待核",IF(R176="","未訂管制值",IF(NOT(ISNUMBER(L176)),"單位待核",IF(N176="ND","無法判定（ND無界限）",IF(N176="NA","不適用",IF(Z176&lt;&gt;"OK",Z176,IF(N176="數值",IF(Q176&gt;=R176,"達管制值","未達管制值"),IF(OR(N176="&lt;",N176="&lt;="),IF(OR(Q176&lt;R176,AND(N176="&lt;",Q176=R176)),"未達管制值","無法判定"),IF(OR(N176="&gt;",N176="&gt;="),IF(Q176&gt;=R176,"達管制值","無法判定"),"格式待核")))))))))))</f>
        <v/>
      </c>
      <c r="AE176" s="93">
        <f>IF(COUNTA($A176:$D176)=0,"",IF(AC176="未訂此介質／測項門檻",AC176,IF(AC176&lt;&gt;"已核對","標準待核",IF(S176="","未訂監測值",IF(NOT(ISNUMBER(L176)),"單位待核",IF(N176="ND","無法判定（ND無界限）",IF(N176="NA","不適用",IF(Z176&lt;&gt;"OK",Z176,IF(N176="數值",IF(Q176&gt;=S176,"達監測值","未達監測值"),IF(OR(N176="&lt;",N176="&lt;="),IF(OR(Q176&lt;S176,AND(N176="&lt;",Q176=S176)),"未達監測值","無法判定"),IF(OR(N176="&gt;",N176="&gt;="),IF(Q176&gt;=S176,"達監測值","無法判定"),"格式待核")))))))))))</f>
        <v/>
      </c>
      <c r="AF176" s="93">
        <f>IF(COUNTA($A176:$D176)=0,"",IF(OR(E176="",A176="",B176="",C176=""),"缺必要欄位",IF(Y176&lt;&gt;"OK","樣品資料待補",IF(T176=0,"測項未建或重複",IF(INDEX(DB_04[啟用],T176)&lt;&gt;"是","測項停用",IF(AND(Z176&lt;&gt;"OK",Z176&lt;&gt;"不適用"),Z176,IF(AND(AB176&lt;&gt;"OK",AB176&lt;&gt;"已換算"),"單位待核",IF(AA176&lt;&gt;"OK",AA176,"OK"))))))))</f>
        <v/>
      </c>
      <c r="AG176" s="93">
        <f>IF(COUNTA($A176:$D176)=0,"",IF(N176="ND","ND取0",IF(OR(N176="&lt;",N176="&lt;="),"界限除以2",IF(N176="NA","不適用",IF(OR(N176="&gt;",N176="&gt;="),"保留界限數值","保留原數值")))))</f>
        <v/>
      </c>
      <c r="AH176" s="92">
        <f>IF(O176="","",IFERROR(_xlfn.NUMBERVALUE(O176,".",","),""))</f>
        <v/>
      </c>
      <c r="AI176" s="92">
        <f>IF(H176="","",IFERROR(MATCH(H176,Samples[樣品編號],0),0))</f>
        <v/>
      </c>
    </row>
    <row r="177">
      <c r="A177" s="27" t="inlineStr">
        <is>
          <t>總有機碳</t>
        </is>
      </c>
      <c r="B177" s="28" t="inlineStr">
        <is>
          <t>2.9</t>
        </is>
      </c>
      <c r="C177" s="27" t="inlineStr">
        <is>
          <t>mg/L</t>
        </is>
      </c>
      <c r="D177" s="39" t="inlineStr">
        <is>
          <t>合成資料，非實測；method=lab</t>
        </is>
      </c>
      <c r="E177" s="29">
        <f>IF(OR(I177="",I177=0),"",IF(INDEX(Samples[監測點],I177)="","",INDEX(Samples[監測點],I177)))</f>
        <v/>
      </c>
      <c r="F177" s="90">
        <f>IF(OR(I177="",I177=0),"",IF(INDEX(Samples[採樣日期],I177)="","",INDEX(Samples[採樣日期],I177)))</f>
        <v/>
      </c>
      <c r="G177" s="91">
        <f>IF(OR(M177="",M177="NA",M177="N/A"),"",IF(OR(M177="ND",M177="N.D."),0,IFERROR(IF(OR(OR(ISNUMBER(SEARCH("%",O177)),ISNUMBER(SEARCH(" ",O177)),ISNUMBER(SEARCH(",",O177))),OR(SUBSTITUTE(SUBSTITUTE(SUBSTITUTE(SUBSTITUTE(SUBSTITUTE(SUBSTITUTE(SUBSTITUTE(SUBSTITUTE(SUBSTITUTE(SUBSTITUTE(SUBSTITUTE(SUBSTITUTE(SUBSTITUTE(SUBSTITUTE(SUBSTITUTE(SUBSTITUTE(SUBSTITUTE(SUBSTITUTE("x"&amp;M177,"0",""),"1",""),"2",""),"3",""),"4",""),"5",""),"6",""),"7",""),"8",""),"9",""),".",""),"E",""),"+",""),"-",""),"&lt;",""),"&gt;",""),"=","")," ","")&lt;&gt;"x",ISNUMBER(SEARCH("-",SUBSTITUTE(SUBSTITUTE("x"&amp;MID(M177,2,99),"E-","E"),"E+","E"))),ISNUMBER(SEARCH("+",SUBSTITUTE(SUBSTITUTE("x"&amp;MID(M177,2,99),"E-","E"),"E+","E"))))),"",IF(AND(OR(LEFT(M177,1)="&lt;",LEFT(M177,1)="&gt;"),IF(O177="",0,IF(ISNUMBER(AH177),AH177,NA()))&lt;0),"",IF(O177="",0,IF(ISNUMBER(AH177),AH177,NA()))/IF(LEFT(M177,1)="&lt;",2,1))),"")))</f>
        <v/>
      </c>
      <c r="H177" s="57" t="inlineStr">
        <is>
          <t>BH04-W_20260415_01</t>
        </is>
      </c>
      <c r="I177" s="92">
        <f>IF(OR(H177="",AI177=0),0,IF(INDEX(Samples[樣品重複筆數],AI177)=1,AI177,0))</f>
        <v/>
      </c>
      <c r="J177" s="92">
        <f>IF(OR(COUNTA($A177:$D177)=0,I177=0),"",IF(INDEX(Samples[介質],I177)="","",INDEX(Samples[介質],I177)))</f>
        <v/>
      </c>
      <c r="K177" s="92">
        <f>IF(OR(COUNTA($A177:$D177)=0,T177=0),"",IF(INDEX(DB_04[標準單位],T177)="","",INDEX(DB_04[標準單位],T177)))</f>
        <v/>
      </c>
      <c r="L177" s="92">
        <f>IF(COUNTA($A177:$D177)=0,"",IF(OR(C177="",K177=""),"",IF(C177=K177,1,IF(COUNTIFS(DB_06[換算鍵],C177&amp;"|"&amp;K177,DB_06[換算檢查],"OK")=1,INDEX(DB_06[乘數],MATCH(C177&amp;"|"&amp;K177,DB_06[換算鍵],0)),""))))</f>
        <v/>
      </c>
      <c r="M177" s="92">
        <f>UPPER(SUBSTITUTE(SUBSTITUTE(SUBSTITUTE(SUBSTITUTE(TRIM(B177&amp;""),"＜","&lt;"),"＞","&gt;"),"≤","&lt;="),"≥","&gt;="))</f>
        <v/>
      </c>
      <c r="N177" s="92">
        <f>IF(M177="","",IF(OR(M177="ND",M177="N.D."),"ND",IF(OR(M177="NA",M177="N/A",M177="N.A."),"NA",IF(OR(LEFT(M177,2)="&lt;=",LEFT(M177,2)="&gt;="),LEFT(M177,2),IF(OR(LEFT(M177,1)="&lt;",LEFT(M177,1)="&gt;"),LEFT(M177,1),"數值")))))</f>
        <v/>
      </c>
      <c r="O177" s="92">
        <f>IF(OR(N177="",N177="ND",N177="NA"),"",IF(N177="數值",M177,TRIM(MID(M177,LEN(N177)+1,99))))</f>
        <v/>
      </c>
      <c r="P177" s="92">
        <f>IF(O177="","",IFERROR(IF(OR(OR(ISNUMBER(SEARCH("%",O177)),ISNUMBER(SEARCH(" ",O177)),ISNUMBER(SEARCH(",",O177))),OR(SUBSTITUTE(SUBSTITUTE(SUBSTITUTE(SUBSTITUTE(SUBSTITUTE(SUBSTITUTE(SUBSTITUTE(SUBSTITUTE(SUBSTITUTE(SUBSTITUTE(SUBSTITUTE(SUBSTITUTE(SUBSTITUTE(SUBSTITUTE(SUBSTITUTE(SUBSTITUTE(SUBSTITUTE(SUBSTITUTE("x"&amp;O177,"0",""),"1",""),"2",""),"3",""),"4",""),"5",""),"6",""),"7",""),"8",""),"9",""),".",""),"E",""),"+",""),"-",""),"&lt;",""),"&gt;",""),"=","")," ","")&lt;&gt;"x",ISNUMBER(SEARCH("-",SUBSTITUTE(SUBSTITUTE("x"&amp;MID(O177,2,99),"E-","E"),"E+","E"))),ISNUMBER(SEARCH("+",SUBSTITUTE(SUBSTITUTE("x"&amp;MID(O177,2,99),"E-","E"),"E+","E"))))),"",IF(ISNUMBER(AH177),AH177,NA())),""))</f>
        <v/>
      </c>
      <c r="Q177" s="92">
        <f>IF(AND(ISNUMBER(L177),ISNUMBER(P177)),L177*P177,"")</f>
        <v/>
      </c>
      <c r="R177" s="92">
        <f>IF(OR(COUNTA($A177:$D177)=0,U177=0),"",IF(INDEX(DB_05[管制設定值],U177)="","",INDEX(DB_05[管制設定值],U177)))</f>
        <v/>
      </c>
      <c r="S177" s="92">
        <f>IF(OR(COUNTA($A177:$D177)=0,U177=0),"",IF(INDEX(DB_05[監測設定值],U177)="","",INDEX(DB_05[監測設定值],U177)))</f>
        <v/>
      </c>
      <c r="T177" s="92">
        <f>IF(COUNTA($A177:$D177)=0,"",IF(COUNTIFS(DB_04[測項鍵],V177)=1,MATCH(V177,DB_04[測項鍵],0),0))</f>
        <v/>
      </c>
      <c r="U177" s="92">
        <f>IF(COUNTA($A177:$D177)=0,"",IF(COUNTIFS(DB_05[標準鍵],W177)=1,MATCH(W177,DB_05[標準鍵],0),0))</f>
        <v/>
      </c>
      <c r="V177" s="92">
        <f>IF(OR(J177="",A177=""),"",J177&amp;"|"&amp;A177)</f>
        <v/>
      </c>
      <c r="W177" s="92">
        <f>IF(OR('07_QAQC'!$C$3="",V177=""),"",'07_QAQC'!$C$3&amp;"|"&amp;V177)</f>
        <v/>
      </c>
      <c r="X177" s="92">
        <f>IF(OR(H177="",A177=""),"",LEN(H177)&amp;":"&amp;H177&amp;LEN(A177)&amp;":"&amp;A177)</f>
        <v/>
      </c>
      <c r="Y177" s="93">
        <f>IF(COUNTA($A177:$D177)=0,"",IF(I177=0,"樣品未建或重複",IF(INDEX(Samples[樣品檢查],I177)="","OK",INDEX(Samples[樣品檢查],I177))))</f>
        <v/>
      </c>
      <c r="Z177" s="93">
        <f>IF(COUNTA($A177:$D177)=0,"",IF(B177="","缺原始值",IF(OR(B177="-",B177="--"),"無資料",IF(N177="NA","不適用",IF(N177="ND","OK",IF(NOT(ISNUMBER(P177)),"格式待核",IF(AND(N177&lt;&gt;"數值",P177&lt;0),"界限不得為負","OK")))))))</f>
        <v/>
      </c>
      <c r="AA177" s="93">
        <f>IF(COUNTA(A177:D177)=0,"",IF(OR(A177="",H177=""),"缺識別欄位",IF(IF(LEN("="&amp;SUBSTITUTE(SUBSTITUTE(SUBSTITUTE(X177,"~","~~"),"*","~*"),"?","~?"))&lt;=255,COUNTIF(Results[結果識別鍵],"="&amp;SUBSTITUTE(SUBSTITUTE(SUBSTITUTE(X177,"~","~~"),"*","~*"),"?","~?")),COUNTIFS(Results[關聯鍵],"="&amp;SUBSTITUTE(SUBSTITUTE(SUBSTITUTE(H177,"~","~~"),"*","~*"),"?","~?"),Results[分析項目],"="&amp;SUBSTITUTE(SUBSTITUTE(SUBSTITUTE(A177,"~","~~"),"*","~*"),"?","~?")))&gt;1,"同關聯鍵測項重複","OK")))</f>
        <v/>
      </c>
      <c r="AB177" s="93">
        <f>IF(COUNTA($A177:$D177)=0,"",IF(OR(C177="",K177=""),"缺單位",IF(NOT(ISNUMBER(L177)),"單位不相容",IF(L177=1,"OK","已換算"))))</f>
        <v/>
      </c>
      <c r="AC177" s="93">
        <f>IF(COUNTA($A177:$D177)=0,"",IF('07_QAQC'!$C$3="","未選比較版本",IF(U177=0,IF(COUNTIFS(DB_05[標準鍵],W177)&gt;1,"標準鍵重複","未訂此介質／測項門檻"),IF(INDEX(DB_05[版本檢查],U177)&lt;&gt;"OK","標準主檔待核",IF(INDEX(DB_05[標準單位],U177)&lt;&gt;K177,"標準單位不符",IF(INDEX(DB_05[核對狀態],U177)="停用","停用",IF(F177="","缺採樣日期",IF(OR(AND(INDEX(DB_05[生效日],U177)&lt;&gt;"",F177&lt;INDEX(DB_05[生效日],U177)),AND(INDEX(DB_05[失效日],U177)&lt;&gt;"",F177&gt;INDEX(DB_05[失效日],U177))),"日期不適用",INDEX(DB_05[核對狀態],U177)))))))))</f>
        <v/>
      </c>
      <c r="AD177" s="93">
        <f>IF(COUNTA($A177:$D177)=0,"",IF(AC177="未訂此介質／測項門檻",AC177,IF(AC177&lt;&gt;"已核對","標準待核",IF(R177="","未訂管制值",IF(NOT(ISNUMBER(L177)),"單位待核",IF(N177="ND","無法判定（ND無界限）",IF(N177="NA","不適用",IF(Z177&lt;&gt;"OK",Z177,IF(N177="數值",IF(Q177&gt;=R177,"達管制值","未達管制值"),IF(OR(N177="&lt;",N177="&lt;="),IF(OR(Q177&lt;R177,AND(N177="&lt;",Q177=R177)),"未達管制值","無法判定"),IF(OR(N177="&gt;",N177="&gt;="),IF(Q177&gt;=R177,"達管制值","無法判定"),"格式待核")))))))))))</f>
        <v/>
      </c>
      <c r="AE177" s="93">
        <f>IF(COUNTA($A177:$D177)=0,"",IF(AC177="未訂此介質／測項門檻",AC177,IF(AC177&lt;&gt;"已核對","標準待核",IF(S177="","未訂監測值",IF(NOT(ISNUMBER(L177)),"單位待核",IF(N177="ND","無法判定（ND無界限）",IF(N177="NA","不適用",IF(Z177&lt;&gt;"OK",Z177,IF(N177="數值",IF(Q177&gt;=S177,"達監測值","未達監測值"),IF(OR(N177="&lt;",N177="&lt;="),IF(OR(Q177&lt;S177,AND(N177="&lt;",Q177=S177)),"未達監測值","無法判定"),IF(OR(N177="&gt;",N177="&gt;="),IF(Q177&gt;=S177,"達監測值","無法判定"),"格式待核")))))))))))</f>
        <v/>
      </c>
      <c r="AF177" s="93">
        <f>IF(COUNTA($A177:$D177)=0,"",IF(OR(E177="",A177="",B177="",C177=""),"缺必要欄位",IF(Y177&lt;&gt;"OK","樣品資料待補",IF(T177=0,"測項未建或重複",IF(INDEX(DB_04[啟用],T177)&lt;&gt;"是","測項停用",IF(AND(Z177&lt;&gt;"OK",Z177&lt;&gt;"不適用"),Z177,IF(AND(AB177&lt;&gt;"OK",AB177&lt;&gt;"已換算"),"單位待核",IF(AA177&lt;&gt;"OK",AA177,"OK"))))))))</f>
        <v/>
      </c>
      <c r="AG177" s="93">
        <f>IF(COUNTA($A177:$D177)=0,"",IF(N177="ND","ND取0",IF(OR(N177="&lt;",N177="&lt;="),"界限除以2",IF(N177="NA","不適用",IF(OR(N177="&gt;",N177="&gt;="),"保留界限數值","保留原數值")))))</f>
        <v/>
      </c>
      <c r="AH177" s="92">
        <f>IF(O177="","",IFERROR(_xlfn.NUMBERVALUE(O177,".",","),""))</f>
        <v/>
      </c>
      <c r="AI177" s="92">
        <f>IF(H177="","",IFERROR(MATCH(H177,Samples[樣品編號],0),0))</f>
        <v/>
      </c>
    </row>
    <row r="178">
      <c r="A178" s="27" t="inlineStr">
        <is>
          <t>鋅</t>
        </is>
      </c>
      <c r="B178" s="28" t="inlineStr">
        <is>
          <t>148</t>
        </is>
      </c>
      <c r="C178" s="27" t="inlineStr">
        <is>
          <t>mg/kg</t>
        </is>
      </c>
      <c r="D178" s="39" t="inlineStr">
        <is>
          <t>合成資料，非實測；method=XRF; basis=dry</t>
        </is>
      </c>
      <c r="E178" s="29">
        <f>IF(OR(I178="",I178=0),"",IF(INDEX(Samples[監測點],I178)="","",INDEX(Samples[監測點],I178)))</f>
        <v/>
      </c>
      <c r="F178" s="90">
        <f>IF(OR(I178="",I178=0),"",IF(INDEX(Samples[採樣日期],I178)="","",INDEX(Samples[採樣日期],I178)))</f>
        <v/>
      </c>
      <c r="G178" s="91">
        <f>IF(OR(M178="",M178="NA",M178="N/A"),"",IF(OR(M178="ND",M178="N.D."),0,IFERROR(IF(OR(OR(ISNUMBER(SEARCH("%",O178)),ISNUMBER(SEARCH(" ",O178)),ISNUMBER(SEARCH(",",O178))),OR(SUBSTITUTE(SUBSTITUTE(SUBSTITUTE(SUBSTITUTE(SUBSTITUTE(SUBSTITUTE(SUBSTITUTE(SUBSTITUTE(SUBSTITUTE(SUBSTITUTE(SUBSTITUTE(SUBSTITUTE(SUBSTITUTE(SUBSTITUTE(SUBSTITUTE(SUBSTITUTE(SUBSTITUTE(SUBSTITUTE("x"&amp;M178,"0",""),"1",""),"2",""),"3",""),"4",""),"5",""),"6",""),"7",""),"8",""),"9",""),".",""),"E",""),"+",""),"-",""),"&lt;",""),"&gt;",""),"=","")," ","")&lt;&gt;"x",ISNUMBER(SEARCH("-",SUBSTITUTE(SUBSTITUTE("x"&amp;MID(M178,2,99),"E-","E"),"E+","E"))),ISNUMBER(SEARCH("+",SUBSTITUTE(SUBSTITUTE("x"&amp;MID(M178,2,99),"E-","E"),"E+","E"))))),"",IF(AND(OR(LEFT(M178,1)="&lt;",LEFT(M178,1)="&gt;"),IF(O178="",0,IF(ISNUMBER(AH178),AH178,NA()))&lt;0),"",IF(O178="",0,IF(ISNUMBER(AH178),AH178,NA()))/IF(LEFT(M178,1)="&lt;",2,1))),"")))</f>
        <v/>
      </c>
      <c r="H178" s="57" t="inlineStr">
        <is>
          <t>BH04-S_20260415_02</t>
        </is>
      </c>
      <c r="I178" s="92">
        <f>IF(OR(H178="",AI178=0),0,IF(INDEX(Samples[樣品重複筆數],AI178)=1,AI178,0))</f>
        <v/>
      </c>
      <c r="J178" s="92">
        <f>IF(OR(COUNTA($A178:$D178)=0,I178=0),"",IF(INDEX(Samples[介質],I178)="","",INDEX(Samples[介質],I178)))</f>
        <v/>
      </c>
      <c r="K178" s="92">
        <f>IF(OR(COUNTA($A178:$D178)=0,T178=0),"",IF(INDEX(DB_04[標準單位],T178)="","",INDEX(DB_04[標準單位],T178)))</f>
        <v/>
      </c>
      <c r="L178" s="92">
        <f>IF(COUNTA($A178:$D178)=0,"",IF(OR(C178="",K178=""),"",IF(C178=K178,1,IF(COUNTIFS(DB_06[換算鍵],C178&amp;"|"&amp;K178,DB_06[換算檢查],"OK")=1,INDEX(DB_06[乘數],MATCH(C178&amp;"|"&amp;K178,DB_06[換算鍵],0)),""))))</f>
        <v/>
      </c>
      <c r="M178" s="92">
        <f>UPPER(SUBSTITUTE(SUBSTITUTE(SUBSTITUTE(SUBSTITUTE(TRIM(B178&amp;""),"＜","&lt;"),"＞","&gt;"),"≤","&lt;="),"≥","&gt;="))</f>
        <v/>
      </c>
      <c r="N178" s="92">
        <f>IF(M178="","",IF(OR(M178="ND",M178="N.D."),"ND",IF(OR(M178="NA",M178="N/A",M178="N.A."),"NA",IF(OR(LEFT(M178,2)="&lt;=",LEFT(M178,2)="&gt;="),LEFT(M178,2),IF(OR(LEFT(M178,1)="&lt;",LEFT(M178,1)="&gt;"),LEFT(M178,1),"數值")))))</f>
        <v/>
      </c>
      <c r="O178" s="92">
        <f>IF(OR(N178="",N178="ND",N178="NA"),"",IF(N178="數值",M178,TRIM(MID(M178,LEN(N178)+1,99))))</f>
        <v/>
      </c>
      <c r="P178" s="92">
        <f>IF(O178="","",IFERROR(IF(OR(OR(ISNUMBER(SEARCH("%",O178)),ISNUMBER(SEARCH(" ",O178)),ISNUMBER(SEARCH(",",O178))),OR(SUBSTITUTE(SUBSTITUTE(SUBSTITUTE(SUBSTITUTE(SUBSTITUTE(SUBSTITUTE(SUBSTITUTE(SUBSTITUTE(SUBSTITUTE(SUBSTITUTE(SUBSTITUTE(SUBSTITUTE(SUBSTITUTE(SUBSTITUTE(SUBSTITUTE(SUBSTITUTE(SUBSTITUTE(SUBSTITUTE("x"&amp;O178,"0",""),"1",""),"2",""),"3",""),"4",""),"5",""),"6",""),"7",""),"8",""),"9",""),".",""),"E",""),"+",""),"-",""),"&lt;",""),"&gt;",""),"=","")," ","")&lt;&gt;"x",ISNUMBER(SEARCH("-",SUBSTITUTE(SUBSTITUTE("x"&amp;MID(O178,2,99),"E-","E"),"E+","E"))),ISNUMBER(SEARCH("+",SUBSTITUTE(SUBSTITUTE("x"&amp;MID(O178,2,99),"E-","E"),"E+","E"))))),"",IF(ISNUMBER(AH178),AH178,NA())),""))</f>
        <v/>
      </c>
      <c r="Q178" s="92">
        <f>IF(AND(ISNUMBER(L178),ISNUMBER(P178)),L178*P178,"")</f>
        <v/>
      </c>
      <c r="R178" s="92">
        <f>IF(OR(COUNTA($A178:$D178)=0,U178=0),"",IF(INDEX(DB_05[管制設定值],U178)="","",INDEX(DB_05[管制設定值],U178)))</f>
        <v/>
      </c>
      <c r="S178" s="92">
        <f>IF(OR(COUNTA($A178:$D178)=0,U178=0),"",IF(INDEX(DB_05[監測設定值],U178)="","",INDEX(DB_05[監測設定值],U178)))</f>
        <v/>
      </c>
      <c r="T178" s="92">
        <f>IF(COUNTA($A178:$D178)=0,"",IF(COUNTIFS(DB_04[測項鍵],V178)=1,MATCH(V178,DB_04[測項鍵],0),0))</f>
        <v/>
      </c>
      <c r="U178" s="92">
        <f>IF(COUNTA($A178:$D178)=0,"",IF(COUNTIFS(DB_05[標準鍵],W178)=1,MATCH(W178,DB_05[標準鍵],0),0))</f>
        <v/>
      </c>
      <c r="V178" s="92">
        <f>IF(OR(J178="",A178=""),"",J178&amp;"|"&amp;A178)</f>
        <v/>
      </c>
      <c r="W178" s="92">
        <f>IF(OR('07_QAQC'!$C$3="",V178=""),"",'07_QAQC'!$C$3&amp;"|"&amp;V178)</f>
        <v/>
      </c>
      <c r="X178" s="92">
        <f>IF(OR(H178="",A178=""),"",LEN(H178)&amp;":"&amp;H178&amp;LEN(A178)&amp;":"&amp;A178)</f>
        <v/>
      </c>
      <c r="Y178" s="93">
        <f>IF(COUNTA($A178:$D178)=0,"",IF(I178=0,"樣品未建或重複",IF(INDEX(Samples[樣品檢查],I178)="","OK",INDEX(Samples[樣品檢查],I178))))</f>
        <v/>
      </c>
      <c r="Z178" s="93">
        <f>IF(COUNTA($A178:$D178)=0,"",IF(B178="","缺原始值",IF(OR(B178="-",B178="--"),"無資料",IF(N178="NA","不適用",IF(N178="ND","OK",IF(NOT(ISNUMBER(P178)),"格式待核",IF(AND(N178&lt;&gt;"數值",P178&lt;0),"界限不得為負","OK")))))))</f>
        <v/>
      </c>
      <c r="AA178" s="93">
        <f>IF(COUNTA(A178:D178)=0,"",IF(OR(A178="",H178=""),"缺識別欄位",IF(IF(LEN("="&amp;SUBSTITUTE(SUBSTITUTE(SUBSTITUTE(X178,"~","~~"),"*","~*"),"?","~?"))&lt;=255,COUNTIF(Results[結果識別鍵],"="&amp;SUBSTITUTE(SUBSTITUTE(SUBSTITUTE(X178,"~","~~"),"*","~*"),"?","~?")),COUNTIFS(Results[關聯鍵],"="&amp;SUBSTITUTE(SUBSTITUTE(SUBSTITUTE(H178,"~","~~"),"*","~*"),"?","~?"),Results[分析項目],"="&amp;SUBSTITUTE(SUBSTITUTE(SUBSTITUTE(A178,"~","~~"),"*","~*"),"?","~?")))&gt;1,"同關聯鍵測項重複","OK")))</f>
        <v/>
      </c>
      <c r="AB178" s="93">
        <f>IF(COUNTA($A178:$D178)=0,"",IF(OR(C178="",K178=""),"缺單位",IF(NOT(ISNUMBER(L178)),"單位不相容",IF(L178=1,"OK","已換算"))))</f>
        <v/>
      </c>
      <c r="AC178" s="93">
        <f>IF(COUNTA($A178:$D178)=0,"",IF('07_QAQC'!$C$3="","未選比較版本",IF(U178=0,IF(COUNTIFS(DB_05[標準鍵],W178)&gt;1,"標準鍵重複","未訂此介質／測項門檻"),IF(INDEX(DB_05[版本檢查],U178)&lt;&gt;"OK","標準主檔待核",IF(INDEX(DB_05[標準單位],U178)&lt;&gt;K178,"標準單位不符",IF(INDEX(DB_05[核對狀態],U178)="停用","停用",IF(F178="","缺採樣日期",IF(OR(AND(INDEX(DB_05[生效日],U178)&lt;&gt;"",F178&lt;INDEX(DB_05[生效日],U178)),AND(INDEX(DB_05[失效日],U178)&lt;&gt;"",F178&gt;INDEX(DB_05[失效日],U178))),"日期不適用",INDEX(DB_05[核對狀態],U178)))))))))</f>
        <v/>
      </c>
      <c r="AD178" s="93">
        <f>IF(COUNTA($A178:$D178)=0,"",IF(AC178="未訂此介質／測項門檻",AC178,IF(AC178&lt;&gt;"已核對","標準待核",IF(R178="","未訂管制值",IF(NOT(ISNUMBER(L178)),"單位待核",IF(N178="ND","無法判定（ND無界限）",IF(N178="NA","不適用",IF(Z178&lt;&gt;"OK",Z178,IF(N178="數值",IF(Q178&gt;=R178,"達管制值","未達管制值"),IF(OR(N178="&lt;",N178="&lt;="),IF(OR(Q178&lt;R178,AND(N178="&lt;",Q178=R178)),"未達管制值","無法判定"),IF(OR(N178="&gt;",N178="&gt;="),IF(Q178&gt;=R178,"達管制值","無法判定"),"格式待核")))))))))))</f>
        <v/>
      </c>
      <c r="AE178" s="93">
        <f>IF(COUNTA($A178:$D178)=0,"",IF(AC178="未訂此介質／測項門檻",AC178,IF(AC178&lt;&gt;"已核對","標準待核",IF(S178="","未訂監測值",IF(NOT(ISNUMBER(L178)),"單位待核",IF(N178="ND","無法判定（ND無界限）",IF(N178="NA","不適用",IF(Z178&lt;&gt;"OK",Z178,IF(N178="數值",IF(Q178&gt;=S178,"達監測值","未達監測值"),IF(OR(N178="&lt;",N178="&lt;="),IF(OR(Q178&lt;S178,AND(N178="&lt;",Q178=S178)),"未達監測值","無法判定"),IF(OR(N178="&gt;",N178="&gt;="),IF(Q178&gt;=S178,"達監測值","無法判定"),"格式待核")))))))))))</f>
        <v/>
      </c>
      <c r="AF178" s="93">
        <f>IF(COUNTA($A178:$D178)=0,"",IF(OR(E178="",A178="",B178="",C178=""),"缺必要欄位",IF(Y178&lt;&gt;"OK","樣品資料待補",IF(T178=0,"測項未建或重複",IF(INDEX(DB_04[啟用],T178)&lt;&gt;"是","測項停用",IF(AND(Z178&lt;&gt;"OK",Z178&lt;&gt;"不適用"),Z178,IF(AND(AB178&lt;&gt;"OK",AB178&lt;&gt;"已換算"),"單位待核",IF(AA178&lt;&gt;"OK",AA178,"OK"))))))))</f>
        <v/>
      </c>
      <c r="AG178" s="93">
        <f>IF(COUNTA($A178:$D178)=0,"",IF(N178="ND","ND取0",IF(OR(N178="&lt;",N178="&lt;="),"界限除以2",IF(N178="NA","不適用",IF(OR(N178="&gt;",N178="&gt;="),"保留界限數值","保留原數值")))))</f>
        <v/>
      </c>
      <c r="AH178" s="92">
        <f>IF(O178="","",IFERROR(_xlfn.NUMBERVALUE(O178,".",","),""))</f>
        <v/>
      </c>
      <c r="AI178" s="92">
        <f>IF(H178="","",IFERROR(MATCH(H178,Samples[樣品編號],0),0))</f>
        <v/>
      </c>
    </row>
    <row r="179">
      <c r="A179" s="27" t="inlineStr">
        <is>
          <t>總有機碳</t>
        </is>
      </c>
      <c r="B179" s="28" t="inlineStr">
        <is>
          <t>0.47</t>
        </is>
      </c>
      <c r="C179" s="27" t="inlineStr">
        <is>
          <t>%</t>
        </is>
      </c>
      <c r="D179" s="39" t="inlineStr">
        <is>
          <t>合成資料，非實測；method=lab; basis=dry</t>
        </is>
      </c>
      <c r="E179" s="29">
        <f>IF(OR(I179="",I179=0),"",IF(INDEX(Samples[監測點],I179)="","",INDEX(Samples[監測點],I179)))</f>
        <v/>
      </c>
      <c r="F179" s="90">
        <f>IF(OR(I179="",I179=0),"",IF(INDEX(Samples[採樣日期],I179)="","",INDEX(Samples[採樣日期],I179)))</f>
        <v/>
      </c>
      <c r="G179" s="91">
        <f>IF(OR(M179="",M179="NA",M179="N/A"),"",IF(OR(M179="ND",M179="N.D."),0,IFERROR(IF(OR(OR(ISNUMBER(SEARCH("%",O179)),ISNUMBER(SEARCH(" ",O179)),ISNUMBER(SEARCH(",",O179))),OR(SUBSTITUTE(SUBSTITUTE(SUBSTITUTE(SUBSTITUTE(SUBSTITUTE(SUBSTITUTE(SUBSTITUTE(SUBSTITUTE(SUBSTITUTE(SUBSTITUTE(SUBSTITUTE(SUBSTITUTE(SUBSTITUTE(SUBSTITUTE(SUBSTITUTE(SUBSTITUTE(SUBSTITUTE(SUBSTITUTE("x"&amp;M179,"0",""),"1",""),"2",""),"3",""),"4",""),"5",""),"6",""),"7",""),"8",""),"9",""),".",""),"E",""),"+",""),"-",""),"&lt;",""),"&gt;",""),"=","")," ","")&lt;&gt;"x",ISNUMBER(SEARCH("-",SUBSTITUTE(SUBSTITUTE("x"&amp;MID(M179,2,99),"E-","E"),"E+","E"))),ISNUMBER(SEARCH("+",SUBSTITUTE(SUBSTITUTE("x"&amp;MID(M179,2,99),"E-","E"),"E+","E"))))),"",IF(AND(OR(LEFT(M179,1)="&lt;",LEFT(M179,1)="&gt;"),IF(O179="",0,IF(ISNUMBER(AH179),AH179,NA()))&lt;0),"",IF(O179="",0,IF(ISNUMBER(AH179),AH179,NA()))/IF(LEFT(M179,1)="&lt;",2,1))),"")))</f>
        <v/>
      </c>
      <c r="H179" s="57" t="inlineStr">
        <is>
          <t>BH04-S_20260415_02</t>
        </is>
      </c>
      <c r="I179" s="92">
        <f>IF(OR(H179="",AI179=0),0,IF(INDEX(Samples[樣品重複筆數],AI179)=1,AI179,0))</f>
        <v/>
      </c>
      <c r="J179" s="92">
        <f>IF(OR(COUNTA($A179:$D179)=0,I179=0),"",IF(INDEX(Samples[介質],I179)="","",INDEX(Samples[介質],I179)))</f>
        <v/>
      </c>
      <c r="K179" s="92">
        <f>IF(OR(COUNTA($A179:$D179)=0,T179=0),"",IF(INDEX(DB_04[標準單位],T179)="","",INDEX(DB_04[標準單位],T179)))</f>
        <v/>
      </c>
      <c r="L179" s="92">
        <f>IF(COUNTA($A179:$D179)=0,"",IF(OR(C179="",K179=""),"",IF(C179=K179,1,IF(COUNTIFS(DB_06[換算鍵],C179&amp;"|"&amp;K179,DB_06[換算檢查],"OK")=1,INDEX(DB_06[乘數],MATCH(C179&amp;"|"&amp;K179,DB_06[換算鍵],0)),""))))</f>
        <v/>
      </c>
      <c r="M179" s="92">
        <f>UPPER(SUBSTITUTE(SUBSTITUTE(SUBSTITUTE(SUBSTITUTE(TRIM(B179&amp;""),"＜","&lt;"),"＞","&gt;"),"≤","&lt;="),"≥","&gt;="))</f>
        <v/>
      </c>
      <c r="N179" s="92">
        <f>IF(M179="","",IF(OR(M179="ND",M179="N.D."),"ND",IF(OR(M179="NA",M179="N/A",M179="N.A."),"NA",IF(OR(LEFT(M179,2)="&lt;=",LEFT(M179,2)="&gt;="),LEFT(M179,2),IF(OR(LEFT(M179,1)="&lt;",LEFT(M179,1)="&gt;"),LEFT(M179,1),"數值")))))</f>
        <v/>
      </c>
      <c r="O179" s="92">
        <f>IF(OR(N179="",N179="ND",N179="NA"),"",IF(N179="數值",M179,TRIM(MID(M179,LEN(N179)+1,99))))</f>
        <v/>
      </c>
      <c r="P179" s="92">
        <f>IF(O179="","",IFERROR(IF(OR(OR(ISNUMBER(SEARCH("%",O179)),ISNUMBER(SEARCH(" ",O179)),ISNUMBER(SEARCH(",",O179))),OR(SUBSTITUTE(SUBSTITUTE(SUBSTITUTE(SUBSTITUTE(SUBSTITUTE(SUBSTITUTE(SUBSTITUTE(SUBSTITUTE(SUBSTITUTE(SUBSTITUTE(SUBSTITUTE(SUBSTITUTE(SUBSTITUTE(SUBSTITUTE(SUBSTITUTE(SUBSTITUTE(SUBSTITUTE(SUBSTITUTE("x"&amp;O179,"0",""),"1",""),"2",""),"3",""),"4",""),"5",""),"6",""),"7",""),"8",""),"9",""),".",""),"E",""),"+",""),"-",""),"&lt;",""),"&gt;",""),"=","")," ","")&lt;&gt;"x",ISNUMBER(SEARCH("-",SUBSTITUTE(SUBSTITUTE("x"&amp;MID(O179,2,99),"E-","E"),"E+","E"))),ISNUMBER(SEARCH("+",SUBSTITUTE(SUBSTITUTE("x"&amp;MID(O179,2,99),"E-","E"),"E+","E"))))),"",IF(ISNUMBER(AH179),AH179,NA())),""))</f>
        <v/>
      </c>
      <c r="Q179" s="92">
        <f>IF(AND(ISNUMBER(L179),ISNUMBER(P179)),L179*P179,"")</f>
        <v/>
      </c>
      <c r="R179" s="92">
        <f>IF(OR(COUNTA($A179:$D179)=0,U179=0),"",IF(INDEX(DB_05[管制設定值],U179)="","",INDEX(DB_05[管制設定值],U179)))</f>
        <v/>
      </c>
      <c r="S179" s="92">
        <f>IF(OR(COUNTA($A179:$D179)=0,U179=0),"",IF(INDEX(DB_05[監測設定值],U179)="","",INDEX(DB_05[監測設定值],U179)))</f>
        <v/>
      </c>
      <c r="T179" s="92">
        <f>IF(COUNTA($A179:$D179)=0,"",IF(COUNTIFS(DB_04[測項鍵],V179)=1,MATCH(V179,DB_04[測項鍵],0),0))</f>
        <v/>
      </c>
      <c r="U179" s="92">
        <f>IF(COUNTA($A179:$D179)=0,"",IF(COUNTIFS(DB_05[標準鍵],W179)=1,MATCH(W179,DB_05[標準鍵],0),0))</f>
        <v/>
      </c>
      <c r="V179" s="92">
        <f>IF(OR(J179="",A179=""),"",J179&amp;"|"&amp;A179)</f>
        <v/>
      </c>
      <c r="W179" s="92">
        <f>IF(OR('07_QAQC'!$C$3="",V179=""),"",'07_QAQC'!$C$3&amp;"|"&amp;V179)</f>
        <v/>
      </c>
      <c r="X179" s="92">
        <f>IF(OR(H179="",A179=""),"",LEN(H179)&amp;":"&amp;H179&amp;LEN(A179)&amp;":"&amp;A179)</f>
        <v/>
      </c>
      <c r="Y179" s="93">
        <f>IF(COUNTA($A179:$D179)=0,"",IF(I179=0,"樣品未建或重複",IF(INDEX(Samples[樣品檢查],I179)="","OK",INDEX(Samples[樣品檢查],I179))))</f>
        <v/>
      </c>
      <c r="Z179" s="93">
        <f>IF(COUNTA($A179:$D179)=0,"",IF(B179="","缺原始值",IF(OR(B179="-",B179="--"),"無資料",IF(N179="NA","不適用",IF(N179="ND","OK",IF(NOT(ISNUMBER(P179)),"格式待核",IF(AND(N179&lt;&gt;"數值",P179&lt;0),"界限不得為負","OK")))))))</f>
        <v/>
      </c>
      <c r="AA179" s="93">
        <f>IF(COUNTA(A179:D179)=0,"",IF(OR(A179="",H179=""),"缺識別欄位",IF(IF(LEN("="&amp;SUBSTITUTE(SUBSTITUTE(SUBSTITUTE(X179,"~","~~"),"*","~*"),"?","~?"))&lt;=255,COUNTIF(Results[結果識別鍵],"="&amp;SUBSTITUTE(SUBSTITUTE(SUBSTITUTE(X179,"~","~~"),"*","~*"),"?","~?")),COUNTIFS(Results[關聯鍵],"="&amp;SUBSTITUTE(SUBSTITUTE(SUBSTITUTE(H179,"~","~~"),"*","~*"),"?","~?"),Results[分析項目],"="&amp;SUBSTITUTE(SUBSTITUTE(SUBSTITUTE(A179,"~","~~"),"*","~*"),"?","~?")))&gt;1,"同關聯鍵測項重複","OK")))</f>
        <v/>
      </c>
      <c r="AB179" s="93">
        <f>IF(COUNTA($A179:$D179)=0,"",IF(OR(C179="",K179=""),"缺單位",IF(NOT(ISNUMBER(L179)),"單位不相容",IF(L179=1,"OK","已換算"))))</f>
        <v/>
      </c>
      <c r="AC179" s="93">
        <f>IF(COUNTA($A179:$D179)=0,"",IF('07_QAQC'!$C$3="","未選比較版本",IF(U179=0,IF(COUNTIFS(DB_05[標準鍵],W179)&gt;1,"標準鍵重複","未訂此介質／測項門檻"),IF(INDEX(DB_05[版本檢查],U179)&lt;&gt;"OK","標準主檔待核",IF(INDEX(DB_05[標準單位],U179)&lt;&gt;K179,"標準單位不符",IF(INDEX(DB_05[核對狀態],U179)="停用","停用",IF(F179="","缺採樣日期",IF(OR(AND(INDEX(DB_05[生效日],U179)&lt;&gt;"",F179&lt;INDEX(DB_05[生效日],U179)),AND(INDEX(DB_05[失效日],U179)&lt;&gt;"",F179&gt;INDEX(DB_05[失效日],U179))),"日期不適用",INDEX(DB_05[核對狀態],U179)))))))))</f>
        <v/>
      </c>
      <c r="AD179" s="93">
        <f>IF(COUNTA($A179:$D179)=0,"",IF(AC179="未訂此介質／測項門檻",AC179,IF(AC179&lt;&gt;"已核對","標準待核",IF(R179="","未訂管制值",IF(NOT(ISNUMBER(L179)),"單位待核",IF(N179="ND","無法判定（ND無界限）",IF(N179="NA","不適用",IF(Z179&lt;&gt;"OK",Z179,IF(N179="數值",IF(Q179&gt;=R179,"達管制值","未達管制值"),IF(OR(N179="&lt;",N179="&lt;="),IF(OR(Q179&lt;R179,AND(N179="&lt;",Q179=R179)),"未達管制值","無法判定"),IF(OR(N179="&gt;",N179="&gt;="),IF(Q179&gt;=R179,"達管制值","無法判定"),"格式待核")))))))))))</f>
        <v/>
      </c>
      <c r="AE179" s="93">
        <f>IF(COUNTA($A179:$D179)=0,"",IF(AC179="未訂此介質／測項門檻",AC179,IF(AC179&lt;&gt;"已核對","標準待核",IF(S179="","未訂監測值",IF(NOT(ISNUMBER(L179)),"單位待核",IF(N179="ND","無法判定（ND無界限）",IF(N179="NA","不適用",IF(Z179&lt;&gt;"OK",Z179,IF(N179="數值",IF(Q179&gt;=S179,"達監測值","未達監測值"),IF(OR(N179="&lt;",N179="&lt;="),IF(OR(Q179&lt;S179,AND(N179="&lt;",Q179=S179)),"未達監測值","無法判定"),IF(OR(N179="&gt;",N179="&gt;="),IF(Q179&gt;=S179,"達監測值","無法判定"),"格式待核")))))))))))</f>
        <v/>
      </c>
      <c r="AF179" s="93">
        <f>IF(COUNTA($A179:$D179)=0,"",IF(OR(E179="",A179="",B179="",C179=""),"缺必要欄位",IF(Y179&lt;&gt;"OK","樣品資料待補",IF(T179=0,"測項未建或重複",IF(INDEX(DB_04[啟用],T179)&lt;&gt;"是","測項停用",IF(AND(Z179&lt;&gt;"OK",Z179&lt;&gt;"不適用"),Z179,IF(AND(AB179&lt;&gt;"OK",AB179&lt;&gt;"已換算"),"單位待核",IF(AA179&lt;&gt;"OK",AA179,"OK"))))))))</f>
        <v/>
      </c>
      <c r="AG179" s="93">
        <f>IF(COUNTA($A179:$D179)=0,"",IF(N179="ND","ND取0",IF(OR(N179="&lt;",N179="&lt;="),"界限除以2",IF(N179="NA","不適用",IF(OR(N179="&gt;",N179="&gt;="),"保留界限數值","保留原數值")))))</f>
        <v/>
      </c>
      <c r="AH179" s="92">
        <f>IF(O179="","",IFERROR(_xlfn.NUMBERVALUE(O179,".",","),""))</f>
        <v/>
      </c>
      <c r="AI179" s="92">
        <f>IF(H179="","",IFERROR(MATCH(H179,Samples[樣品編號],0),0))</f>
        <v/>
      </c>
    </row>
    <row r="180">
      <c r="A180" s="27" t="inlineStr">
        <is>
          <t>pH</t>
        </is>
      </c>
      <c r="B180" s="28" t="inlineStr">
        <is>
          <t>6.82</t>
        </is>
      </c>
      <c r="C180" s="27" t="inlineStr">
        <is>
          <t>無因次</t>
        </is>
      </c>
      <c r="D180" s="39" t="inlineStr">
        <is>
          <t>合成資料，非實測；method=field</t>
        </is>
      </c>
      <c r="E180" s="29">
        <f>IF(OR(I180="",I180=0),"",IF(INDEX(Samples[監測點],I180)="","",INDEX(Samples[監測點],I180)))</f>
        <v/>
      </c>
      <c r="F180" s="90">
        <f>IF(OR(I180="",I180=0),"",IF(INDEX(Samples[採樣日期],I180)="","",INDEX(Samples[採樣日期],I180)))</f>
        <v/>
      </c>
      <c r="G180" s="91">
        <f>IF(OR(M180="",M180="NA",M180="N/A"),"",IF(OR(M180="ND",M180="N.D."),0,IFERROR(IF(OR(OR(ISNUMBER(SEARCH("%",O180)),ISNUMBER(SEARCH(" ",O180)),ISNUMBER(SEARCH(",",O180))),OR(SUBSTITUTE(SUBSTITUTE(SUBSTITUTE(SUBSTITUTE(SUBSTITUTE(SUBSTITUTE(SUBSTITUTE(SUBSTITUTE(SUBSTITUTE(SUBSTITUTE(SUBSTITUTE(SUBSTITUTE(SUBSTITUTE(SUBSTITUTE(SUBSTITUTE(SUBSTITUTE(SUBSTITUTE(SUBSTITUTE("x"&amp;M180,"0",""),"1",""),"2",""),"3",""),"4",""),"5",""),"6",""),"7",""),"8",""),"9",""),".",""),"E",""),"+",""),"-",""),"&lt;",""),"&gt;",""),"=","")," ","")&lt;&gt;"x",ISNUMBER(SEARCH("-",SUBSTITUTE(SUBSTITUTE("x"&amp;MID(M180,2,99),"E-","E"),"E+","E"))),ISNUMBER(SEARCH("+",SUBSTITUTE(SUBSTITUTE("x"&amp;MID(M180,2,99),"E-","E"),"E+","E"))))),"",IF(AND(OR(LEFT(M180,1)="&lt;",LEFT(M180,1)="&gt;"),IF(O180="",0,IF(ISNUMBER(AH180),AH180,NA()))&lt;0),"",IF(O180="",0,IF(ISNUMBER(AH180),AH180,NA()))/IF(LEFT(M180,1)="&lt;",2,1))),"")))</f>
        <v/>
      </c>
      <c r="H180" s="57" t="inlineStr">
        <is>
          <t>BH04-W_20260415_02</t>
        </is>
      </c>
      <c r="I180" s="92">
        <f>IF(OR(H180="",AI180=0),0,IF(INDEX(Samples[樣品重複筆數],AI180)=1,AI180,0))</f>
        <v/>
      </c>
      <c r="J180" s="92">
        <f>IF(OR(COUNTA($A180:$D180)=0,I180=0),"",IF(INDEX(Samples[介質],I180)="","",INDEX(Samples[介質],I180)))</f>
        <v/>
      </c>
      <c r="K180" s="92">
        <f>IF(OR(COUNTA($A180:$D180)=0,T180=0),"",IF(INDEX(DB_04[標準單位],T180)="","",INDEX(DB_04[標準單位],T180)))</f>
        <v/>
      </c>
      <c r="L180" s="92">
        <f>IF(COUNTA($A180:$D180)=0,"",IF(OR(C180="",K180=""),"",IF(C180=K180,1,IF(COUNTIFS(DB_06[換算鍵],C180&amp;"|"&amp;K180,DB_06[換算檢查],"OK")=1,INDEX(DB_06[乘數],MATCH(C180&amp;"|"&amp;K180,DB_06[換算鍵],0)),""))))</f>
        <v/>
      </c>
      <c r="M180" s="92">
        <f>UPPER(SUBSTITUTE(SUBSTITUTE(SUBSTITUTE(SUBSTITUTE(TRIM(B180&amp;""),"＜","&lt;"),"＞","&gt;"),"≤","&lt;="),"≥","&gt;="))</f>
        <v/>
      </c>
      <c r="N180" s="92">
        <f>IF(M180="","",IF(OR(M180="ND",M180="N.D."),"ND",IF(OR(M180="NA",M180="N/A",M180="N.A."),"NA",IF(OR(LEFT(M180,2)="&lt;=",LEFT(M180,2)="&gt;="),LEFT(M180,2),IF(OR(LEFT(M180,1)="&lt;",LEFT(M180,1)="&gt;"),LEFT(M180,1),"數值")))))</f>
        <v/>
      </c>
      <c r="O180" s="92">
        <f>IF(OR(N180="",N180="ND",N180="NA"),"",IF(N180="數值",M180,TRIM(MID(M180,LEN(N180)+1,99))))</f>
        <v/>
      </c>
      <c r="P180" s="92">
        <f>IF(O180="","",IFERROR(IF(OR(OR(ISNUMBER(SEARCH("%",O180)),ISNUMBER(SEARCH(" ",O180)),ISNUMBER(SEARCH(",",O180))),OR(SUBSTITUTE(SUBSTITUTE(SUBSTITUTE(SUBSTITUTE(SUBSTITUTE(SUBSTITUTE(SUBSTITUTE(SUBSTITUTE(SUBSTITUTE(SUBSTITUTE(SUBSTITUTE(SUBSTITUTE(SUBSTITUTE(SUBSTITUTE(SUBSTITUTE(SUBSTITUTE(SUBSTITUTE(SUBSTITUTE("x"&amp;O180,"0",""),"1",""),"2",""),"3",""),"4",""),"5",""),"6",""),"7",""),"8",""),"9",""),".",""),"E",""),"+",""),"-",""),"&lt;",""),"&gt;",""),"=","")," ","")&lt;&gt;"x",ISNUMBER(SEARCH("-",SUBSTITUTE(SUBSTITUTE("x"&amp;MID(O180,2,99),"E-","E"),"E+","E"))),ISNUMBER(SEARCH("+",SUBSTITUTE(SUBSTITUTE("x"&amp;MID(O180,2,99),"E-","E"),"E+","E"))))),"",IF(ISNUMBER(AH180),AH180,NA())),""))</f>
        <v/>
      </c>
      <c r="Q180" s="92">
        <f>IF(AND(ISNUMBER(L180),ISNUMBER(P180)),L180*P180,"")</f>
        <v/>
      </c>
      <c r="R180" s="92">
        <f>IF(OR(COUNTA($A180:$D180)=0,U180=0),"",IF(INDEX(DB_05[管制設定值],U180)="","",INDEX(DB_05[管制設定值],U180)))</f>
        <v/>
      </c>
      <c r="S180" s="92">
        <f>IF(OR(COUNTA($A180:$D180)=0,U180=0),"",IF(INDEX(DB_05[監測設定值],U180)="","",INDEX(DB_05[監測設定值],U180)))</f>
        <v/>
      </c>
      <c r="T180" s="92">
        <f>IF(COUNTA($A180:$D180)=0,"",IF(COUNTIFS(DB_04[測項鍵],V180)=1,MATCH(V180,DB_04[測項鍵],0),0))</f>
        <v/>
      </c>
      <c r="U180" s="92">
        <f>IF(COUNTA($A180:$D180)=0,"",IF(COUNTIFS(DB_05[標準鍵],W180)=1,MATCH(W180,DB_05[標準鍵],0),0))</f>
        <v/>
      </c>
      <c r="V180" s="92">
        <f>IF(OR(J180="",A180=""),"",J180&amp;"|"&amp;A180)</f>
        <v/>
      </c>
      <c r="W180" s="92">
        <f>IF(OR('07_QAQC'!$C$3="",V180=""),"",'07_QAQC'!$C$3&amp;"|"&amp;V180)</f>
        <v/>
      </c>
      <c r="X180" s="92">
        <f>IF(OR(H180="",A180=""),"",LEN(H180)&amp;":"&amp;H180&amp;LEN(A180)&amp;":"&amp;A180)</f>
        <v/>
      </c>
      <c r="Y180" s="93">
        <f>IF(COUNTA($A180:$D180)=0,"",IF(I180=0,"樣品未建或重複",IF(INDEX(Samples[樣品檢查],I180)="","OK",INDEX(Samples[樣品檢查],I180))))</f>
        <v/>
      </c>
      <c r="Z180" s="93">
        <f>IF(COUNTA($A180:$D180)=0,"",IF(B180="","缺原始值",IF(OR(B180="-",B180="--"),"無資料",IF(N180="NA","不適用",IF(N180="ND","OK",IF(NOT(ISNUMBER(P180)),"格式待核",IF(AND(N180&lt;&gt;"數值",P180&lt;0),"界限不得為負","OK")))))))</f>
        <v/>
      </c>
      <c r="AA180" s="93">
        <f>IF(COUNTA(A180:D180)=0,"",IF(OR(A180="",H180=""),"缺識別欄位",IF(IF(LEN("="&amp;SUBSTITUTE(SUBSTITUTE(SUBSTITUTE(X180,"~","~~"),"*","~*"),"?","~?"))&lt;=255,COUNTIF(Results[結果識別鍵],"="&amp;SUBSTITUTE(SUBSTITUTE(SUBSTITUTE(X180,"~","~~"),"*","~*"),"?","~?")),COUNTIFS(Results[關聯鍵],"="&amp;SUBSTITUTE(SUBSTITUTE(SUBSTITUTE(H180,"~","~~"),"*","~*"),"?","~?"),Results[分析項目],"="&amp;SUBSTITUTE(SUBSTITUTE(SUBSTITUTE(A180,"~","~~"),"*","~*"),"?","~?")))&gt;1,"同關聯鍵測項重複","OK")))</f>
        <v/>
      </c>
      <c r="AB180" s="93">
        <f>IF(COUNTA($A180:$D180)=0,"",IF(OR(C180="",K180=""),"缺單位",IF(NOT(ISNUMBER(L180)),"單位不相容",IF(L180=1,"OK","已換算"))))</f>
        <v/>
      </c>
      <c r="AC180" s="93">
        <f>IF(COUNTA($A180:$D180)=0,"",IF('07_QAQC'!$C$3="","未選比較版本",IF(U180=0,IF(COUNTIFS(DB_05[標準鍵],W180)&gt;1,"標準鍵重複","未訂此介質／測項門檻"),IF(INDEX(DB_05[版本檢查],U180)&lt;&gt;"OK","標準主檔待核",IF(INDEX(DB_05[標準單位],U180)&lt;&gt;K180,"標準單位不符",IF(INDEX(DB_05[核對狀態],U180)="停用","停用",IF(F180="","缺採樣日期",IF(OR(AND(INDEX(DB_05[生效日],U180)&lt;&gt;"",F180&lt;INDEX(DB_05[生效日],U180)),AND(INDEX(DB_05[失效日],U180)&lt;&gt;"",F180&gt;INDEX(DB_05[失效日],U180))),"日期不適用",INDEX(DB_05[核對狀態],U180)))))))))</f>
        <v/>
      </c>
      <c r="AD180" s="93">
        <f>IF(COUNTA($A180:$D180)=0,"",IF(AC180="未訂此介質／測項門檻",AC180,IF(AC180&lt;&gt;"已核對","標準待核",IF(R180="","未訂管制值",IF(NOT(ISNUMBER(L180)),"單位待核",IF(N180="ND","無法判定（ND無界限）",IF(N180="NA","不適用",IF(Z180&lt;&gt;"OK",Z180,IF(N180="數值",IF(Q180&gt;=R180,"達管制值","未達管制值"),IF(OR(N180="&lt;",N180="&lt;="),IF(OR(Q180&lt;R180,AND(N180="&lt;",Q180=R180)),"未達管制值","無法判定"),IF(OR(N180="&gt;",N180="&gt;="),IF(Q180&gt;=R180,"達管制值","無法判定"),"格式待核")))))))))))</f>
        <v/>
      </c>
      <c r="AE180" s="93">
        <f>IF(COUNTA($A180:$D180)=0,"",IF(AC180="未訂此介質／測項門檻",AC180,IF(AC180&lt;&gt;"已核對","標準待核",IF(S180="","未訂監測值",IF(NOT(ISNUMBER(L180)),"單位待核",IF(N180="ND","無法判定（ND無界限）",IF(N180="NA","不適用",IF(Z180&lt;&gt;"OK",Z180,IF(N180="數值",IF(Q180&gt;=S180,"達監測值","未達監測值"),IF(OR(N180="&lt;",N180="&lt;="),IF(OR(Q180&lt;S180,AND(N180="&lt;",Q180=S180)),"未達監測值","無法判定"),IF(OR(N180="&gt;",N180="&gt;="),IF(Q180&gt;=S180,"達監測值","無法判定"),"格式待核")))))))))))</f>
        <v/>
      </c>
      <c r="AF180" s="93">
        <f>IF(COUNTA($A180:$D180)=0,"",IF(OR(E180="",A180="",B180="",C180=""),"缺必要欄位",IF(Y180&lt;&gt;"OK","樣品資料待補",IF(T180=0,"測項未建或重複",IF(INDEX(DB_04[啟用],T180)&lt;&gt;"是","測項停用",IF(AND(Z180&lt;&gt;"OK",Z180&lt;&gt;"不適用"),Z180,IF(AND(AB180&lt;&gt;"OK",AB180&lt;&gt;"已換算"),"單位待核",IF(AA180&lt;&gt;"OK",AA180,"OK"))))))))</f>
        <v/>
      </c>
      <c r="AG180" s="93">
        <f>IF(COUNTA($A180:$D180)=0,"",IF(N180="ND","ND取0",IF(OR(N180="&lt;",N180="&lt;="),"界限除以2",IF(N180="NA","不適用",IF(OR(N180="&gt;",N180="&gt;="),"保留界限數值","保留原數值")))))</f>
        <v/>
      </c>
      <c r="AH180" s="92">
        <f>IF(O180="","",IFERROR(_xlfn.NUMBERVALUE(O180,".",","),""))</f>
        <v/>
      </c>
      <c r="AI180" s="92">
        <f>IF(H180="","",IFERROR(MATCH(H180,Samples[樣品編號],0),0))</f>
        <v/>
      </c>
    </row>
    <row r="181">
      <c r="A181" s="27" t="inlineStr">
        <is>
          <t>EC</t>
        </is>
      </c>
      <c r="B181" s="28" t="inlineStr">
        <is>
          <t>0.63</t>
        </is>
      </c>
      <c r="C181" s="27" t="inlineStr">
        <is>
          <t>mS/cm</t>
        </is>
      </c>
      <c r="D181" s="39" t="inlineStr">
        <is>
          <t>合成資料，非實測；method=field; temperature=25; temperature_compensated=25C; reference_temperature=25</t>
        </is>
      </c>
      <c r="E181" s="29">
        <f>IF(OR(I181="",I181=0),"",IF(INDEX(Samples[監測點],I181)="","",INDEX(Samples[監測點],I181)))</f>
        <v/>
      </c>
      <c r="F181" s="90">
        <f>IF(OR(I181="",I181=0),"",IF(INDEX(Samples[採樣日期],I181)="","",INDEX(Samples[採樣日期],I181)))</f>
        <v/>
      </c>
      <c r="G181" s="91">
        <f>IF(OR(M181="",M181="NA",M181="N/A"),"",IF(OR(M181="ND",M181="N.D."),0,IFERROR(IF(OR(OR(ISNUMBER(SEARCH("%",O181)),ISNUMBER(SEARCH(" ",O181)),ISNUMBER(SEARCH(",",O181))),OR(SUBSTITUTE(SUBSTITUTE(SUBSTITUTE(SUBSTITUTE(SUBSTITUTE(SUBSTITUTE(SUBSTITUTE(SUBSTITUTE(SUBSTITUTE(SUBSTITUTE(SUBSTITUTE(SUBSTITUTE(SUBSTITUTE(SUBSTITUTE(SUBSTITUTE(SUBSTITUTE(SUBSTITUTE(SUBSTITUTE("x"&amp;M181,"0",""),"1",""),"2",""),"3",""),"4",""),"5",""),"6",""),"7",""),"8",""),"9",""),".",""),"E",""),"+",""),"-",""),"&lt;",""),"&gt;",""),"=","")," ","")&lt;&gt;"x",ISNUMBER(SEARCH("-",SUBSTITUTE(SUBSTITUTE("x"&amp;MID(M181,2,99),"E-","E"),"E+","E"))),ISNUMBER(SEARCH("+",SUBSTITUTE(SUBSTITUTE("x"&amp;MID(M181,2,99),"E-","E"),"E+","E"))))),"",IF(AND(OR(LEFT(M181,1)="&lt;",LEFT(M181,1)="&gt;"),IF(O181="",0,IF(ISNUMBER(AH181),AH181,NA()))&lt;0),"",IF(O181="",0,IF(ISNUMBER(AH181),AH181,NA()))/IF(LEFT(M181,1)="&lt;",2,1))),"")))</f>
        <v/>
      </c>
      <c r="H181" s="57" t="inlineStr">
        <is>
          <t>BH04-W_20260415_02</t>
        </is>
      </c>
      <c r="I181" s="92">
        <f>IF(OR(H181="",AI181=0),0,IF(INDEX(Samples[樣品重複筆數],AI181)=1,AI181,0))</f>
        <v/>
      </c>
      <c r="J181" s="92">
        <f>IF(OR(COUNTA($A181:$D181)=0,I181=0),"",IF(INDEX(Samples[介質],I181)="","",INDEX(Samples[介質],I181)))</f>
        <v/>
      </c>
      <c r="K181" s="92">
        <f>IF(OR(COUNTA($A181:$D181)=0,T181=0),"",IF(INDEX(DB_04[標準單位],T181)="","",INDEX(DB_04[標準單位],T181)))</f>
        <v/>
      </c>
      <c r="L181" s="92">
        <f>IF(COUNTA($A181:$D181)=0,"",IF(OR(C181="",K181=""),"",IF(C181=K181,1,IF(COUNTIFS(DB_06[換算鍵],C181&amp;"|"&amp;K181,DB_06[換算檢查],"OK")=1,INDEX(DB_06[乘數],MATCH(C181&amp;"|"&amp;K181,DB_06[換算鍵],0)),""))))</f>
        <v/>
      </c>
      <c r="M181" s="92">
        <f>UPPER(SUBSTITUTE(SUBSTITUTE(SUBSTITUTE(SUBSTITUTE(TRIM(B181&amp;""),"＜","&lt;"),"＞","&gt;"),"≤","&lt;="),"≥","&gt;="))</f>
        <v/>
      </c>
      <c r="N181" s="92">
        <f>IF(M181="","",IF(OR(M181="ND",M181="N.D."),"ND",IF(OR(M181="NA",M181="N/A",M181="N.A."),"NA",IF(OR(LEFT(M181,2)="&lt;=",LEFT(M181,2)="&gt;="),LEFT(M181,2),IF(OR(LEFT(M181,1)="&lt;",LEFT(M181,1)="&gt;"),LEFT(M181,1),"數值")))))</f>
        <v/>
      </c>
      <c r="O181" s="92">
        <f>IF(OR(N181="",N181="ND",N181="NA"),"",IF(N181="數值",M181,TRIM(MID(M181,LEN(N181)+1,99))))</f>
        <v/>
      </c>
      <c r="P181" s="92">
        <f>IF(O181="","",IFERROR(IF(OR(OR(ISNUMBER(SEARCH("%",O181)),ISNUMBER(SEARCH(" ",O181)),ISNUMBER(SEARCH(",",O181))),OR(SUBSTITUTE(SUBSTITUTE(SUBSTITUTE(SUBSTITUTE(SUBSTITUTE(SUBSTITUTE(SUBSTITUTE(SUBSTITUTE(SUBSTITUTE(SUBSTITUTE(SUBSTITUTE(SUBSTITUTE(SUBSTITUTE(SUBSTITUTE(SUBSTITUTE(SUBSTITUTE(SUBSTITUTE(SUBSTITUTE("x"&amp;O181,"0",""),"1",""),"2",""),"3",""),"4",""),"5",""),"6",""),"7",""),"8",""),"9",""),".",""),"E",""),"+",""),"-",""),"&lt;",""),"&gt;",""),"=","")," ","")&lt;&gt;"x",ISNUMBER(SEARCH("-",SUBSTITUTE(SUBSTITUTE("x"&amp;MID(O181,2,99),"E-","E"),"E+","E"))),ISNUMBER(SEARCH("+",SUBSTITUTE(SUBSTITUTE("x"&amp;MID(O181,2,99),"E-","E"),"E+","E"))))),"",IF(ISNUMBER(AH181),AH181,NA())),""))</f>
        <v/>
      </c>
      <c r="Q181" s="92">
        <f>IF(AND(ISNUMBER(L181),ISNUMBER(P181)),L181*P181,"")</f>
        <v/>
      </c>
      <c r="R181" s="92">
        <f>IF(OR(COUNTA($A181:$D181)=0,U181=0),"",IF(INDEX(DB_05[管制設定值],U181)="","",INDEX(DB_05[管制設定值],U181)))</f>
        <v/>
      </c>
      <c r="S181" s="92">
        <f>IF(OR(COUNTA($A181:$D181)=0,U181=0),"",IF(INDEX(DB_05[監測設定值],U181)="","",INDEX(DB_05[監測設定值],U181)))</f>
        <v/>
      </c>
      <c r="T181" s="92">
        <f>IF(COUNTA($A181:$D181)=0,"",IF(COUNTIFS(DB_04[測項鍵],V181)=1,MATCH(V181,DB_04[測項鍵],0),0))</f>
        <v/>
      </c>
      <c r="U181" s="92">
        <f>IF(COUNTA($A181:$D181)=0,"",IF(COUNTIFS(DB_05[標準鍵],W181)=1,MATCH(W181,DB_05[標準鍵],0),0))</f>
        <v/>
      </c>
      <c r="V181" s="92">
        <f>IF(OR(J181="",A181=""),"",J181&amp;"|"&amp;A181)</f>
        <v/>
      </c>
      <c r="W181" s="92">
        <f>IF(OR('07_QAQC'!$C$3="",V181=""),"",'07_QAQC'!$C$3&amp;"|"&amp;V181)</f>
        <v/>
      </c>
      <c r="X181" s="92">
        <f>IF(OR(H181="",A181=""),"",LEN(H181)&amp;":"&amp;H181&amp;LEN(A181)&amp;":"&amp;A181)</f>
        <v/>
      </c>
      <c r="Y181" s="93">
        <f>IF(COUNTA($A181:$D181)=0,"",IF(I181=0,"樣品未建或重複",IF(INDEX(Samples[樣品檢查],I181)="","OK",INDEX(Samples[樣品檢查],I181))))</f>
        <v/>
      </c>
      <c r="Z181" s="93">
        <f>IF(COUNTA($A181:$D181)=0,"",IF(B181="","缺原始值",IF(OR(B181="-",B181="--"),"無資料",IF(N181="NA","不適用",IF(N181="ND","OK",IF(NOT(ISNUMBER(P181)),"格式待核",IF(AND(N181&lt;&gt;"數值",P181&lt;0),"界限不得為負","OK")))))))</f>
        <v/>
      </c>
      <c r="AA181" s="93">
        <f>IF(COUNTA(A181:D181)=0,"",IF(OR(A181="",H181=""),"缺識別欄位",IF(IF(LEN("="&amp;SUBSTITUTE(SUBSTITUTE(SUBSTITUTE(X181,"~","~~"),"*","~*"),"?","~?"))&lt;=255,COUNTIF(Results[結果識別鍵],"="&amp;SUBSTITUTE(SUBSTITUTE(SUBSTITUTE(X181,"~","~~"),"*","~*"),"?","~?")),COUNTIFS(Results[關聯鍵],"="&amp;SUBSTITUTE(SUBSTITUTE(SUBSTITUTE(H181,"~","~~"),"*","~*"),"?","~?"),Results[分析項目],"="&amp;SUBSTITUTE(SUBSTITUTE(SUBSTITUTE(A181,"~","~~"),"*","~*"),"?","~?")))&gt;1,"同關聯鍵測項重複","OK")))</f>
        <v/>
      </c>
      <c r="AB181" s="93">
        <f>IF(COUNTA($A181:$D181)=0,"",IF(OR(C181="",K181=""),"缺單位",IF(NOT(ISNUMBER(L181)),"單位不相容",IF(L181=1,"OK","已換算"))))</f>
        <v/>
      </c>
      <c r="AC181" s="93">
        <f>IF(COUNTA($A181:$D181)=0,"",IF('07_QAQC'!$C$3="","未選比較版本",IF(U181=0,IF(COUNTIFS(DB_05[標準鍵],W181)&gt;1,"標準鍵重複","未訂此介質／測項門檻"),IF(INDEX(DB_05[版本檢查],U181)&lt;&gt;"OK","標準主檔待核",IF(INDEX(DB_05[標準單位],U181)&lt;&gt;K181,"標準單位不符",IF(INDEX(DB_05[核對狀態],U181)="停用","停用",IF(F181="","缺採樣日期",IF(OR(AND(INDEX(DB_05[生效日],U181)&lt;&gt;"",F181&lt;INDEX(DB_05[生效日],U181)),AND(INDEX(DB_05[失效日],U181)&lt;&gt;"",F181&gt;INDEX(DB_05[失效日],U181))),"日期不適用",INDEX(DB_05[核對狀態],U181)))))))))</f>
        <v/>
      </c>
      <c r="AD181" s="93">
        <f>IF(COUNTA($A181:$D181)=0,"",IF(AC181="未訂此介質／測項門檻",AC181,IF(AC181&lt;&gt;"已核對","標準待核",IF(R181="","未訂管制值",IF(NOT(ISNUMBER(L181)),"單位待核",IF(N181="ND","無法判定（ND無界限）",IF(N181="NA","不適用",IF(Z181&lt;&gt;"OK",Z181,IF(N181="數值",IF(Q181&gt;=R181,"達管制值","未達管制值"),IF(OR(N181="&lt;",N181="&lt;="),IF(OR(Q181&lt;R181,AND(N181="&lt;",Q181=R181)),"未達管制值","無法判定"),IF(OR(N181="&gt;",N181="&gt;="),IF(Q181&gt;=R181,"達管制值","無法判定"),"格式待核")))))))))))</f>
        <v/>
      </c>
      <c r="AE181" s="93">
        <f>IF(COUNTA($A181:$D181)=0,"",IF(AC181="未訂此介質／測項門檻",AC181,IF(AC181&lt;&gt;"已核對","標準待核",IF(S181="","未訂監測值",IF(NOT(ISNUMBER(L181)),"單位待核",IF(N181="ND","無法判定（ND無界限）",IF(N181="NA","不適用",IF(Z181&lt;&gt;"OK",Z181,IF(N181="數值",IF(Q181&gt;=S181,"達監測值","未達監測值"),IF(OR(N181="&lt;",N181="&lt;="),IF(OR(Q181&lt;S181,AND(N181="&lt;",Q181=S181)),"未達監測值","無法判定"),IF(OR(N181="&gt;",N181="&gt;="),IF(Q181&gt;=S181,"達監測值","無法判定"),"格式待核")))))))))))</f>
        <v/>
      </c>
      <c r="AF181" s="93">
        <f>IF(COUNTA($A181:$D181)=0,"",IF(OR(E181="",A181="",B181="",C181=""),"缺必要欄位",IF(Y181&lt;&gt;"OK","樣品資料待補",IF(T181=0,"測項未建或重複",IF(INDEX(DB_04[啟用],T181)&lt;&gt;"是","測項停用",IF(AND(Z181&lt;&gt;"OK",Z181&lt;&gt;"不適用"),Z181,IF(AND(AB181&lt;&gt;"OK",AB181&lt;&gt;"已換算"),"單位待核",IF(AA181&lt;&gt;"OK",AA181,"OK"))))))))</f>
        <v/>
      </c>
      <c r="AG181" s="93">
        <f>IF(COUNTA($A181:$D181)=0,"",IF(N181="ND","ND取0",IF(OR(N181="&lt;",N181="&lt;="),"界限除以2",IF(N181="NA","不適用",IF(OR(N181="&gt;",N181="&gt;="),"保留界限數值","保留原數值")))))</f>
        <v/>
      </c>
      <c r="AH181" s="92">
        <f>IF(O181="","",IFERROR(_xlfn.NUMBERVALUE(O181,".",","),""))</f>
        <v/>
      </c>
      <c r="AI181" s="92">
        <f>IF(H181="","",IFERROR(MATCH(H181,Samples[樣品編號],0),0))</f>
        <v/>
      </c>
    </row>
    <row r="182">
      <c r="A182" s="27" t="inlineStr">
        <is>
          <t>DO</t>
        </is>
      </c>
      <c r="B182" s="28" t="inlineStr">
        <is>
          <t>5.0</t>
        </is>
      </c>
      <c r="C182" s="27" t="inlineStr">
        <is>
          <t>mg/L</t>
        </is>
      </c>
      <c r="D182" s="39" t="inlineStr">
        <is>
          <t>合成資料，非實測；method=field</t>
        </is>
      </c>
      <c r="E182" s="29">
        <f>IF(OR(I182="",I182=0),"",IF(INDEX(Samples[監測點],I182)="","",INDEX(Samples[監測點],I182)))</f>
        <v/>
      </c>
      <c r="F182" s="90">
        <f>IF(OR(I182="",I182=0),"",IF(INDEX(Samples[採樣日期],I182)="","",INDEX(Samples[採樣日期],I182)))</f>
        <v/>
      </c>
      <c r="G182" s="91">
        <f>IF(OR(M182="",M182="NA",M182="N/A"),"",IF(OR(M182="ND",M182="N.D."),0,IFERROR(IF(OR(OR(ISNUMBER(SEARCH("%",O182)),ISNUMBER(SEARCH(" ",O182)),ISNUMBER(SEARCH(",",O182))),OR(SUBSTITUTE(SUBSTITUTE(SUBSTITUTE(SUBSTITUTE(SUBSTITUTE(SUBSTITUTE(SUBSTITUTE(SUBSTITUTE(SUBSTITUTE(SUBSTITUTE(SUBSTITUTE(SUBSTITUTE(SUBSTITUTE(SUBSTITUTE(SUBSTITUTE(SUBSTITUTE(SUBSTITUTE(SUBSTITUTE("x"&amp;M182,"0",""),"1",""),"2",""),"3",""),"4",""),"5",""),"6",""),"7",""),"8",""),"9",""),".",""),"E",""),"+",""),"-",""),"&lt;",""),"&gt;",""),"=","")," ","")&lt;&gt;"x",ISNUMBER(SEARCH("-",SUBSTITUTE(SUBSTITUTE("x"&amp;MID(M182,2,99),"E-","E"),"E+","E"))),ISNUMBER(SEARCH("+",SUBSTITUTE(SUBSTITUTE("x"&amp;MID(M182,2,99),"E-","E"),"E+","E"))))),"",IF(AND(OR(LEFT(M182,1)="&lt;",LEFT(M182,1)="&gt;"),IF(O182="",0,IF(ISNUMBER(AH182),AH182,NA()))&lt;0),"",IF(O182="",0,IF(ISNUMBER(AH182),AH182,NA()))/IF(LEFT(M182,1)="&lt;",2,1))),"")))</f>
        <v/>
      </c>
      <c r="H182" s="57" t="inlineStr">
        <is>
          <t>BH04-W_20260415_02</t>
        </is>
      </c>
      <c r="I182" s="92">
        <f>IF(OR(H182="",AI182=0),0,IF(INDEX(Samples[樣品重複筆數],AI182)=1,AI182,0))</f>
        <v/>
      </c>
      <c r="J182" s="92">
        <f>IF(OR(COUNTA($A182:$D182)=0,I182=0),"",IF(INDEX(Samples[介質],I182)="","",INDEX(Samples[介質],I182)))</f>
        <v/>
      </c>
      <c r="K182" s="92">
        <f>IF(OR(COUNTA($A182:$D182)=0,T182=0),"",IF(INDEX(DB_04[標準單位],T182)="","",INDEX(DB_04[標準單位],T182)))</f>
        <v/>
      </c>
      <c r="L182" s="92">
        <f>IF(COUNTA($A182:$D182)=0,"",IF(OR(C182="",K182=""),"",IF(C182=K182,1,IF(COUNTIFS(DB_06[換算鍵],C182&amp;"|"&amp;K182,DB_06[換算檢查],"OK")=1,INDEX(DB_06[乘數],MATCH(C182&amp;"|"&amp;K182,DB_06[換算鍵],0)),""))))</f>
        <v/>
      </c>
      <c r="M182" s="92">
        <f>UPPER(SUBSTITUTE(SUBSTITUTE(SUBSTITUTE(SUBSTITUTE(TRIM(B182&amp;""),"＜","&lt;"),"＞","&gt;"),"≤","&lt;="),"≥","&gt;="))</f>
        <v/>
      </c>
      <c r="N182" s="92">
        <f>IF(M182="","",IF(OR(M182="ND",M182="N.D."),"ND",IF(OR(M182="NA",M182="N/A",M182="N.A."),"NA",IF(OR(LEFT(M182,2)="&lt;=",LEFT(M182,2)="&gt;="),LEFT(M182,2),IF(OR(LEFT(M182,1)="&lt;",LEFT(M182,1)="&gt;"),LEFT(M182,1),"數值")))))</f>
        <v/>
      </c>
      <c r="O182" s="92">
        <f>IF(OR(N182="",N182="ND",N182="NA"),"",IF(N182="數值",M182,TRIM(MID(M182,LEN(N182)+1,99))))</f>
        <v/>
      </c>
      <c r="P182" s="92">
        <f>IF(O182="","",IFERROR(IF(OR(OR(ISNUMBER(SEARCH("%",O182)),ISNUMBER(SEARCH(" ",O182)),ISNUMBER(SEARCH(",",O182))),OR(SUBSTITUTE(SUBSTITUTE(SUBSTITUTE(SUBSTITUTE(SUBSTITUTE(SUBSTITUTE(SUBSTITUTE(SUBSTITUTE(SUBSTITUTE(SUBSTITUTE(SUBSTITUTE(SUBSTITUTE(SUBSTITUTE(SUBSTITUTE(SUBSTITUTE(SUBSTITUTE(SUBSTITUTE(SUBSTITUTE("x"&amp;O182,"0",""),"1",""),"2",""),"3",""),"4",""),"5",""),"6",""),"7",""),"8",""),"9",""),".",""),"E",""),"+",""),"-",""),"&lt;",""),"&gt;",""),"=","")," ","")&lt;&gt;"x",ISNUMBER(SEARCH("-",SUBSTITUTE(SUBSTITUTE("x"&amp;MID(O182,2,99),"E-","E"),"E+","E"))),ISNUMBER(SEARCH("+",SUBSTITUTE(SUBSTITUTE("x"&amp;MID(O182,2,99),"E-","E"),"E+","E"))))),"",IF(ISNUMBER(AH182),AH182,NA())),""))</f>
        <v/>
      </c>
      <c r="Q182" s="92">
        <f>IF(AND(ISNUMBER(L182),ISNUMBER(P182)),L182*P182,"")</f>
        <v/>
      </c>
      <c r="R182" s="92">
        <f>IF(OR(COUNTA($A182:$D182)=0,U182=0),"",IF(INDEX(DB_05[管制設定值],U182)="","",INDEX(DB_05[管制設定值],U182)))</f>
        <v/>
      </c>
      <c r="S182" s="92">
        <f>IF(OR(COUNTA($A182:$D182)=0,U182=0),"",IF(INDEX(DB_05[監測設定值],U182)="","",INDEX(DB_05[監測設定值],U182)))</f>
        <v/>
      </c>
      <c r="T182" s="92">
        <f>IF(COUNTA($A182:$D182)=0,"",IF(COUNTIFS(DB_04[測項鍵],V182)=1,MATCH(V182,DB_04[測項鍵],0),0))</f>
        <v/>
      </c>
      <c r="U182" s="92">
        <f>IF(COUNTA($A182:$D182)=0,"",IF(COUNTIFS(DB_05[標準鍵],W182)=1,MATCH(W182,DB_05[標準鍵],0),0))</f>
        <v/>
      </c>
      <c r="V182" s="92">
        <f>IF(OR(J182="",A182=""),"",J182&amp;"|"&amp;A182)</f>
        <v/>
      </c>
      <c r="W182" s="92">
        <f>IF(OR('07_QAQC'!$C$3="",V182=""),"",'07_QAQC'!$C$3&amp;"|"&amp;V182)</f>
        <v/>
      </c>
      <c r="X182" s="92">
        <f>IF(OR(H182="",A182=""),"",LEN(H182)&amp;":"&amp;H182&amp;LEN(A182)&amp;":"&amp;A182)</f>
        <v/>
      </c>
      <c r="Y182" s="93">
        <f>IF(COUNTA($A182:$D182)=0,"",IF(I182=0,"樣品未建或重複",IF(INDEX(Samples[樣品檢查],I182)="","OK",INDEX(Samples[樣品檢查],I182))))</f>
        <v/>
      </c>
      <c r="Z182" s="93">
        <f>IF(COUNTA($A182:$D182)=0,"",IF(B182="","缺原始值",IF(OR(B182="-",B182="--"),"無資料",IF(N182="NA","不適用",IF(N182="ND","OK",IF(NOT(ISNUMBER(P182)),"格式待核",IF(AND(N182&lt;&gt;"數值",P182&lt;0),"界限不得為負","OK")))))))</f>
        <v/>
      </c>
      <c r="AA182" s="93">
        <f>IF(COUNTA(A182:D182)=0,"",IF(OR(A182="",H182=""),"缺識別欄位",IF(IF(LEN("="&amp;SUBSTITUTE(SUBSTITUTE(SUBSTITUTE(X182,"~","~~"),"*","~*"),"?","~?"))&lt;=255,COUNTIF(Results[結果識別鍵],"="&amp;SUBSTITUTE(SUBSTITUTE(SUBSTITUTE(X182,"~","~~"),"*","~*"),"?","~?")),COUNTIFS(Results[關聯鍵],"="&amp;SUBSTITUTE(SUBSTITUTE(SUBSTITUTE(H182,"~","~~"),"*","~*"),"?","~?"),Results[分析項目],"="&amp;SUBSTITUTE(SUBSTITUTE(SUBSTITUTE(A182,"~","~~"),"*","~*"),"?","~?")))&gt;1,"同關聯鍵測項重複","OK")))</f>
        <v/>
      </c>
      <c r="AB182" s="93">
        <f>IF(COUNTA($A182:$D182)=0,"",IF(OR(C182="",K182=""),"缺單位",IF(NOT(ISNUMBER(L182)),"單位不相容",IF(L182=1,"OK","已換算"))))</f>
        <v/>
      </c>
      <c r="AC182" s="93">
        <f>IF(COUNTA($A182:$D182)=0,"",IF('07_QAQC'!$C$3="","未選比較版本",IF(U182=0,IF(COUNTIFS(DB_05[標準鍵],W182)&gt;1,"標準鍵重複","未訂此介質／測項門檻"),IF(INDEX(DB_05[版本檢查],U182)&lt;&gt;"OK","標準主檔待核",IF(INDEX(DB_05[標準單位],U182)&lt;&gt;K182,"標準單位不符",IF(INDEX(DB_05[核對狀態],U182)="停用","停用",IF(F182="","缺採樣日期",IF(OR(AND(INDEX(DB_05[生效日],U182)&lt;&gt;"",F182&lt;INDEX(DB_05[生效日],U182)),AND(INDEX(DB_05[失效日],U182)&lt;&gt;"",F182&gt;INDEX(DB_05[失效日],U182))),"日期不適用",INDEX(DB_05[核對狀態],U182)))))))))</f>
        <v/>
      </c>
      <c r="AD182" s="93">
        <f>IF(COUNTA($A182:$D182)=0,"",IF(AC182="未訂此介質／測項門檻",AC182,IF(AC182&lt;&gt;"已核對","標準待核",IF(R182="","未訂管制值",IF(NOT(ISNUMBER(L182)),"單位待核",IF(N182="ND","無法判定（ND無界限）",IF(N182="NA","不適用",IF(Z182&lt;&gt;"OK",Z182,IF(N182="數值",IF(Q182&gt;=R182,"達管制值","未達管制值"),IF(OR(N182="&lt;",N182="&lt;="),IF(OR(Q182&lt;R182,AND(N182="&lt;",Q182=R182)),"未達管制值","無法判定"),IF(OR(N182="&gt;",N182="&gt;="),IF(Q182&gt;=R182,"達管制值","無法判定"),"格式待核")))))))))))</f>
        <v/>
      </c>
      <c r="AE182" s="93">
        <f>IF(COUNTA($A182:$D182)=0,"",IF(AC182="未訂此介質／測項門檻",AC182,IF(AC182&lt;&gt;"已核對","標準待核",IF(S182="","未訂監測值",IF(NOT(ISNUMBER(L182)),"單位待核",IF(N182="ND","無法判定（ND無界限）",IF(N182="NA","不適用",IF(Z182&lt;&gt;"OK",Z182,IF(N182="數值",IF(Q182&gt;=S182,"達監測值","未達監測值"),IF(OR(N182="&lt;",N182="&lt;="),IF(OR(Q182&lt;S182,AND(N182="&lt;",Q182=S182)),"未達監測值","無法判定"),IF(OR(N182="&gt;",N182="&gt;="),IF(Q182&gt;=S182,"達監測值","無法判定"),"格式待核")))))))))))</f>
        <v/>
      </c>
      <c r="AF182" s="93">
        <f>IF(COUNTA($A182:$D182)=0,"",IF(OR(E182="",A182="",B182="",C182=""),"缺必要欄位",IF(Y182&lt;&gt;"OK","樣品資料待補",IF(T182=0,"測項未建或重複",IF(INDEX(DB_04[啟用],T182)&lt;&gt;"是","測項停用",IF(AND(Z182&lt;&gt;"OK",Z182&lt;&gt;"不適用"),Z182,IF(AND(AB182&lt;&gt;"OK",AB182&lt;&gt;"已換算"),"單位待核",IF(AA182&lt;&gt;"OK",AA182,"OK"))))))))</f>
        <v/>
      </c>
      <c r="AG182" s="93">
        <f>IF(COUNTA($A182:$D182)=0,"",IF(N182="ND","ND取0",IF(OR(N182="&lt;",N182="&lt;="),"界限除以2",IF(N182="NA","不適用",IF(OR(N182="&gt;",N182="&gt;="),"保留界限數值","保留原數值")))))</f>
        <v/>
      </c>
      <c r="AH182" s="92">
        <f>IF(O182="","",IFERROR(_xlfn.NUMBERVALUE(O182,".",","),""))</f>
        <v/>
      </c>
      <c r="AI182" s="92">
        <f>IF(H182="","",IFERROR(MATCH(H182,Samples[樣品編號],0),0))</f>
        <v/>
      </c>
    </row>
    <row r="183" ht="28.5" customHeight="1">
      <c r="A183" s="27" t="inlineStr">
        <is>
          <t>溶氧飽和度</t>
        </is>
      </c>
      <c r="B183" s="28" t="inlineStr">
        <is>
          <t>62</t>
        </is>
      </c>
      <c r="C183" s="27" t="inlineStr">
        <is>
          <t>%</t>
        </is>
      </c>
      <c r="D183" s="39" t="inlineStr">
        <is>
          <t>合成資料，非實測；method=field</t>
        </is>
      </c>
      <c r="E183" s="29">
        <f>IF(OR(I183="",I183=0),"",IF(INDEX(Samples[監測點],I183)="","",INDEX(Samples[監測點],I183)))</f>
        <v/>
      </c>
      <c r="F183" s="90">
        <f>IF(OR(I183="",I183=0),"",IF(INDEX(Samples[採樣日期],I183)="","",INDEX(Samples[採樣日期],I183)))</f>
        <v/>
      </c>
      <c r="G183" s="91">
        <f>IF(OR(M183="",M183="NA",M183="N/A"),"",IF(OR(M183="ND",M183="N.D."),0,IFERROR(IF(OR(OR(ISNUMBER(SEARCH("%",O183)),ISNUMBER(SEARCH(" ",O183)),ISNUMBER(SEARCH(",",O183))),OR(SUBSTITUTE(SUBSTITUTE(SUBSTITUTE(SUBSTITUTE(SUBSTITUTE(SUBSTITUTE(SUBSTITUTE(SUBSTITUTE(SUBSTITUTE(SUBSTITUTE(SUBSTITUTE(SUBSTITUTE(SUBSTITUTE(SUBSTITUTE(SUBSTITUTE(SUBSTITUTE(SUBSTITUTE(SUBSTITUTE("x"&amp;M183,"0",""),"1",""),"2",""),"3",""),"4",""),"5",""),"6",""),"7",""),"8",""),"9",""),".",""),"E",""),"+",""),"-",""),"&lt;",""),"&gt;",""),"=","")," ","")&lt;&gt;"x",ISNUMBER(SEARCH("-",SUBSTITUTE(SUBSTITUTE("x"&amp;MID(M183,2,99),"E-","E"),"E+","E"))),ISNUMBER(SEARCH("+",SUBSTITUTE(SUBSTITUTE("x"&amp;MID(M183,2,99),"E-","E"),"E+","E"))))),"",IF(AND(OR(LEFT(M183,1)="&lt;",LEFT(M183,1)="&gt;"),IF(O183="",0,IF(ISNUMBER(AH183),AH183,NA()))&lt;0),"",IF(O183="",0,IF(ISNUMBER(AH183),AH183,NA()))/IF(LEFT(M183,1)="&lt;",2,1))),"")))</f>
        <v/>
      </c>
      <c r="H183" s="57" t="inlineStr">
        <is>
          <t>BH04-W_20260415_02</t>
        </is>
      </c>
      <c r="I183" s="92">
        <f>IF(OR(H183="",AI183=0),0,IF(INDEX(Samples[樣品重複筆數],AI183)=1,AI183,0))</f>
        <v/>
      </c>
      <c r="J183" s="92">
        <f>IF(OR(COUNTA($A183:$D183)=0,I183=0),"",IF(INDEX(Samples[介質],I183)="","",INDEX(Samples[介質],I183)))</f>
        <v/>
      </c>
      <c r="K183" s="92">
        <f>IF(OR(COUNTA($A183:$D183)=0,T183=0),"",IF(INDEX(DB_04[標準單位],T183)="","",INDEX(DB_04[標準單位],T183)))</f>
        <v/>
      </c>
      <c r="L183" s="92">
        <f>IF(COUNTA($A183:$D183)=0,"",IF(OR(C183="",K183=""),"",IF(C183=K183,1,IF(COUNTIFS(DB_06[換算鍵],C183&amp;"|"&amp;K183,DB_06[換算檢查],"OK")=1,INDEX(DB_06[乘數],MATCH(C183&amp;"|"&amp;K183,DB_06[換算鍵],0)),""))))</f>
        <v/>
      </c>
      <c r="M183" s="92">
        <f>UPPER(SUBSTITUTE(SUBSTITUTE(SUBSTITUTE(SUBSTITUTE(TRIM(B183&amp;""),"＜","&lt;"),"＞","&gt;"),"≤","&lt;="),"≥","&gt;="))</f>
        <v/>
      </c>
      <c r="N183" s="92">
        <f>IF(M183="","",IF(OR(M183="ND",M183="N.D."),"ND",IF(OR(M183="NA",M183="N/A",M183="N.A."),"NA",IF(OR(LEFT(M183,2)="&lt;=",LEFT(M183,2)="&gt;="),LEFT(M183,2),IF(OR(LEFT(M183,1)="&lt;",LEFT(M183,1)="&gt;"),LEFT(M183,1),"數值")))))</f>
        <v/>
      </c>
      <c r="O183" s="92">
        <f>IF(OR(N183="",N183="ND",N183="NA"),"",IF(N183="數值",M183,TRIM(MID(M183,LEN(N183)+1,99))))</f>
        <v/>
      </c>
      <c r="P183" s="92">
        <f>IF(O183="","",IFERROR(IF(OR(OR(ISNUMBER(SEARCH("%",O183)),ISNUMBER(SEARCH(" ",O183)),ISNUMBER(SEARCH(",",O183))),OR(SUBSTITUTE(SUBSTITUTE(SUBSTITUTE(SUBSTITUTE(SUBSTITUTE(SUBSTITUTE(SUBSTITUTE(SUBSTITUTE(SUBSTITUTE(SUBSTITUTE(SUBSTITUTE(SUBSTITUTE(SUBSTITUTE(SUBSTITUTE(SUBSTITUTE(SUBSTITUTE(SUBSTITUTE(SUBSTITUTE("x"&amp;O183,"0",""),"1",""),"2",""),"3",""),"4",""),"5",""),"6",""),"7",""),"8",""),"9",""),".",""),"E",""),"+",""),"-",""),"&lt;",""),"&gt;",""),"=","")," ","")&lt;&gt;"x",ISNUMBER(SEARCH("-",SUBSTITUTE(SUBSTITUTE("x"&amp;MID(O183,2,99),"E-","E"),"E+","E"))),ISNUMBER(SEARCH("+",SUBSTITUTE(SUBSTITUTE("x"&amp;MID(O183,2,99),"E-","E"),"E+","E"))))),"",IF(ISNUMBER(AH183),AH183,NA())),""))</f>
        <v/>
      </c>
      <c r="Q183" s="92">
        <f>IF(AND(ISNUMBER(L183),ISNUMBER(P183)),L183*P183,"")</f>
        <v/>
      </c>
      <c r="R183" s="92">
        <f>IF(OR(COUNTA($A183:$D183)=0,U183=0),"",IF(INDEX(DB_05[管制設定值],U183)="","",INDEX(DB_05[管制設定值],U183)))</f>
        <v/>
      </c>
      <c r="S183" s="92">
        <f>IF(OR(COUNTA($A183:$D183)=0,U183=0),"",IF(INDEX(DB_05[監測設定值],U183)="","",INDEX(DB_05[監測設定值],U183)))</f>
        <v/>
      </c>
      <c r="T183" s="92">
        <f>IF(COUNTA($A183:$D183)=0,"",IF(COUNTIFS(DB_04[測項鍵],V183)=1,MATCH(V183,DB_04[測項鍵],0),0))</f>
        <v/>
      </c>
      <c r="U183" s="92">
        <f>IF(COUNTA($A183:$D183)=0,"",IF(COUNTIFS(DB_05[標準鍵],W183)=1,MATCH(W183,DB_05[標準鍵],0),0))</f>
        <v/>
      </c>
      <c r="V183" s="92">
        <f>IF(OR(J183="",A183=""),"",J183&amp;"|"&amp;A183)</f>
        <v/>
      </c>
      <c r="W183" s="92">
        <f>IF(OR('07_QAQC'!$C$3="",V183=""),"",'07_QAQC'!$C$3&amp;"|"&amp;V183)</f>
        <v/>
      </c>
      <c r="X183" s="92">
        <f>IF(OR(H183="",A183=""),"",LEN(H183)&amp;":"&amp;H183&amp;LEN(A183)&amp;":"&amp;A183)</f>
        <v/>
      </c>
      <c r="Y183" s="93">
        <f>IF(COUNTA($A183:$D183)=0,"",IF(I183=0,"樣品未建或重複",IF(INDEX(Samples[樣品檢查],I183)="","OK",INDEX(Samples[樣品檢查],I183))))</f>
        <v/>
      </c>
      <c r="Z183" s="93">
        <f>IF(COUNTA($A183:$D183)=0,"",IF(B183="","缺原始值",IF(OR(B183="-",B183="--"),"無資料",IF(N183="NA","不適用",IF(N183="ND","OK",IF(NOT(ISNUMBER(P183)),"格式待核",IF(AND(N183&lt;&gt;"數值",P183&lt;0),"界限不得為負","OK")))))))</f>
        <v/>
      </c>
      <c r="AA183" s="93">
        <f>IF(COUNTA(A183:D183)=0,"",IF(OR(A183="",H183=""),"缺識別欄位",IF(IF(LEN("="&amp;SUBSTITUTE(SUBSTITUTE(SUBSTITUTE(X183,"~","~~"),"*","~*"),"?","~?"))&lt;=255,COUNTIF(Results[結果識別鍵],"="&amp;SUBSTITUTE(SUBSTITUTE(SUBSTITUTE(X183,"~","~~"),"*","~*"),"?","~?")),COUNTIFS(Results[關聯鍵],"="&amp;SUBSTITUTE(SUBSTITUTE(SUBSTITUTE(H183,"~","~~"),"*","~*"),"?","~?"),Results[分析項目],"="&amp;SUBSTITUTE(SUBSTITUTE(SUBSTITUTE(A183,"~","~~"),"*","~*"),"?","~?")))&gt;1,"同關聯鍵測項重複","OK")))</f>
        <v/>
      </c>
      <c r="AB183" s="93">
        <f>IF(COUNTA($A183:$D183)=0,"",IF(OR(C183="",K183=""),"缺單位",IF(NOT(ISNUMBER(L183)),"單位不相容",IF(L183=1,"OK","已換算"))))</f>
        <v/>
      </c>
      <c r="AC183" s="93">
        <f>IF(COUNTA($A183:$D183)=0,"",IF('07_QAQC'!$C$3="","未選比較版本",IF(U183=0,IF(COUNTIFS(DB_05[標準鍵],W183)&gt;1,"標準鍵重複","未訂此介質／測項門檻"),IF(INDEX(DB_05[版本檢查],U183)&lt;&gt;"OK","標準主檔待核",IF(INDEX(DB_05[標準單位],U183)&lt;&gt;K183,"標準單位不符",IF(INDEX(DB_05[核對狀態],U183)="停用","停用",IF(F183="","缺採樣日期",IF(OR(AND(INDEX(DB_05[生效日],U183)&lt;&gt;"",F183&lt;INDEX(DB_05[生效日],U183)),AND(INDEX(DB_05[失效日],U183)&lt;&gt;"",F183&gt;INDEX(DB_05[失效日],U183))),"日期不適用",INDEX(DB_05[核對狀態],U183)))))))))</f>
        <v/>
      </c>
      <c r="AD183" s="93">
        <f>IF(COUNTA($A183:$D183)=0,"",IF(AC183="未訂此介質／測項門檻",AC183,IF(AC183&lt;&gt;"已核對","標準待核",IF(R183="","未訂管制值",IF(NOT(ISNUMBER(L183)),"單位待核",IF(N183="ND","無法判定（ND無界限）",IF(N183="NA","不適用",IF(Z183&lt;&gt;"OK",Z183,IF(N183="數值",IF(Q183&gt;=R183,"達管制值","未達管制值"),IF(OR(N183="&lt;",N183="&lt;="),IF(OR(Q183&lt;R183,AND(N183="&lt;",Q183=R183)),"未達管制值","無法判定"),IF(OR(N183="&gt;",N183="&gt;="),IF(Q183&gt;=R183,"達管制值","無法判定"),"格式待核")))))))))))</f>
        <v/>
      </c>
      <c r="AE183" s="93">
        <f>IF(COUNTA($A183:$D183)=0,"",IF(AC183="未訂此介質／測項門檻",AC183,IF(AC183&lt;&gt;"已核對","標準待核",IF(S183="","未訂監測值",IF(NOT(ISNUMBER(L183)),"單位待核",IF(N183="ND","無法判定（ND無界限）",IF(N183="NA","不適用",IF(Z183&lt;&gt;"OK",Z183,IF(N183="數值",IF(Q183&gt;=S183,"達監測值","未達監測值"),IF(OR(N183="&lt;",N183="&lt;="),IF(OR(Q183&lt;S183,AND(N183="&lt;",Q183=S183)),"未達監測值","無法判定"),IF(OR(N183="&gt;",N183="&gt;="),IF(Q183&gt;=S183,"達監測值","無法判定"),"格式待核")))))))))))</f>
        <v/>
      </c>
      <c r="AF183" s="93">
        <f>IF(COUNTA($A183:$D183)=0,"",IF(OR(E183="",A183="",B183="",C183=""),"缺必要欄位",IF(Y183&lt;&gt;"OK","樣品資料待補",IF(T183=0,"測項未建或重複",IF(INDEX(DB_04[啟用],T183)&lt;&gt;"是","測項停用",IF(AND(Z183&lt;&gt;"OK",Z183&lt;&gt;"不適用"),Z183,IF(AND(AB183&lt;&gt;"OK",AB183&lt;&gt;"已換算"),"單位待核",IF(AA183&lt;&gt;"OK",AA183,"OK"))))))))</f>
        <v/>
      </c>
      <c r="AG183" s="93">
        <f>IF(COUNTA($A183:$D183)=0,"",IF(N183="ND","ND取0",IF(OR(N183="&lt;",N183="&lt;="),"界限除以2",IF(N183="NA","不適用",IF(OR(N183="&gt;",N183="&gt;="),"保留界限數值","保留原數值")))))</f>
        <v/>
      </c>
      <c r="AH183" s="92">
        <f>IF(O183="","",IFERROR(_xlfn.NUMBERVALUE(O183,".",","),""))</f>
        <v/>
      </c>
      <c r="AI183" s="92">
        <f>IF(H183="","",IFERROR(MATCH(H183,Samples[樣品編號],0),0))</f>
        <v/>
      </c>
    </row>
    <row r="184">
      <c r="A184" s="27" t="inlineStr">
        <is>
          <t>ORP</t>
        </is>
      </c>
      <c r="B184" s="28" t="inlineStr">
        <is>
          <t>-50</t>
        </is>
      </c>
      <c r="C184" s="27" t="inlineStr">
        <is>
          <t>mV</t>
        </is>
      </c>
      <c r="D184" s="39" t="inlineStr">
        <is>
          <t>合成資料，非實測；method=field; reference_electrode=Ag/AgCl; calibration=verified</t>
        </is>
      </c>
      <c r="E184" s="29">
        <f>IF(OR(I184="",I184=0),"",IF(INDEX(Samples[監測點],I184)="","",INDEX(Samples[監測點],I184)))</f>
        <v/>
      </c>
      <c r="F184" s="90">
        <f>IF(OR(I184="",I184=0),"",IF(INDEX(Samples[採樣日期],I184)="","",INDEX(Samples[採樣日期],I184)))</f>
        <v/>
      </c>
      <c r="G184" s="91">
        <f>IF(OR(M184="",M184="NA",M184="N/A"),"",IF(OR(M184="ND",M184="N.D."),0,IFERROR(IF(OR(OR(ISNUMBER(SEARCH("%",O184)),ISNUMBER(SEARCH(" ",O184)),ISNUMBER(SEARCH(",",O184))),OR(SUBSTITUTE(SUBSTITUTE(SUBSTITUTE(SUBSTITUTE(SUBSTITUTE(SUBSTITUTE(SUBSTITUTE(SUBSTITUTE(SUBSTITUTE(SUBSTITUTE(SUBSTITUTE(SUBSTITUTE(SUBSTITUTE(SUBSTITUTE(SUBSTITUTE(SUBSTITUTE(SUBSTITUTE(SUBSTITUTE("x"&amp;M184,"0",""),"1",""),"2",""),"3",""),"4",""),"5",""),"6",""),"7",""),"8",""),"9",""),".",""),"E",""),"+",""),"-",""),"&lt;",""),"&gt;",""),"=","")," ","")&lt;&gt;"x",ISNUMBER(SEARCH("-",SUBSTITUTE(SUBSTITUTE("x"&amp;MID(M184,2,99),"E-","E"),"E+","E"))),ISNUMBER(SEARCH("+",SUBSTITUTE(SUBSTITUTE("x"&amp;MID(M184,2,99),"E-","E"),"E+","E"))))),"",IF(AND(OR(LEFT(M184,1)="&lt;",LEFT(M184,1)="&gt;"),IF(O184="",0,IF(ISNUMBER(AH184),AH184,NA()))&lt;0),"",IF(O184="",0,IF(ISNUMBER(AH184),AH184,NA()))/IF(LEFT(M184,1)="&lt;",2,1))),"")))</f>
        <v/>
      </c>
      <c r="H184" s="57" t="inlineStr">
        <is>
          <t>BH04-W_20260415_02</t>
        </is>
      </c>
      <c r="I184" s="92">
        <f>IF(OR(H184="",AI184=0),0,IF(INDEX(Samples[樣品重複筆數],AI184)=1,AI184,0))</f>
        <v/>
      </c>
      <c r="J184" s="92">
        <f>IF(OR(COUNTA($A184:$D184)=0,I184=0),"",IF(INDEX(Samples[介質],I184)="","",INDEX(Samples[介質],I184)))</f>
        <v/>
      </c>
      <c r="K184" s="92">
        <f>IF(OR(COUNTA($A184:$D184)=0,T184=0),"",IF(INDEX(DB_04[標準單位],T184)="","",INDEX(DB_04[標準單位],T184)))</f>
        <v/>
      </c>
      <c r="L184" s="92">
        <f>IF(COUNTA($A184:$D184)=0,"",IF(OR(C184="",K184=""),"",IF(C184=K184,1,IF(COUNTIFS(DB_06[換算鍵],C184&amp;"|"&amp;K184,DB_06[換算檢查],"OK")=1,INDEX(DB_06[乘數],MATCH(C184&amp;"|"&amp;K184,DB_06[換算鍵],0)),""))))</f>
        <v/>
      </c>
      <c r="M184" s="92">
        <f>UPPER(SUBSTITUTE(SUBSTITUTE(SUBSTITUTE(SUBSTITUTE(TRIM(B184&amp;""),"＜","&lt;"),"＞","&gt;"),"≤","&lt;="),"≥","&gt;="))</f>
        <v/>
      </c>
      <c r="N184" s="92">
        <f>IF(M184="","",IF(OR(M184="ND",M184="N.D."),"ND",IF(OR(M184="NA",M184="N/A",M184="N.A."),"NA",IF(OR(LEFT(M184,2)="&lt;=",LEFT(M184,2)="&gt;="),LEFT(M184,2),IF(OR(LEFT(M184,1)="&lt;",LEFT(M184,1)="&gt;"),LEFT(M184,1),"數值")))))</f>
        <v/>
      </c>
      <c r="O184" s="92">
        <f>IF(OR(N184="",N184="ND",N184="NA"),"",IF(N184="數值",M184,TRIM(MID(M184,LEN(N184)+1,99))))</f>
        <v/>
      </c>
      <c r="P184" s="92">
        <f>IF(O184="","",IFERROR(IF(OR(OR(ISNUMBER(SEARCH("%",O184)),ISNUMBER(SEARCH(" ",O184)),ISNUMBER(SEARCH(",",O184))),OR(SUBSTITUTE(SUBSTITUTE(SUBSTITUTE(SUBSTITUTE(SUBSTITUTE(SUBSTITUTE(SUBSTITUTE(SUBSTITUTE(SUBSTITUTE(SUBSTITUTE(SUBSTITUTE(SUBSTITUTE(SUBSTITUTE(SUBSTITUTE(SUBSTITUTE(SUBSTITUTE(SUBSTITUTE(SUBSTITUTE("x"&amp;O184,"0",""),"1",""),"2",""),"3",""),"4",""),"5",""),"6",""),"7",""),"8",""),"9",""),".",""),"E",""),"+",""),"-",""),"&lt;",""),"&gt;",""),"=","")," ","")&lt;&gt;"x",ISNUMBER(SEARCH("-",SUBSTITUTE(SUBSTITUTE("x"&amp;MID(O184,2,99),"E-","E"),"E+","E"))),ISNUMBER(SEARCH("+",SUBSTITUTE(SUBSTITUTE("x"&amp;MID(O184,2,99),"E-","E"),"E+","E"))))),"",IF(ISNUMBER(AH184),AH184,NA())),""))</f>
        <v/>
      </c>
      <c r="Q184" s="92">
        <f>IF(AND(ISNUMBER(L184),ISNUMBER(P184)),L184*P184,"")</f>
        <v/>
      </c>
      <c r="R184" s="92">
        <f>IF(OR(COUNTA($A184:$D184)=0,U184=0),"",IF(INDEX(DB_05[管制設定值],U184)="","",INDEX(DB_05[管制設定值],U184)))</f>
        <v/>
      </c>
      <c r="S184" s="92">
        <f>IF(OR(COUNTA($A184:$D184)=0,U184=0),"",IF(INDEX(DB_05[監測設定值],U184)="","",INDEX(DB_05[監測設定值],U184)))</f>
        <v/>
      </c>
      <c r="T184" s="92">
        <f>IF(COUNTA($A184:$D184)=0,"",IF(COUNTIFS(DB_04[測項鍵],V184)=1,MATCH(V184,DB_04[測項鍵],0),0))</f>
        <v/>
      </c>
      <c r="U184" s="92">
        <f>IF(COUNTA($A184:$D184)=0,"",IF(COUNTIFS(DB_05[標準鍵],W184)=1,MATCH(W184,DB_05[標準鍵],0),0))</f>
        <v/>
      </c>
      <c r="V184" s="92">
        <f>IF(OR(J184="",A184=""),"",J184&amp;"|"&amp;A184)</f>
        <v/>
      </c>
      <c r="W184" s="92">
        <f>IF(OR('07_QAQC'!$C$3="",V184=""),"",'07_QAQC'!$C$3&amp;"|"&amp;V184)</f>
        <v/>
      </c>
      <c r="X184" s="92">
        <f>IF(OR(H184="",A184=""),"",LEN(H184)&amp;":"&amp;H184&amp;LEN(A184)&amp;":"&amp;A184)</f>
        <v/>
      </c>
      <c r="Y184" s="93">
        <f>IF(COUNTA($A184:$D184)=0,"",IF(I184=0,"樣品未建或重複",IF(INDEX(Samples[樣品檢查],I184)="","OK",INDEX(Samples[樣品檢查],I184))))</f>
        <v/>
      </c>
      <c r="Z184" s="93">
        <f>IF(COUNTA($A184:$D184)=0,"",IF(B184="","缺原始值",IF(OR(B184="-",B184="--"),"無資料",IF(N184="NA","不適用",IF(N184="ND","OK",IF(NOT(ISNUMBER(P184)),"格式待核",IF(AND(N184&lt;&gt;"數值",P184&lt;0),"界限不得為負","OK")))))))</f>
        <v/>
      </c>
      <c r="AA184" s="93">
        <f>IF(COUNTA(A184:D184)=0,"",IF(OR(A184="",H184=""),"缺識別欄位",IF(IF(LEN("="&amp;SUBSTITUTE(SUBSTITUTE(SUBSTITUTE(X184,"~","~~"),"*","~*"),"?","~?"))&lt;=255,COUNTIF(Results[結果識別鍵],"="&amp;SUBSTITUTE(SUBSTITUTE(SUBSTITUTE(X184,"~","~~"),"*","~*"),"?","~?")),COUNTIFS(Results[關聯鍵],"="&amp;SUBSTITUTE(SUBSTITUTE(SUBSTITUTE(H184,"~","~~"),"*","~*"),"?","~?"),Results[分析項目],"="&amp;SUBSTITUTE(SUBSTITUTE(SUBSTITUTE(A184,"~","~~"),"*","~*"),"?","~?")))&gt;1,"同關聯鍵測項重複","OK")))</f>
        <v/>
      </c>
      <c r="AB184" s="93">
        <f>IF(COUNTA($A184:$D184)=0,"",IF(OR(C184="",K184=""),"缺單位",IF(NOT(ISNUMBER(L184)),"單位不相容",IF(L184=1,"OK","已換算"))))</f>
        <v/>
      </c>
      <c r="AC184" s="93">
        <f>IF(COUNTA($A184:$D184)=0,"",IF('07_QAQC'!$C$3="","未選比較版本",IF(U184=0,IF(COUNTIFS(DB_05[標準鍵],W184)&gt;1,"標準鍵重複","未訂此介質／測項門檻"),IF(INDEX(DB_05[版本檢查],U184)&lt;&gt;"OK","標準主檔待核",IF(INDEX(DB_05[標準單位],U184)&lt;&gt;K184,"標準單位不符",IF(INDEX(DB_05[核對狀態],U184)="停用","停用",IF(F184="","缺採樣日期",IF(OR(AND(INDEX(DB_05[生效日],U184)&lt;&gt;"",F184&lt;INDEX(DB_05[生效日],U184)),AND(INDEX(DB_05[失效日],U184)&lt;&gt;"",F184&gt;INDEX(DB_05[失效日],U184))),"日期不適用",INDEX(DB_05[核對狀態],U184)))))))))</f>
        <v/>
      </c>
      <c r="AD184" s="93">
        <f>IF(COUNTA($A184:$D184)=0,"",IF(AC184="未訂此介質／測項門檻",AC184,IF(AC184&lt;&gt;"已核對","標準待核",IF(R184="","未訂管制值",IF(NOT(ISNUMBER(L184)),"單位待核",IF(N184="ND","無法判定（ND無界限）",IF(N184="NA","不適用",IF(Z184&lt;&gt;"OK",Z184,IF(N184="數值",IF(Q184&gt;=R184,"達管制值","未達管制值"),IF(OR(N184="&lt;",N184="&lt;="),IF(OR(Q184&lt;R184,AND(N184="&lt;",Q184=R184)),"未達管制值","無法判定"),IF(OR(N184="&gt;",N184="&gt;="),IF(Q184&gt;=R184,"達管制值","無法判定"),"格式待核")))))))))))</f>
        <v/>
      </c>
      <c r="AE184" s="93">
        <f>IF(COUNTA($A184:$D184)=0,"",IF(AC184="未訂此介質／測項門檻",AC184,IF(AC184&lt;&gt;"已核對","標準待核",IF(S184="","未訂監測值",IF(NOT(ISNUMBER(L184)),"單位待核",IF(N184="ND","無法判定（ND無界限）",IF(N184="NA","不適用",IF(Z184&lt;&gt;"OK",Z184,IF(N184="數值",IF(Q184&gt;=S184,"達監測值","未達監測值"),IF(OR(N184="&lt;",N184="&lt;="),IF(OR(Q184&lt;S184,AND(N184="&lt;",Q184=S184)),"未達監測值","無法判定"),IF(OR(N184="&gt;",N184="&gt;="),IF(Q184&gt;=S184,"達監測值","無法判定"),"格式待核")))))))))))</f>
        <v/>
      </c>
      <c r="AF184" s="93">
        <f>IF(COUNTA($A184:$D184)=0,"",IF(OR(E184="",A184="",B184="",C184=""),"缺必要欄位",IF(Y184&lt;&gt;"OK","樣品資料待補",IF(T184=0,"測項未建或重複",IF(INDEX(DB_04[啟用],T184)&lt;&gt;"是","測項停用",IF(AND(Z184&lt;&gt;"OK",Z184&lt;&gt;"不適用"),Z184,IF(AND(AB184&lt;&gt;"OK",AB184&lt;&gt;"已換算"),"單位待核",IF(AA184&lt;&gt;"OK",AA184,"OK"))))))))</f>
        <v/>
      </c>
      <c r="AG184" s="93">
        <f>IF(COUNTA($A184:$D184)=0,"",IF(N184="ND","ND取0",IF(OR(N184="&lt;",N184="&lt;="),"界限除以2",IF(N184="NA","不適用",IF(OR(N184="&gt;",N184="&gt;="),"保留界限數值","保留原數值")))))</f>
        <v/>
      </c>
      <c r="AH184" s="92">
        <f>IF(O184="","",IFERROR(_xlfn.NUMBERVALUE(O184,".",","),""))</f>
        <v/>
      </c>
      <c r="AI184" s="92">
        <f>IF(H184="","",IFERROR(MATCH(H184,Samples[樣品編號],0),0))</f>
        <v/>
      </c>
    </row>
    <row r="185">
      <c r="A185" s="27" t="inlineStr">
        <is>
          <t>總有機碳</t>
        </is>
      </c>
      <c r="B185" s="28" t="inlineStr">
        <is>
          <t>3.2</t>
        </is>
      </c>
      <c r="C185" s="27" t="inlineStr">
        <is>
          <t>mg/L</t>
        </is>
      </c>
      <c r="D185" s="39" t="inlineStr">
        <is>
          <t>合成資料，非實測；method=lab</t>
        </is>
      </c>
      <c r="E185" s="29">
        <f>IF(OR(I185="",I185=0),"",IF(INDEX(Samples[監測點],I185)="","",INDEX(Samples[監測點],I185)))</f>
        <v/>
      </c>
      <c r="F185" s="90">
        <f>IF(OR(I185="",I185=0),"",IF(INDEX(Samples[採樣日期],I185)="","",INDEX(Samples[採樣日期],I185)))</f>
        <v/>
      </c>
      <c r="G185" s="91">
        <f>IF(OR(M185="",M185="NA",M185="N/A"),"",IF(OR(M185="ND",M185="N.D."),0,IFERROR(IF(OR(OR(ISNUMBER(SEARCH("%",O185)),ISNUMBER(SEARCH(" ",O185)),ISNUMBER(SEARCH(",",O185))),OR(SUBSTITUTE(SUBSTITUTE(SUBSTITUTE(SUBSTITUTE(SUBSTITUTE(SUBSTITUTE(SUBSTITUTE(SUBSTITUTE(SUBSTITUTE(SUBSTITUTE(SUBSTITUTE(SUBSTITUTE(SUBSTITUTE(SUBSTITUTE(SUBSTITUTE(SUBSTITUTE(SUBSTITUTE(SUBSTITUTE("x"&amp;M185,"0",""),"1",""),"2",""),"3",""),"4",""),"5",""),"6",""),"7",""),"8",""),"9",""),".",""),"E",""),"+",""),"-",""),"&lt;",""),"&gt;",""),"=","")," ","")&lt;&gt;"x",ISNUMBER(SEARCH("-",SUBSTITUTE(SUBSTITUTE("x"&amp;MID(M185,2,99),"E-","E"),"E+","E"))),ISNUMBER(SEARCH("+",SUBSTITUTE(SUBSTITUTE("x"&amp;MID(M185,2,99),"E-","E"),"E+","E"))))),"",IF(AND(OR(LEFT(M185,1)="&lt;",LEFT(M185,1)="&gt;"),IF(O185="",0,IF(ISNUMBER(AH185),AH185,NA()))&lt;0),"",IF(O185="",0,IF(ISNUMBER(AH185),AH185,NA()))/IF(LEFT(M185,1)="&lt;",2,1))),"")))</f>
        <v/>
      </c>
      <c r="H185" s="57" t="inlineStr">
        <is>
          <t>BH04-W_20260415_02</t>
        </is>
      </c>
      <c r="I185" s="92">
        <f>IF(OR(H185="",AI185=0),0,IF(INDEX(Samples[樣品重複筆數],AI185)=1,AI185,0))</f>
        <v/>
      </c>
      <c r="J185" s="92">
        <f>IF(OR(COUNTA($A185:$D185)=0,I185=0),"",IF(INDEX(Samples[介質],I185)="","",INDEX(Samples[介質],I185)))</f>
        <v/>
      </c>
      <c r="K185" s="92">
        <f>IF(OR(COUNTA($A185:$D185)=0,T185=0),"",IF(INDEX(DB_04[標準單位],T185)="","",INDEX(DB_04[標準單位],T185)))</f>
        <v/>
      </c>
      <c r="L185" s="92">
        <f>IF(COUNTA($A185:$D185)=0,"",IF(OR(C185="",K185=""),"",IF(C185=K185,1,IF(COUNTIFS(DB_06[換算鍵],C185&amp;"|"&amp;K185,DB_06[換算檢查],"OK")=1,INDEX(DB_06[乘數],MATCH(C185&amp;"|"&amp;K185,DB_06[換算鍵],0)),""))))</f>
        <v/>
      </c>
      <c r="M185" s="92">
        <f>UPPER(SUBSTITUTE(SUBSTITUTE(SUBSTITUTE(SUBSTITUTE(TRIM(B185&amp;""),"＜","&lt;"),"＞","&gt;"),"≤","&lt;="),"≥","&gt;="))</f>
        <v/>
      </c>
      <c r="N185" s="92">
        <f>IF(M185="","",IF(OR(M185="ND",M185="N.D."),"ND",IF(OR(M185="NA",M185="N/A",M185="N.A."),"NA",IF(OR(LEFT(M185,2)="&lt;=",LEFT(M185,2)="&gt;="),LEFT(M185,2),IF(OR(LEFT(M185,1)="&lt;",LEFT(M185,1)="&gt;"),LEFT(M185,1),"數值")))))</f>
        <v/>
      </c>
      <c r="O185" s="92">
        <f>IF(OR(N185="",N185="ND",N185="NA"),"",IF(N185="數值",M185,TRIM(MID(M185,LEN(N185)+1,99))))</f>
        <v/>
      </c>
      <c r="P185" s="92">
        <f>IF(O185="","",IFERROR(IF(OR(OR(ISNUMBER(SEARCH("%",O185)),ISNUMBER(SEARCH(" ",O185)),ISNUMBER(SEARCH(",",O185))),OR(SUBSTITUTE(SUBSTITUTE(SUBSTITUTE(SUBSTITUTE(SUBSTITUTE(SUBSTITUTE(SUBSTITUTE(SUBSTITUTE(SUBSTITUTE(SUBSTITUTE(SUBSTITUTE(SUBSTITUTE(SUBSTITUTE(SUBSTITUTE(SUBSTITUTE(SUBSTITUTE(SUBSTITUTE(SUBSTITUTE("x"&amp;O185,"0",""),"1",""),"2",""),"3",""),"4",""),"5",""),"6",""),"7",""),"8",""),"9",""),".",""),"E",""),"+",""),"-",""),"&lt;",""),"&gt;",""),"=","")," ","")&lt;&gt;"x",ISNUMBER(SEARCH("-",SUBSTITUTE(SUBSTITUTE("x"&amp;MID(O185,2,99),"E-","E"),"E+","E"))),ISNUMBER(SEARCH("+",SUBSTITUTE(SUBSTITUTE("x"&amp;MID(O185,2,99),"E-","E"),"E+","E"))))),"",IF(ISNUMBER(AH185),AH185,NA())),""))</f>
        <v/>
      </c>
      <c r="Q185" s="92">
        <f>IF(AND(ISNUMBER(L185),ISNUMBER(P185)),L185*P185,"")</f>
        <v/>
      </c>
      <c r="R185" s="92">
        <f>IF(OR(COUNTA($A185:$D185)=0,U185=0),"",IF(INDEX(DB_05[管制設定值],U185)="","",INDEX(DB_05[管制設定值],U185)))</f>
        <v/>
      </c>
      <c r="S185" s="92">
        <f>IF(OR(COUNTA($A185:$D185)=0,U185=0),"",IF(INDEX(DB_05[監測設定值],U185)="","",INDEX(DB_05[監測設定值],U185)))</f>
        <v/>
      </c>
      <c r="T185" s="92">
        <f>IF(COUNTA($A185:$D185)=0,"",IF(COUNTIFS(DB_04[測項鍵],V185)=1,MATCH(V185,DB_04[測項鍵],0),0))</f>
        <v/>
      </c>
      <c r="U185" s="92">
        <f>IF(COUNTA($A185:$D185)=0,"",IF(COUNTIFS(DB_05[標準鍵],W185)=1,MATCH(W185,DB_05[標準鍵],0),0))</f>
        <v/>
      </c>
      <c r="V185" s="92">
        <f>IF(OR(J185="",A185=""),"",J185&amp;"|"&amp;A185)</f>
        <v/>
      </c>
      <c r="W185" s="92">
        <f>IF(OR('07_QAQC'!$C$3="",V185=""),"",'07_QAQC'!$C$3&amp;"|"&amp;V185)</f>
        <v/>
      </c>
      <c r="X185" s="92">
        <f>IF(OR(H185="",A185=""),"",LEN(H185)&amp;":"&amp;H185&amp;LEN(A185)&amp;":"&amp;A185)</f>
        <v/>
      </c>
      <c r="Y185" s="93">
        <f>IF(COUNTA($A185:$D185)=0,"",IF(I185=0,"樣品未建或重複",IF(INDEX(Samples[樣品檢查],I185)="","OK",INDEX(Samples[樣品檢查],I185))))</f>
        <v/>
      </c>
      <c r="Z185" s="93">
        <f>IF(COUNTA($A185:$D185)=0,"",IF(B185="","缺原始值",IF(OR(B185="-",B185="--"),"無資料",IF(N185="NA","不適用",IF(N185="ND","OK",IF(NOT(ISNUMBER(P185)),"格式待核",IF(AND(N185&lt;&gt;"數值",P185&lt;0),"界限不得為負","OK")))))))</f>
        <v/>
      </c>
      <c r="AA185" s="93">
        <f>IF(COUNTA(A185:D185)=0,"",IF(OR(A185="",H185=""),"缺識別欄位",IF(IF(LEN("="&amp;SUBSTITUTE(SUBSTITUTE(SUBSTITUTE(X185,"~","~~"),"*","~*"),"?","~?"))&lt;=255,COUNTIF(Results[結果識別鍵],"="&amp;SUBSTITUTE(SUBSTITUTE(SUBSTITUTE(X185,"~","~~"),"*","~*"),"?","~?")),COUNTIFS(Results[關聯鍵],"="&amp;SUBSTITUTE(SUBSTITUTE(SUBSTITUTE(H185,"~","~~"),"*","~*"),"?","~?"),Results[分析項目],"="&amp;SUBSTITUTE(SUBSTITUTE(SUBSTITUTE(A185,"~","~~"),"*","~*"),"?","~?")))&gt;1,"同關聯鍵測項重複","OK")))</f>
        <v/>
      </c>
      <c r="AB185" s="93">
        <f>IF(COUNTA($A185:$D185)=0,"",IF(OR(C185="",K185=""),"缺單位",IF(NOT(ISNUMBER(L185)),"單位不相容",IF(L185=1,"OK","已換算"))))</f>
        <v/>
      </c>
      <c r="AC185" s="93">
        <f>IF(COUNTA($A185:$D185)=0,"",IF('07_QAQC'!$C$3="","未選比較版本",IF(U185=0,IF(COUNTIFS(DB_05[標準鍵],W185)&gt;1,"標準鍵重複","未訂此介質／測項門檻"),IF(INDEX(DB_05[版本檢查],U185)&lt;&gt;"OK","標準主檔待核",IF(INDEX(DB_05[標準單位],U185)&lt;&gt;K185,"標準單位不符",IF(INDEX(DB_05[核對狀態],U185)="停用","停用",IF(F185="","缺採樣日期",IF(OR(AND(INDEX(DB_05[生效日],U185)&lt;&gt;"",F185&lt;INDEX(DB_05[生效日],U185)),AND(INDEX(DB_05[失效日],U185)&lt;&gt;"",F185&gt;INDEX(DB_05[失效日],U185))),"日期不適用",INDEX(DB_05[核對狀態],U185)))))))))</f>
        <v/>
      </c>
      <c r="AD185" s="93">
        <f>IF(COUNTA($A185:$D185)=0,"",IF(AC185="未訂此介質／測項門檻",AC185,IF(AC185&lt;&gt;"已核對","標準待核",IF(R185="","未訂管制值",IF(NOT(ISNUMBER(L185)),"單位待核",IF(N185="ND","無法判定（ND無界限）",IF(N185="NA","不適用",IF(Z185&lt;&gt;"OK",Z185,IF(N185="數值",IF(Q185&gt;=R185,"達管制值","未達管制值"),IF(OR(N185="&lt;",N185="&lt;="),IF(OR(Q185&lt;R185,AND(N185="&lt;",Q185=R185)),"未達管制值","無法判定"),IF(OR(N185="&gt;",N185="&gt;="),IF(Q185&gt;=R185,"達管制值","無法判定"),"格式待核")))))))))))</f>
        <v/>
      </c>
      <c r="AE185" s="93">
        <f>IF(COUNTA($A185:$D185)=0,"",IF(AC185="未訂此介質／測項門檻",AC185,IF(AC185&lt;&gt;"已核對","標準待核",IF(S185="","未訂監測值",IF(NOT(ISNUMBER(L185)),"單位待核",IF(N185="ND","無法判定（ND無界限）",IF(N185="NA","不適用",IF(Z185&lt;&gt;"OK",Z185,IF(N185="數值",IF(Q185&gt;=S185,"達監測值","未達監測值"),IF(OR(N185="&lt;",N185="&lt;="),IF(OR(Q185&lt;S185,AND(N185="&lt;",Q185=S185)),"未達監測值","無法判定"),IF(OR(N185="&gt;",N185="&gt;="),IF(Q185&gt;=S185,"達監測值","無法判定"),"格式待核")))))))))))</f>
        <v/>
      </c>
      <c r="AF185" s="93">
        <f>IF(COUNTA($A185:$D185)=0,"",IF(OR(E185="",A185="",B185="",C185=""),"缺必要欄位",IF(Y185&lt;&gt;"OK","樣品資料待補",IF(T185=0,"測項未建或重複",IF(INDEX(DB_04[啟用],T185)&lt;&gt;"是","測項停用",IF(AND(Z185&lt;&gt;"OK",Z185&lt;&gt;"不適用"),Z185,IF(AND(AB185&lt;&gt;"OK",AB185&lt;&gt;"已換算"),"單位待核",IF(AA185&lt;&gt;"OK",AA185,"OK"))))))))</f>
        <v/>
      </c>
      <c r="AG185" s="93">
        <f>IF(COUNTA($A185:$D185)=0,"",IF(N185="ND","ND取0",IF(OR(N185="&lt;",N185="&lt;="),"界限除以2",IF(N185="NA","不適用",IF(OR(N185="&gt;",N185="&gt;="),"保留界限數值","保留原數值")))))</f>
        <v/>
      </c>
      <c r="AH185" s="92">
        <f>IF(O185="","",IFERROR(_xlfn.NUMBERVALUE(O185,".",","),""))</f>
        <v/>
      </c>
      <c r="AI185" s="92">
        <f>IF(H185="","",IFERROR(MATCH(H185,Samples[樣品編號],0),0))</f>
        <v/>
      </c>
    </row>
    <row r="186">
      <c r="A186" s="27" t="inlineStr">
        <is>
          <t>鋅</t>
        </is>
      </c>
      <c r="B186" s="28" t="inlineStr">
        <is>
          <t>170</t>
        </is>
      </c>
      <c r="C186" s="27" t="inlineStr">
        <is>
          <t>mg/kg</t>
        </is>
      </c>
      <c r="D186" s="39" t="inlineStr">
        <is>
          <t>合成資料，非實測；method=XRF; basis=dry</t>
        </is>
      </c>
      <c r="E186" s="29">
        <f>IF(OR(I186="",I186=0),"",IF(INDEX(Samples[監測點],I186)="","",INDEX(Samples[監測點],I186)))</f>
        <v/>
      </c>
      <c r="F186" s="90">
        <f>IF(OR(I186="",I186=0),"",IF(INDEX(Samples[採樣日期],I186)="","",INDEX(Samples[採樣日期],I186)))</f>
        <v/>
      </c>
      <c r="G186" s="91">
        <f>IF(OR(M186="",M186="NA",M186="N/A"),"",IF(OR(M186="ND",M186="N.D."),0,IFERROR(IF(OR(OR(ISNUMBER(SEARCH("%",O186)),ISNUMBER(SEARCH(" ",O186)),ISNUMBER(SEARCH(",",O186))),OR(SUBSTITUTE(SUBSTITUTE(SUBSTITUTE(SUBSTITUTE(SUBSTITUTE(SUBSTITUTE(SUBSTITUTE(SUBSTITUTE(SUBSTITUTE(SUBSTITUTE(SUBSTITUTE(SUBSTITUTE(SUBSTITUTE(SUBSTITUTE(SUBSTITUTE(SUBSTITUTE(SUBSTITUTE(SUBSTITUTE("x"&amp;M186,"0",""),"1",""),"2",""),"3",""),"4",""),"5",""),"6",""),"7",""),"8",""),"9",""),".",""),"E",""),"+",""),"-",""),"&lt;",""),"&gt;",""),"=","")," ","")&lt;&gt;"x",ISNUMBER(SEARCH("-",SUBSTITUTE(SUBSTITUTE("x"&amp;MID(M186,2,99),"E-","E"),"E+","E"))),ISNUMBER(SEARCH("+",SUBSTITUTE(SUBSTITUTE("x"&amp;MID(M186,2,99),"E-","E"),"E+","E"))))),"",IF(AND(OR(LEFT(M186,1)="&lt;",LEFT(M186,1)="&gt;"),IF(O186="",0,IF(ISNUMBER(AH186),AH186,NA()))&lt;0),"",IF(O186="",0,IF(ISNUMBER(AH186),AH186,NA()))/IF(LEFT(M186,1)="&lt;",2,1))),"")))</f>
        <v/>
      </c>
      <c r="H186" s="57" t="inlineStr">
        <is>
          <t>BH04-S_20260415_03</t>
        </is>
      </c>
      <c r="I186" s="92">
        <f>IF(OR(H186="",AI186=0),0,IF(INDEX(Samples[樣品重複筆數],AI186)=1,AI186,0))</f>
        <v/>
      </c>
      <c r="J186" s="92">
        <f>IF(OR(COUNTA($A186:$D186)=0,I186=0),"",IF(INDEX(Samples[介質],I186)="","",INDEX(Samples[介質],I186)))</f>
        <v/>
      </c>
      <c r="K186" s="92">
        <f>IF(OR(COUNTA($A186:$D186)=0,T186=0),"",IF(INDEX(DB_04[標準單位],T186)="","",INDEX(DB_04[標準單位],T186)))</f>
        <v/>
      </c>
      <c r="L186" s="92">
        <f>IF(COUNTA($A186:$D186)=0,"",IF(OR(C186="",K186=""),"",IF(C186=K186,1,IF(COUNTIFS(DB_06[換算鍵],C186&amp;"|"&amp;K186,DB_06[換算檢查],"OK")=1,INDEX(DB_06[乘數],MATCH(C186&amp;"|"&amp;K186,DB_06[換算鍵],0)),""))))</f>
        <v/>
      </c>
      <c r="M186" s="92">
        <f>UPPER(SUBSTITUTE(SUBSTITUTE(SUBSTITUTE(SUBSTITUTE(TRIM(B186&amp;""),"＜","&lt;"),"＞","&gt;"),"≤","&lt;="),"≥","&gt;="))</f>
        <v/>
      </c>
      <c r="N186" s="92">
        <f>IF(M186="","",IF(OR(M186="ND",M186="N.D."),"ND",IF(OR(M186="NA",M186="N/A",M186="N.A."),"NA",IF(OR(LEFT(M186,2)="&lt;=",LEFT(M186,2)="&gt;="),LEFT(M186,2),IF(OR(LEFT(M186,1)="&lt;",LEFT(M186,1)="&gt;"),LEFT(M186,1),"數值")))))</f>
        <v/>
      </c>
      <c r="O186" s="92">
        <f>IF(OR(N186="",N186="ND",N186="NA"),"",IF(N186="數值",M186,TRIM(MID(M186,LEN(N186)+1,99))))</f>
        <v/>
      </c>
      <c r="P186" s="92">
        <f>IF(O186="","",IFERROR(IF(OR(OR(ISNUMBER(SEARCH("%",O186)),ISNUMBER(SEARCH(" ",O186)),ISNUMBER(SEARCH(",",O186))),OR(SUBSTITUTE(SUBSTITUTE(SUBSTITUTE(SUBSTITUTE(SUBSTITUTE(SUBSTITUTE(SUBSTITUTE(SUBSTITUTE(SUBSTITUTE(SUBSTITUTE(SUBSTITUTE(SUBSTITUTE(SUBSTITUTE(SUBSTITUTE(SUBSTITUTE(SUBSTITUTE(SUBSTITUTE(SUBSTITUTE("x"&amp;O186,"0",""),"1",""),"2",""),"3",""),"4",""),"5",""),"6",""),"7",""),"8",""),"9",""),".",""),"E",""),"+",""),"-",""),"&lt;",""),"&gt;",""),"=","")," ","")&lt;&gt;"x",ISNUMBER(SEARCH("-",SUBSTITUTE(SUBSTITUTE("x"&amp;MID(O186,2,99),"E-","E"),"E+","E"))),ISNUMBER(SEARCH("+",SUBSTITUTE(SUBSTITUTE("x"&amp;MID(O186,2,99),"E-","E"),"E+","E"))))),"",IF(ISNUMBER(AH186),AH186,NA())),""))</f>
        <v/>
      </c>
      <c r="Q186" s="92">
        <f>IF(AND(ISNUMBER(L186),ISNUMBER(P186)),L186*P186,"")</f>
        <v/>
      </c>
      <c r="R186" s="92">
        <f>IF(OR(COUNTA($A186:$D186)=0,U186=0),"",IF(INDEX(DB_05[管制設定值],U186)="","",INDEX(DB_05[管制設定值],U186)))</f>
        <v/>
      </c>
      <c r="S186" s="92">
        <f>IF(OR(COUNTA($A186:$D186)=0,U186=0),"",IF(INDEX(DB_05[監測設定值],U186)="","",INDEX(DB_05[監測設定值],U186)))</f>
        <v/>
      </c>
      <c r="T186" s="92">
        <f>IF(COUNTA($A186:$D186)=0,"",IF(COUNTIFS(DB_04[測項鍵],V186)=1,MATCH(V186,DB_04[測項鍵],0),0))</f>
        <v/>
      </c>
      <c r="U186" s="92">
        <f>IF(COUNTA($A186:$D186)=0,"",IF(COUNTIFS(DB_05[標準鍵],W186)=1,MATCH(W186,DB_05[標準鍵],0),0))</f>
        <v/>
      </c>
      <c r="V186" s="92">
        <f>IF(OR(J186="",A186=""),"",J186&amp;"|"&amp;A186)</f>
        <v/>
      </c>
      <c r="W186" s="92">
        <f>IF(OR('07_QAQC'!$C$3="",V186=""),"",'07_QAQC'!$C$3&amp;"|"&amp;V186)</f>
        <v/>
      </c>
      <c r="X186" s="92">
        <f>IF(OR(H186="",A186=""),"",LEN(H186)&amp;":"&amp;H186&amp;LEN(A186)&amp;":"&amp;A186)</f>
        <v/>
      </c>
      <c r="Y186" s="93">
        <f>IF(COUNTA($A186:$D186)=0,"",IF(I186=0,"樣品未建或重複",IF(INDEX(Samples[樣品檢查],I186)="","OK",INDEX(Samples[樣品檢查],I186))))</f>
        <v/>
      </c>
      <c r="Z186" s="93">
        <f>IF(COUNTA($A186:$D186)=0,"",IF(B186="","缺原始值",IF(OR(B186="-",B186="--"),"無資料",IF(N186="NA","不適用",IF(N186="ND","OK",IF(NOT(ISNUMBER(P186)),"格式待核",IF(AND(N186&lt;&gt;"數值",P186&lt;0),"界限不得為負","OK")))))))</f>
        <v/>
      </c>
      <c r="AA186" s="93">
        <f>IF(COUNTA(A186:D186)=0,"",IF(OR(A186="",H186=""),"缺識別欄位",IF(IF(LEN("="&amp;SUBSTITUTE(SUBSTITUTE(SUBSTITUTE(X186,"~","~~"),"*","~*"),"?","~?"))&lt;=255,COUNTIF(Results[結果識別鍵],"="&amp;SUBSTITUTE(SUBSTITUTE(SUBSTITUTE(X186,"~","~~"),"*","~*"),"?","~?")),COUNTIFS(Results[關聯鍵],"="&amp;SUBSTITUTE(SUBSTITUTE(SUBSTITUTE(H186,"~","~~"),"*","~*"),"?","~?"),Results[分析項目],"="&amp;SUBSTITUTE(SUBSTITUTE(SUBSTITUTE(A186,"~","~~"),"*","~*"),"?","~?")))&gt;1,"同關聯鍵測項重複","OK")))</f>
        <v/>
      </c>
      <c r="AB186" s="93">
        <f>IF(COUNTA($A186:$D186)=0,"",IF(OR(C186="",K186=""),"缺單位",IF(NOT(ISNUMBER(L186)),"單位不相容",IF(L186=1,"OK","已換算"))))</f>
        <v/>
      </c>
      <c r="AC186" s="93">
        <f>IF(COUNTA($A186:$D186)=0,"",IF('07_QAQC'!$C$3="","未選比較版本",IF(U186=0,IF(COUNTIFS(DB_05[標準鍵],W186)&gt;1,"標準鍵重複","未訂此介質／測項門檻"),IF(INDEX(DB_05[版本檢查],U186)&lt;&gt;"OK","標準主檔待核",IF(INDEX(DB_05[標準單位],U186)&lt;&gt;K186,"標準單位不符",IF(INDEX(DB_05[核對狀態],U186)="停用","停用",IF(F186="","缺採樣日期",IF(OR(AND(INDEX(DB_05[生效日],U186)&lt;&gt;"",F186&lt;INDEX(DB_05[生效日],U186)),AND(INDEX(DB_05[失效日],U186)&lt;&gt;"",F186&gt;INDEX(DB_05[失效日],U186))),"日期不適用",INDEX(DB_05[核對狀態],U186)))))))))</f>
        <v/>
      </c>
      <c r="AD186" s="93">
        <f>IF(COUNTA($A186:$D186)=0,"",IF(AC186="未訂此介質／測項門檻",AC186,IF(AC186&lt;&gt;"已核對","標準待核",IF(R186="","未訂管制值",IF(NOT(ISNUMBER(L186)),"單位待核",IF(N186="ND","無法判定（ND無界限）",IF(N186="NA","不適用",IF(Z186&lt;&gt;"OK",Z186,IF(N186="數值",IF(Q186&gt;=R186,"達管制值","未達管制值"),IF(OR(N186="&lt;",N186="&lt;="),IF(OR(Q186&lt;R186,AND(N186="&lt;",Q186=R186)),"未達管制值","無法判定"),IF(OR(N186="&gt;",N186="&gt;="),IF(Q186&gt;=R186,"達管制值","無法判定"),"格式待核")))))))))))</f>
        <v/>
      </c>
      <c r="AE186" s="93">
        <f>IF(COUNTA($A186:$D186)=0,"",IF(AC186="未訂此介質／測項門檻",AC186,IF(AC186&lt;&gt;"已核對","標準待核",IF(S186="","未訂監測值",IF(NOT(ISNUMBER(L186)),"單位待核",IF(N186="ND","無法判定（ND無界限）",IF(N186="NA","不適用",IF(Z186&lt;&gt;"OK",Z186,IF(N186="數值",IF(Q186&gt;=S186,"達監測值","未達監測值"),IF(OR(N186="&lt;",N186="&lt;="),IF(OR(Q186&lt;S186,AND(N186="&lt;",Q186=S186)),"未達監測值","無法判定"),IF(OR(N186="&gt;",N186="&gt;="),IF(Q186&gt;=S186,"達監測值","無法判定"),"格式待核")))))))))))</f>
        <v/>
      </c>
      <c r="AF186" s="93">
        <f>IF(COUNTA($A186:$D186)=0,"",IF(OR(E186="",A186="",B186="",C186=""),"缺必要欄位",IF(Y186&lt;&gt;"OK","樣品資料待補",IF(T186=0,"測項未建或重複",IF(INDEX(DB_04[啟用],T186)&lt;&gt;"是","測項停用",IF(AND(Z186&lt;&gt;"OK",Z186&lt;&gt;"不適用"),Z186,IF(AND(AB186&lt;&gt;"OK",AB186&lt;&gt;"已換算"),"單位待核",IF(AA186&lt;&gt;"OK",AA186,"OK"))))))))</f>
        <v/>
      </c>
      <c r="AG186" s="93">
        <f>IF(COUNTA($A186:$D186)=0,"",IF(N186="ND","ND取0",IF(OR(N186="&lt;",N186="&lt;="),"界限除以2",IF(N186="NA","不適用",IF(OR(N186="&gt;",N186="&gt;="),"保留界限數值","保留原數值")))))</f>
        <v/>
      </c>
      <c r="AH186" s="92">
        <f>IF(O186="","",IFERROR(_xlfn.NUMBERVALUE(O186,".",","),""))</f>
        <v/>
      </c>
      <c r="AI186" s="92">
        <f>IF(H186="","",IFERROR(MATCH(H186,Samples[樣品編號],0),0))</f>
        <v/>
      </c>
    </row>
    <row r="187">
      <c r="A187" s="27" t="inlineStr">
        <is>
          <t>總有機碳</t>
        </is>
      </c>
      <c r="B187" s="28" t="inlineStr">
        <is>
          <t>0.5</t>
        </is>
      </c>
      <c r="C187" s="27" t="inlineStr">
        <is>
          <t>%</t>
        </is>
      </c>
      <c r="D187" s="39" t="inlineStr">
        <is>
          <t>合成資料，非實測；method=lab; basis=dry</t>
        </is>
      </c>
      <c r="E187" s="29">
        <f>IF(OR(I187="",I187=0),"",IF(INDEX(Samples[監測點],I187)="","",INDEX(Samples[監測點],I187)))</f>
        <v/>
      </c>
      <c r="F187" s="90">
        <f>IF(OR(I187="",I187=0),"",IF(INDEX(Samples[採樣日期],I187)="","",INDEX(Samples[採樣日期],I187)))</f>
        <v/>
      </c>
      <c r="G187" s="91">
        <f>IF(OR(M187="",M187="NA",M187="N/A"),"",IF(OR(M187="ND",M187="N.D."),0,IFERROR(IF(OR(OR(ISNUMBER(SEARCH("%",O187)),ISNUMBER(SEARCH(" ",O187)),ISNUMBER(SEARCH(",",O187))),OR(SUBSTITUTE(SUBSTITUTE(SUBSTITUTE(SUBSTITUTE(SUBSTITUTE(SUBSTITUTE(SUBSTITUTE(SUBSTITUTE(SUBSTITUTE(SUBSTITUTE(SUBSTITUTE(SUBSTITUTE(SUBSTITUTE(SUBSTITUTE(SUBSTITUTE(SUBSTITUTE(SUBSTITUTE(SUBSTITUTE("x"&amp;M187,"0",""),"1",""),"2",""),"3",""),"4",""),"5",""),"6",""),"7",""),"8",""),"9",""),".",""),"E",""),"+",""),"-",""),"&lt;",""),"&gt;",""),"=","")," ","")&lt;&gt;"x",ISNUMBER(SEARCH("-",SUBSTITUTE(SUBSTITUTE("x"&amp;MID(M187,2,99),"E-","E"),"E+","E"))),ISNUMBER(SEARCH("+",SUBSTITUTE(SUBSTITUTE("x"&amp;MID(M187,2,99),"E-","E"),"E+","E"))))),"",IF(AND(OR(LEFT(M187,1)="&lt;",LEFT(M187,1)="&gt;"),IF(O187="",0,IF(ISNUMBER(AH187),AH187,NA()))&lt;0),"",IF(O187="",0,IF(ISNUMBER(AH187),AH187,NA()))/IF(LEFT(M187,1)="&lt;",2,1))),"")))</f>
        <v/>
      </c>
      <c r="H187" s="57" t="inlineStr">
        <is>
          <t>BH04-S_20260415_03</t>
        </is>
      </c>
      <c r="I187" s="92">
        <f>IF(OR(H187="",AI187=0),0,IF(INDEX(Samples[樣品重複筆數],AI187)=1,AI187,0))</f>
        <v/>
      </c>
      <c r="J187" s="92">
        <f>IF(OR(COUNTA($A187:$D187)=0,I187=0),"",IF(INDEX(Samples[介質],I187)="","",INDEX(Samples[介質],I187)))</f>
        <v/>
      </c>
      <c r="K187" s="92">
        <f>IF(OR(COUNTA($A187:$D187)=0,T187=0),"",IF(INDEX(DB_04[標準單位],T187)="","",INDEX(DB_04[標準單位],T187)))</f>
        <v/>
      </c>
      <c r="L187" s="92">
        <f>IF(COUNTA($A187:$D187)=0,"",IF(OR(C187="",K187=""),"",IF(C187=K187,1,IF(COUNTIFS(DB_06[換算鍵],C187&amp;"|"&amp;K187,DB_06[換算檢查],"OK")=1,INDEX(DB_06[乘數],MATCH(C187&amp;"|"&amp;K187,DB_06[換算鍵],0)),""))))</f>
        <v/>
      </c>
      <c r="M187" s="92">
        <f>UPPER(SUBSTITUTE(SUBSTITUTE(SUBSTITUTE(SUBSTITUTE(TRIM(B187&amp;""),"＜","&lt;"),"＞","&gt;"),"≤","&lt;="),"≥","&gt;="))</f>
        <v/>
      </c>
      <c r="N187" s="92">
        <f>IF(M187="","",IF(OR(M187="ND",M187="N.D."),"ND",IF(OR(M187="NA",M187="N/A",M187="N.A."),"NA",IF(OR(LEFT(M187,2)="&lt;=",LEFT(M187,2)="&gt;="),LEFT(M187,2),IF(OR(LEFT(M187,1)="&lt;",LEFT(M187,1)="&gt;"),LEFT(M187,1),"數值")))))</f>
        <v/>
      </c>
      <c r="O187" s="92">
        <f>IF(OR(N187="",N187="ND",N187="NA"),"",IF(N187="數值",M187,TRIM(MID(M187,LEN(N187)+1,99))))</f>
        <v/>
      </c>
      <c r="P187" s="92">
        <f>IF(O187="","",IFERROR(IF(OR(OR(ISNUMBER(SEARCH("%",O187)),ISNUMBER(SEARCH(" ",O187)),ISNUMBER(SEARCH(",",O187))),OR(SUBSTITUTE(SUBSTITUTE(SUBSTITUTE(SUBSTITUTE(SUBSTITUTE(SUBSTITUTE(SUBSTITUTE(SUBSTITUTE(SUBSTITUTE(SUBSTITUTE(SUBSTITUTE(SUBSTITUTE(SUBSTITUTE(SUBSTITUTE(SUBSTITUTE(SUBSTITUTE(SUBSTITUTE(SUBSTITUTE("x"&amp;O187,"0",""),"1",""),"2",""),"3",""),"4",""),"5",""),"6",""),"7",""),"8",""),"9",""),".",""),"E",""),"+",""),"-",""),"&lt;",""),"&gt;",""),"=","")," ","")&lt;&gt;"x",ISNUMBER(SEARCH("-",SUBSTITUTE(SUBSTITUTE("x"&amp;MID(O187,2,99),"E-","E"),"E+","E"))),ISNUMBER(SEARCH("+",SUBSTITUTE(SUBSTITUTE("x"&amp;MID(O187,2,99),"E-","E"),"E+","E"))))),"",IF(ISNUMBER(AH187),AH187,NA())),""))</f>
        <v/>
      </c>
      <c r="Q187" s="92">
        <f>IF(AND(ISNUMBER(L187),ISNUMBER(P187)),L187*P187,"")</f>
        <v/>
      </c>
      <c r="R187" s="92">
        <f>IF(OR(COUNTA($A187:$D187)=0,U187=0),"",IF(INDEX(DB_05[管制設定值],U187)="","",INDEX(DB_05[管制設定值],U187)))</f>
        <v/>
      </c>
      <c r="S187" s="92">
        <f>IF(OR(COUNTA($A187:$D187)=0,U187=0),"",IF(INDEX(DB_05[監測設定值],U187)="","",INDEX(DB_05[監測設定值],U187)))</f>
        <v/>
      </c>
      <c r="T187" s="92">
        <f>IF(COUNTA($A187:$D187)=0,"",IF(COUNTIFS(DB_04[測項鍵],V187)=1,MATCH(V187,DB_04[測項鍵],0),0))</f>
        <v/>
      </c>
      <c r="U187" s="92">
        <f>IF(COUNTA($A187:$D187)=0,"",IF(COUNTIFS(DB_05[標準鍵],W187)=1,MATCH(W187,DB_05[標準鍵],0),0))</f>
        <v/>
      </c>
      <c r="V187" s="92">
        <f>IF(OR(J187="",A187=""),"",J187&amp;"|"&amp;A187)</f>
        <v/>
      </c>
      <c r="W187" s="92">
        <f>IF(OR('07_QAQC'!$C$3="",V187=""),"",'07_QAQC'!$C$3&amp;"|"&amp;V187)</f>
        <v/>
      </c>
      <c r="X187" s="92">
        <f>IF(OR(H187="",A187=""),"",LEN(H187)&amp;":"&amp;H187&amp;LEN(A187)&amp;":"&amp;A187)</f>
        <v/>
      </c>
      <c r="Y187" s="93">
        <f>IF(COUNTA($A187:$D187)=0,"",IF(I187=0,"樣品未建或重複",IF(INDEX(Samples[樣品檢查],I187)="","OK",INDEX(Samples[樣品檢查],I187))))</f>
        <v/>
      </c>
      <c r="Z187" s="93">
        <f>IF(COUNTA($A187:$D187)=0,"",IF(B187="","缺原始值",IF(OR(B187="-",B187="--"),"無資料",IF(N187="NA","不適用",IF(N187="ND","OK",IF(NOT(ISNUMBER(P187)),"格式待核",IF(AND(N187&lt;&gt;"數值",P187&lt;0),"界限不得為負","OK")))))))</f>
        <v/>
      </c>
      <c r="AA187" s="93">
        <f>IF(COUNTA(A187:D187)=0,"",IF(OR(A187="",H187=""),"缺識別欄位",IF(IF(LEN("="&amp;SUBSTITUTE(SUBSTITUTE(SUBSTITUTE(X187,"~","~~"),"*","~*"),"?","~?"))&lt;=255,COUNTIF(Results[結果識別鍵],"="&amp;SUBSTITUTE(SUBSTITUTE(SUBSTITUTE(X187,"~","~~"),"*","~*"),"?","~?")),COUNTIFS(Results[關聯鍵],"="&amp;SUBSTITUTE(SUBSTITUTE(SUBSTITUTE(H187,"~","~~"),"*","~*"),"?","~?"),Results[分析項目],"="&amp;SUBSTITUTE(SUBSTITUTE(SUBSTITUTE(A187,"~","~~"),"*","~*"),"?","~?")))&gt;1,"同關聯鍵測項重複","OK")))</f>
        <v/>
      </c>
      <c r="AB187" s="93">
        <f>IF(COUNTA($A187:$D187)=0,"",IF(OR(C187="",K187=""),"缺單位",IF(NOT(ISNUMBER(L187)),"單位不相容",IF(L187=1,"OK","已換算"))))</f>
        <v/>
      </c>
      <c r="AC187" s="93">
        <f>IF(COUNTA($A187:$D187)=0,"",IF('07_QAQC'!$C$3="","未選比較版本",IF(U187=0,IF(COUNTIFS(DB_05[標準鍵],W187)&gt;1,"標準鍵重複","未訂此介質／測項門檻"),IF(INDEX(DB_05[版本檢查],U187)&lt;&gt;"OK","標準主檔待核",IF(INDEX(DB_05[標準單位],U187)&lt;&gt;K187,"標準單位不符",IF(INDEX(DB_05[核對狀態],U187)="停用","停用",IF(F187="","缺採樣日期",IF(OR(AND(INDEX(DB_05[生效日],U187)&lt;&gt;"",F187&lt;INDEX(DB_05[生效日],U187)),AND(INDEX(DB_05[失效日],U187)&lt;&gt;"",F187&gt;INDEX(DB_05[失效日],U187))),"日期不適用",INDEX(DB_05[核對狀態],U187)))))))))</f>
        <v/>
      </c>
      <c r="AD187" s="93">
        <f>IF(COUNTA($A187:$D187)=0,"",IF(AC187="未訂此介質／測項門檻",AC187,IF(AC187&lt;&gt;"已核對","標準待核",IF(R187="","未訂管制值",IF(NOT(ISNUMBER(L187)),"單位待核",IF(N187="ND","無法判定（ND無界限）",IF(N187="NA","不適用",IF(Z187&lt;&gt;"OK",Z187,IF(N187="數值",IF(Q187&gt;=R187,"達管制值","未達管制值"),IF(OR(N187="&lt;",N187="&lt;="),IF(OR(Q187&lt;R187,AND(N187="&lt;",Q187=R187)),"未達管制值","無法判定"),IF(OR(N187="&gt;",N187="&gt;="),IF(Q187&gt;=R187,"達管制值","無法判定"),"格式待核")))))))))))</f>
        <v/>
      </c>
      <c r="AE187" s="93">
        <f>IF(COUNTA($A187:$D187)=0,"",IF(AC187="未訂此介質／測項門檻",AC187,IF(AC187&lt;&gt;"已核對","標準待核",IF(S187="","未訂監測值",IF(NOT(ISNUMBER(L187)),"單位待核",IF(N187="ND","無法判定（ND無界限）",IF(N187="NA","不適用",IF(Z187&lt;&gt;"OK",Z187,IF(N187="數值",IF(Q187&gt;=S187,"達監測值","未達監測值"),IF(OR(N187="&lt;",N187="&lt;="),IF(OR(Q187&lt;S187,AND(N187="&lt;",Q187=S187)),"未達監測值","無法判定"),IF(OR(N187="&gt;",N187="&gt;="),IF(Q187&gt;=S187,"達監測值","無法判定"),"格式待核")))))))))))</f>
        <v/>
      </c>
      <c r="AF187" s="93">
        <f>IF(COUNTA($A187:$D187)=0,"",IF(OR(E187="",A187="",B187="",C187=""),"缺必要欄位",IF(Y187&lt;&gt;"OK","樣品資料待補",IF(T187=0,"測項未建或重複",IF(INDEX(DB_04[啟用],T187)&lt;&gt;"是","測項停用",IF(AND(Z187&lt;&gt;"OK",Z187&lt;&gt;"不適用"),Z187,IF(AND(AB187&lt;&gt;"OK",AB187&lt;&gt;"已換算"),"單位待核",IF(AA187&lt;&gt;"OK",AA187,"OK"))))))))</f>
        <v/>
      </c>
      <c r="AG187" s="93">
        <f>IF(COUNTA($A187:$D187)=0,"",IF(N187="ND","ND取0",IF(OR(N187="&lt;",N187="&lt;="),"界限除以2",IF(N187="NA","不適用",IF(OR(N187="&gt;",N187="&gt;="),"保留界限數值","保留原數值")))))</f>
        <v/>
      </c>
      <c r="AH187" s="92">
        <f>IF(O187="","",IFERROR(_xlfn.NUMBERVALUE(O187,".",","),""))</f>
        <v/>
      </c>
      <c r="AI187" s="92">
        <f>IF(H187="","",IFERROR(MATCH(H187,Samples[樣品編號],0),0))</f>
        <v/>
      </c>
    </row>
    <row r="188">
      <c r="A188" s="27" t="inlineStr">
        <is>
          <t>pH</t>
        </is>
      </c>
      <c r="B188" s="28" t="inlineStr">
        <is>
          <t>6.86</t>
        </is>
      </c>
      <c r="C188" s="27" t="inlineStr">
        <is>
          <t>無因次</t>
        </is>
      </c>
      <c r="D188" s="39" t="inlineStr">
        <is>
          <t>合成資料，非實測；method=field</t>
        </is>
      </c>
      <c r="E188" s="29">
        <f>IF(OR(I188="",I188=0),"",IF(INDEX(Samples[監測點],I188)="","",INDEX(Samples[監測點],I188)))</f>
        <v/>
      </c>
      <c r="F188" s="90">
        <f>IF(OR(I188="",I188=0),"",IF(INDEX(Samples[採樣日期],I188)="","",INDEX(Samples[採樣日期],I188)))</f>
        <v/>
      </c>
      <c r="G188" s="91">
        <f>IF(OR(M188="",M188="NA",M188="N/A"),"",IF(OR(M188="ND",M188="N.D."),0,IFERROR(IF(OR(OR(ISNUMBER(SEARCH("%",O188)),ISNUMBER(SEARCH(" ",O188)),ISNUMBER(SEARCH(",",O188))),OR(SUBSTITUTE(SUBSTITUTE(SUBSTITUTE(SUBSTITUTE(SUBSTITUTE(SUBSTITUTE(SUBSTITUTE(SUBSTITUTE(SUBSTITUTE(SUBSTITUTE(SUBSTITUTE(SUBSTITUTE(SUBSTITUTE(SUBSTITUTE(SUBSTITUTE(SUBSTITUTE(SUBSTITUTE(SUBSTITUTE("x"&amp;M188,"0",""),"1",""),"2",""),"3",""),"4",""),"5",""),"6",""),"7",""),"8",""),"9",""),".",""),"E",""),"+",""),"-",""),"&lt;",""),"&gt;",""),"=","")," ","")&lt;&gt;"x",ISNUMBER(SEARCH("-",SUBSTITUTE(SUBSTITUTE("x"&amp;MID(M188,2,99),"E-","E"),"E+","E"))),ISNUMBER(SEARCH("+",SUBSTITUTE(SUBSTITUTE("x"&amp;MID(M188,2,99),"E-","E"),"E+","E"))))),"",IF(AND(OR(LEFT(M188,1)="&lt;",LEFT(M188,1)="&gt;"),IF(O188="",0,IF(ISNUMBER(AH188),AH188,NA()))&lt;0),"",IF(O188="",0,IF(ISNUMBER(AH188),AH188,NA()))/IF(LEFT(M188,1)="&lt;",2,1))),"")))</f>
        <v/>
      </c>
      <c r="H188" s="57" t="inlineStr">
        <is>
          <t>BH04-W_20260415_03</t>
        </is>
      </c>
      <c r="I188" s="92">
        <f>IF(OR(H188="",AI188=0),0,IF(INDEX(Samples[樣品重複筆數],AI188)=1,AI188,0))</f>
        <v/>
      </c>
      <c r="J188" s="92">
        <f>IF(OR(COUNTA($A188:$D188)=0,I188=0),"",IF(INDEX(Samples[介質],I188)="","",INDEX(Samples[介質],I188)))</f>
        <v/>
      </c>
      <c r="K188" s="92">
        <f>IF(OR(COUNTA($A188:$D188)=0,T188=0),"",IF(INDEX(DB_04[標準單位],T188)="","",INDEX(DB_04[標準單位],T188)))</f>
        <v/>
      </c>
      <c r="L188" s="92">
        <f>IF(COUNTA($A188:$D188)=0,"",IF(OR(C188="",K188=""),"",IF(C188=K188,1,IF(COUNTIFS(DB_06[換算鍵],C188&amp;"|"&amp;K188,DB_06[換算檢查],"OK")=1,INDEX(DB_06[乘數],MATCH(C188&amp;"|"&amp;K188,DB_06[換算鍵],0)),""))))</f>
        <v/>
      </c>
      <c r="M188" s="92">
        <f>UPPER(SUBSTITUTE(SUBSTITUTE(SUBSTITUTE(SUBSTITUTE(TRIM(B188&amp;""),"＜","&lt;"),"＞","&gt;"),"≤","&lt;="),"≥","&gt;="))</f>
        <v/>
      </c>
      <c r="N188" s="92">
        <f>IF(M188="","",IF(OR(M188="ND",M188="N.D."),"ND",IF(OR(M188="NA",M188="N/A",M188="N.A."),"NA",IF(OR(LEFT(M188,2)="&lt;=",LEFT(M188,2)="&gt;="),LEFT(M188,2),IF(OR(LEFT(M188,1)="&lt;",LEFT(M188,1)="&gt;"),LEFT(M188,1),"數值")))))</f>
        <v/>
      </c>
      <c r="O188" s="92">
        <f>IF(OR(N188="",N188="ND",N188="NA"),"",IF(N188="數值",M188,TRIM(MID(M188,LEN(N188)+1,99))))</f>
        <v/>
      </c>
      <c r="P188" s="92">
        <f>IF(O188="","",IFERROR(IF(OR(OR(ISNUMBER(SEARCH("%",O188)),ISNUMBER(SEARCH(" ",O188)),ISNUMBER(SEARCH(",",O188))),OR(SUBSTITUTE(SUBSTITUTE(SUBSTITUTE(SUBSTITUTE(SUBSTITUTE(SUBSTITUTE(SUBSTITUTE(SUBSTITUTE(SUBSTITUTE(SUBSTITUTE(SUBSTITUTE(SUBSTITUTE(SUBSTITUTE(SUBSTITUTE(SUBSTITUTE(SUBSTITUTE(SUBSTITUTE(SUBSTITUTE("x"&amp;O188,"0",""),"1",""),"2",""),"3",""),"4",""),"5",""),"6",""),"7",""),"8",""),"9",""),".",""),"E",""),"+",""),"-",""),"&lt;",""),"&gt;",""),"=","")," ","")&lt;&gt;"x",ISNUMBER(SEARCH("-",SUBSTITUTE(SUBSTITUTE("x"&amp;MID(O188,2,99),"E-","E"),"E+","E"))),ISNUMBER(SEARCH("+",SUBSTITUTE(SUBSTITUTE("x"&amp;MID(O188,2,99),"E-","E"),"E+","E"))))),"",IF(ISNUMBER(AH188),AH188,NA())),""))</f>
        <v/>
      </c>
      <c r="Q188" s="92">
        <f>IF(AND(ISNUMBER(L188),ISNUMBER(P188)),L188*P188,"")</f>
        <v/>
      </c>
      <c r="R188" s="92">
        <f>IF(OR(COUNTA($A188:$D188)=0,U188=0),"",IF(INDEX(DB_05[管制設定值],U188)="","",INDEX(DB_05[管制設定值],U188)))</f>
        <v/>
      </c>
      <c r="S188" s="92">
        <f>IF(OR(COUNTA($A188:$D188)=0,U188=0),"",IF(INDEX(DB_05[監測設定值],U188)="","",INDEX(DB_05[監測設定值],U188)))</f>
        <v/>
      </c>
      <c r="T188" s="92">
        <f>IF(COUNTA($A188:$D188)=0,"",IF(COUNTIFS(DB_04[測項鍵],V188)=1,MATCH(V188,DB_04[測項鍵],0),0))</f>
        <v/>
      </c>
      <c r="U188" s="92">
        <f>IF(COUNTA($A188:$D188)=0,"",IF(COUNTIFS(DB_05[標準鍵],W188)=1,MATCH(W188,DB_05[標準鍵],0),0))</f>
        <v/>
      </c>
      <c r="V188" s="92">
        <f>IF(OR(J188="",A188=""),"",J188&amp;"|"&amp;A188)</f>
        <v/>
      </c>
      <c r="W188" s="92">
        <f>IF(OR('07_QAQC'!$C$3="",V188=""),"",'07_QAQC'!$C$3&amp;"|"&amp;V188)</f>
        <v/>
      </c>
      <c r="X188" s="92">
        <f>IF(OR(H188="",A188=""),"",LEN(H188)&amp;":"&amp;H188&amp;LEN(A188)&amp;":"&amp;A188)</f>
        <v/>
      </c>
      <c r="Y188" s="93">
        <f>IF(COUNTA($A188:$D188)=0,"",IF(I188=0,"樣品未建或重複",IF(INDEX(Samples[樣品檢查],I188)="","OK",INDEX(Samples[樣品檢查],I188))))</f>
        <v/>
      </c>
      <c r="Z188" s="93">
        <f>IF(COUNTA($A188:$D188)=0,"",IF(B188="","缺原始值",IF(OR(B188="-",B188="--"),"無資料",IF(N188="NA","不適用",IF(N188="ND","OK",IF(NOT(ISNUMBER(P188)),"格式待核",IF(AND(N188&lt;&gt;"數值",P188&lt;0),"界限不得為負","OK")))))))</f>
        <v/>
      </c>
      <c r="AA188" s="93">
        <f>IF(COUNTA(A188:D188)=0,"",IF(OR(A188="",H188=""),"缺識別欄位",IF(IF(LEN("="&amp;SUBSTITUTE(SUBSTITUTE(SUBSTITUTE(X188,"~","~~"),"*","~*"),"?","~?"))&lt;=255,COUNTIF(Results[結果識別鍵],"="&amp;SUBSTITUTE(SUBSTITUTE(SUBSTITUTE(X188,"~","~~"),"*","~*"),"?","~?")),COUNTIFS(Results[關聯鍵],"="&amp;SUBSTITUTE(SUBSTITUTE(SUBSTITUTE(H188,"~","~~"),"*","~*"),"?","~?"),Results[分析項目],"="&amp;SUBSTITUTE(SUBSTITUTE(SUBSTITUTE(A188,"~","~~"),"*","~*"),"?","~?")))&gt;1,"同關聯鍵測項重複","OK")))</f>
        <v/>
      </c>
      <c r="AB188" s="93">
        <f>IF(COUNTA($A188:$D188)=0,"",IF(OR(C188="",K188=""),"缺單位",IF(NOT(ISNUMBER(L188)),"單位不相容",IF(L188=1,"OK","已換算"))))</f>
        <v/>
      </c>
      <c r="AC188" s="93">
        <f>IF(COUNTA($A188:$D188)=0,"",IF('07_QAQC'!$C$3="","未選比較版本",IF(U188=0,IF(COUNTIFS(DB_05[標準鍵],W188)&gt;1,"標準鍵重複","未訂此介質／測項門檻"),IF(INDEX(DB_05[版本檢查],U188)&lt;&gt;"OK","標準主檔待核",IF(INDEX(DB_05[標準單位],U188)&lt;&gt;K188,"標準單位不符",IF(INDEX(DB_05[核對狀態],U188)="停用","停用",IF(F188="","缺採樣日期",IF(OR(AND(INDEX(DB_05[生效日],U188)&lt;&gt;"",F188&lt;INDEX(DB_05[生效日],U188)),AND(INDEX(DB_05[失效日],U188)&lt;&gt;"",F188&gt;INDEX(DB_05[失效日],U188))),"日期不適用",INDEX(DB_05[核對狀態],U188)))))))))</f>
        <v/>
      </c>
      <c r="AD188" s="93">
        <f>IF(COUNTA($A188:$D188)=0,"",IF(AC188="未訂此介質／測項門檻",AC188,IF(AC188&lt;&gt;"已核對","標準待核",IF(R188="","未訂管制值",IF(NOT(ISNUMBER(L188)),"單位待核",IF(N188="ND","無法判定（ND無界限）",IF(N188="NA","不適用",IF(Z188&lt;&gt;"OK",Z188,IF(N188="數值",IF(Q188&gt;=R188,"達管制值","未達管制值"),IF(OR(N188="&lt;",N188="&lt;="),IF(OR(Q188&lt;R188,AND(N188="&lt;",Q188=R188)),"未達管制值","無法判定"),IF(OR(N188="&gt;",N188="&gt;="),IF(Q188&gt;=R188,"達管制值","無法判定"),"格式待核")))))))))))</f>
        <v/>
      </c>
      <c r="AE188" s="93">
        <f>IF(COUNTA($A188:$D188)=0,"",IF(AC188="未訂此介質／測項門檻",AC188,IF(AC188&lt;&gt;"已核對","標準待核",IF(S188="","未訂監測值",IF(NOT(ISNUMBER(L188)),"單位待核",IF(N188="ND","無法判定（ND無界限）",IF(N188="NA","不適用",IF(Z188&lt;&gt;"OK",Z188,IF(N188="數值",IF(Q188&gt;=S188,"達監測值","未達監測值"),IF(OR(N188="&lt;",N188="&lt;="),IF(OR(Q188&lt;S188,AND(N188="&lt;",Q188=S188)),"未達監測值","無法判定"),IF(OR(N188="&gt;",N188="&gt;="),IF(Q188&gt;=S188,"達監測值","無法判定"),"格式待核")))))))))))</f>
        <v/>
      </c>
      <c r="AF188" s="93">
        <f>IF(COUNTA($A188:$D188)=0,"",IF(OR(E188="",A188="",B188="",C188=""),"缺必要欄位",IF(Y188&lt;&gt;"OK","樣品資料待補",IF(T188=0,"測項未建或重複",IF(INDEX(DB_04[啟用],T188)&lt;&gt;"是","測項停用",IF(AND(Z188&lt;&gt;"OK",Z188&lt;&gt;"不適用"),Z188,IF(AND(AB188&lt;&gt;"OK",AB188&lt;&gt;"已換算"),"單位待核",IF(AA188&lt;&gt;"OK",AA188,"OK"))))))))</f>
        <v/>
      </c>
      <c r="AG188" s="93">
        <f>IF(COUNTA($A188:$D188)=0,"",IF(N188="ND","ND取0",IF(OR(N188="&lt;",N188="&lt;="),"界限除以2",IF(N188="NA","不適用",IF(OR(N188="&gt;",N188="&gt;="),"保留界限數值","保留原數值")))))</f>
        <v/>
      </c>
      <c r="AH188" s="92">
        <f>IF(O188="","",IFERROR(_xlfn.NUMBERVALUE(O188,".",","),""))</f>
        <v/>
      </c>
      <c r="AI188" s="92">
        <f>IF(H188="","",IFERROR(MATCH(H188,Samples[樣品編號],0),0))</f>
        <v/>
      </c>
    </row>
    <row r="189">
      <c r="A189" s="27" t="inlineStr">
        <is>
          <t>EC</t>
        </is>
      </c>
      <c r="B189" s="28" t="inlineStr">
        <is>
          <t>0.73</t>
        </is>
      </c>
      <c r="C189" s="27" t="inlineStr">
        <is>
          <t>mS/cm</t>
        </is>
      </c>
      <c r="D189" s="39" t="inlineStr">
        <is>
          <t>合成資料，非實測；method=field; temperature=25; temperature_compensated=25C; reference_temperature=25</t>
        </is>
      </c>
      <c r="E189" s="29">
        <f>IF(OR(I189="",I189=0),"",IF(INDEX(Samples[監測點],I189)="","",INDEX(Samples[監測點],I189)))</f>
        <v/>
      </c>
      <c r="F189" s="90">
        <f>IF(OR(I189="",I189=0),"",IF(INDEX(Samples[採樣日期],I189)="","",INDEX(Samples[採樣日期],I189)))</f>
        <v/>
      </c>
      <c r="G189" s="91">
        <f>IF(OR(M189="",M189="NA",M189="N/A"),"",IF(OR(M189="ND",M189="N.D."),0,IFERROR(IF(OR(OR(ISNUMBER(SEARCH("%",O189)),ISNUMBER(SEARCH(" ",O189)),ISNUMBER(SEARCH(",",O189))),OR(SUBSTITUTE(SUBSTITUTE(SUBSTITUTE(SUBSTITUTE(SUBSTITUTE(SUBSTITUTE(SUBSTITUTE(SUBSTITUTE(SUBSTITUTE(SUBSTITUTE(SUBSTITUTE(SUBSTITUTE(SUBSTITUTE(SUBSTITUTE(SUBSTITUTE(SUBSTITUTE(SUBSTITUTE(SUBSTITUTE("x"&amp;M189,"0",""),"1",""),"2",""),"3",""),"4",""),"5",""),"6",""),"7",""),"8",""),"9",""),".",""),"E",""),"+",""),"-",""),"&lt;",""),"&gt;",""),"=","")," ","")&lt;&gt;"x",ISNUMBER(SEARCH("-",SUBSTITUTE(SUBSTITUTE("x"&amp;MID(M189,2,99),"E-","E"),"E+","E"))),ISNUMBER(SEARCH("+",SUBSTITUTE(SUBSTITUTE("x"&amp;MID(M189,2,99),"E-","E"),"E+","E"))))),"",IF(AND(OR(LEFT(M189,1)="&lt;",LEFT(M189,1)="&gt;"),IF(O189="",0,IF(ISNUMBER(AH189),AH189,NA()))&lt;0),"",IF(O189="",0,IF(ISNUMBER(AH189),AH189,NA()))/IF(LEFT(M189,1)="&lt;",2,1))),"")))</f>
        <v/>
      </c>
      <c r="H189" s="57" t="inlineStr">
        <is>
          <t>BH04-W_20260415_03</t>
        </is>
      </c>
      <c r="I189" s="92">
        <f>IF(OR(H189="",AI189=0),0,IF(INDEX(Samples[樣品重複筆數],AI189)=1,AI189,0))</f>
        <v/>
      </c>
      <c r="J189" s="92">
        <f>IF(OR(COUNTA($A189:$D189)=0,I189=0),"",IF(INDEX(Samples[介質],I189)="","",INDEX(Samples[介質],I189)))</f>
        <v/>
      </c>
      <c r="K189" s="92">
        <f>IF(OR(COUNTA($A189:$D189)=0,T189=0),"",IF(INDEX(DB_04[標準單位],T189)="","",INDEX(DB_04[標準單位],T189)))</f>
        <v/>
      </c>
      <c r="L189" s="92">
        <f>IF(COUNTA($A189:$D189)=0,"",IF(OR(C189="",K189=""),"",IF(C189=K189,1,IF(COUNTIFS(DB_06[換算鍵],C189&amp;"|"&amp;K189,DB_06[換算檢查],"OK")=1,INDEX(DB_06[乘數],MATCH(C189&amp;"|"&amp;K189,DB_06[換算鍵],0)),""))))</f>
        <v/>
      </c>
      <c r="M189" s="92">
        <f>UPPER(SUBSTITUTE(SUBSTITUTE(SUBSTITUTE(SUBSTITUTE(TRIM(B189&amp;""),"＜","&lt;"),"＞","&gt;"),"≤","&lt;="),"≥","&gt;="))</f>
        <v/>
      </c>
      <c r="N189" s="92">
        <f>IF(M189="","",IF(OR(M189="ND",M189="N.D."),"ND",IF(OR(M189="NA",M189="N/A",M189="N.A."),"NA",IF(OR(LEFT(M189,2)="&lt;=",LEFT(M189,2)="&gt;="),LEFT(M189,2),IF(OR(LEFT(M189,1)="&lt;",LEFT(M189,1)="&gt;"),LEFT(M189,1),"數值")))))</f>
        <v/>
      </c>
      <c r="O189" s="92">
        <f>IF(OR(N189="",N189="ND",N189="NA"),"",IF(N189="數值",M189,TRIM(MID(M189,LEN(N189)+1,99))))</f>
        <v/>
      </c>
      <c r="P189" s="92">
        <f>IF(O189="","",IFERROR(IF(OR(OR(ISNUMBER(SEARCH("%",O189)),ISNUMBER(SEARCH(" ",O189)),ISNUMBER(SEARCH(",",O189))),OR(SUBSTITUTE(SUBSTITUTE(SUBSTITUTE(SUBSTITUTE(SUBSTITUTE(SUBSTITUTE(SUBSTITUTE(SUBSTITUTE(SUBSTITUTE(SUBSTITUTE(SUBSTITUTE(SUBSTITUTE(SUBSTITUTE(SUBSTITUTE(SUBSTITUTE(SUBSTITUTE(SUBSTITUTE(SUBSTITUTE("x"&amp;O189,"0",""),"1",""),"2",""),"3",""),"4",""),"5",""),"6",""),"7",""),"8",""),"9",""),".",""),"E",""),"+",""),"-",""),"&lt;",""),"&gt;",""),"=","")," ","")&lt;&gt;"x",ISNUMBER(SEARCH("-",SUBSTITUTE(SUBSTITUTE("x"&amp;MID(O189,2,99),"E-","E"),"E+","E"))),ISNUMBER(SEARCH("+",SUBSTITUTE(SUBSTITUTE("x"&amp;MID(O189,2,99),"E-","E"),"E+","E"))))),"",IF(ISNUMBER(AH189),AH189,NA())),""))</f>
        <v/>
      </c>
      <c r="Q189" s="92">
        <f>IF(AND(ISNUMBER(L189),ISNUMBER(P189)),L189*P189,"")</f>
        <v/>
      </c>
      <c r="R189" s="92">
        <f>IF(OR(COUNTA($A189:$D189)=0,U189=0),"",IF(INDEX(DB_05[管制設定值],U189)="","",INDEX(DB_05[管制設定值],U189)))</f>
        <v/>
      </c>
      <c r="S189" s="92">
        <f>IF(OR(COUNTA($A189:$D189)=0,U189=0),"",IF(INDEX(DB_05[監測設定值],U189)="","",INDEX(DB_05[監測設定值],U189)))</f>
        <v/>
      </c>
      <c r="T189" s="92">
        <f>IF(COUNTA($A189:$D189)=0,"",IF(COUNTIFS(DB_04[測項鍵],V189)=1,MATCH(V189,DB_04[測項鍵],0),0))</f>
        <v/>
      </c>
      <c r="U189" s="92">
        <f>IF(COUNTA($A189:$D189)=0,"",IF(COUNTIFS(DB_05[標準鍵],W189)=1,MATCH(W189,DB_05[標準鍵],0),0))</f>
        <v/>
      </c>
      <c r="V189" s="92">
        <f>IF(OR(J189="",A189=""),"",J189&amp;"|"&amp;A189)</f>
        <v/>
      </c>
      <c r="W189" s="92">
        <f>IF(OR('07_QAQC'!$C$3="",V189=""),"",'07_QAQC'!$C$3&amp;"|"&amp;V189)</f>
        <v/>
      </c>
      <c r="X189" s="92">
        <f>IF(OR(H189="",A189=""),"",LEN(H189)&amp;":"&amp;H189&amp;LEN(A189)&amp;":"&amp;A189)</f>
        <v/>
      </c>
      <c r="Y189" s="93">
        <f>IF(COUNTA($A189:$D189)=0,"",IF(I189=0,"樣品未建或重複",IF(INDEX(Samples[樣品檢查],I189)="","OK",INDEX(Samples[樣品檢查],I189))))</f>
        <v/>
      </c>
      <c r="Z189" s="93">
        <f>IF(COUNTA($A189:$D189)=0,"",IF(B189="","缺原始值",IF(OR(B189="-",B189="--"),"無資料",IF(N189="NA","不適用",IF(N189="ND","OK",IF(NOT(ISNUMBER(P189)),"格式待核",IF(AND(N189&lt;&gt;"數值",P189&lt;0),"界限不得為負","OK")))))))</f>
        <v/>
      </c>
      <c r="AA189" s="93">
        <f>IF(COUNTA(A189:D189)=0,"",IF(OR(A189="",H189=""),"缺識別欄位",IF(IF(LEN("="&amp;SUBSTITUTE(SUBSTITUTE(SUBSTITUTE(X189,"~","~~"),"*","~*"),"?","~?"))&lt;=255,COUNTIF(Results[結果識別鍵],"="&amp;SUBSTITUTE(SUBSTITUTE(SUBSTITUTE(X189,"~","~~"),"*","~*"),"?","~?")),COUNTIFS(Results[關聯鍵],"="&amp;SUBSTITUTE(SUBSTITUTE(SUBSTITUTE(H189,"~","~~"),"*","~*"),"?","~?"),Results[分析項目],"="&amp;SUBSTITUTE(SUBSTITUTE(SUBSTITUTE(A189,"~","~~"),"*","~*"),"?","~?")))&gt;1,"同關聯鍵測項重複","OK")))</f>
        <v/>
      </c>
      <c r="AB189" s="93">
        <f>IF(COUNTA($A189:$D189)=0,"",IF(OR(C189="",K189=""),"缺單位",IF(NOT(ISNUMBER(L189)),"單位不相容",IF(L189=1,"OK","已換算"))))</f>
        <v/>
      </c>
      <c r="AC189" s="93">
        <f>IF(COUNTA($A189:$D189)=0,"",IF('07_QAQC'!$C$3="","未選比較版本",IF(U189=0,IF(COUNTIFS(DB_05[標準鍵],W189)&gt;1,"標準鍵重複","未訂此介質／測項門檻"),IF(INDEX(DB_05[版本檢查],U189)&lt;&gt;"OK","標準主檔待核",IF(INDEX(DB_05[標準單位],U189)&lt;&gt;K189,"標準單位不符",IF(INDEX(DB_05[核對狀態],U189)="停用","停用",IF(F189="","缺採樣日期",IF(OR(AND(INDEX(DB_05[生效日],U189)&lt;&gt;"",F189&lt;INDEX(DB_05[生效日],U189)),AND(INDEX(DB_05[失效日],U189)&lt;&gt;"",F189&gt;INDEX(DB_05[失效日],U189))),"日期不適用",INDEX(DB_05[核對狀態],U189)))))))))</f>
        <v/>
      </c>
      <c r="AD189" s="93">
        <f>IF(COUNTA($A189:$D189)=0,"",IF(AC189="未訂此介質／測項門檻",AC189,IF(AC189&lt;&gt;"已核對","標準待核",IF(R189="","未訂管制值",IF(NOT(ISNUMBER(L189)),"單位待核",IF(N189="ND","無法判定（ND無界限）",IF(N189="NA","不適用",IF(Z189&lt;&gt;"OK",Z189,IF(N189="數值",IF(Q189&gt;=R189,"達管制值","未達管制值"),IF(OR(N189="&lt;",N189="&lt;="),IF(OR(Q189&lt;R189,AND(N189="&lt;",Q189=R189)),"未達管制值","無法判定"),IF(OR(N189="&gt;",N189="&gt;="),IF(Q189&gt;=R189,"達管制值","無法判定"),"格式待核")))))))))))</f>
        <v/>
      </c>
      <c r="AE189" s="93">
        <f>IF(COUNTA($A189:$D189)=0,"",IF(AC189="未訂此介質／測項門檻",AC189,IF(AC189&lt;&gt;"已核對","標準待核",IF(S189="","未訂監測值",IF(NOT(ISNUMBER(L189)),"單位待核",IF(N189="ND","無法判定（ND無界限）",IF(N189="NA","不適用",IF(Z189&lt;&gt;"OK",Z189,IF(N189="數值",IF(Q189&gt;=S189,"達監測值","未達監測值"),IF(OR(N189="&lt;",N189="&lt;="),IF(OR(Q189&lt;S189,AND(N189="&lt;",Q189=S189)),"未達監測值","無法判定"),IF(OR(N189="&gt;",N189="&gt;="),IF(Q189&gt;=S189,"達監測值","無法判定"),"格式待核")))))))))))</f>
        <v/>
      </c>
      <c r="AF189" s="93">
        <f>IF(COUNTA($A189:$D189)=0,"",IF(OR(E189="",A189="",B189="",C189=""),"缺必要欄位",IF(Y189&lt;&gt;"OK","樣品資料待補",IF(T189=0,"測項未建或重複",IF(INDEX(DB_04[啟用],T189)&lt;&gt;"是","測項停用",IF(AND(Z189&lt;&gt;"OK",Z189&lt;&gt;"不適用"),Z189,IF(AND(AB189&lt;&gt;"OK",AB189&lt;&gt;"已換算"),"單位待核",IF(AA189&lt;&gt;"OK",AA189,"OK"))))))))</f>
        <v/>
      </c>
      <c r="AG189" s="93">
        <f>IF(COUNTA($A189:$D189)=0,"",IF(N189="ND","ND取0",IF(OR(N189="&lt;",N189="&lt;="),"界限除以2",IF(N189="NA","不適用",IF(OR(N189="&gt;",N189="&gt;="),"保留界限數值","保留原數值")))))</f>
        <v/>
      </c>
      <c r="AH189" s="92">
        <f>IF(O189="","",IFERROR(_xlfn.NUMBERVALUE(O189,".",","),""))</f>
        <v/>
      </c>
      <c r="AI189" s="92">
        <f>IF(H189="","",IFERROR(MATCH(H189,Samples[樣品編號],0),0))</f>
        <v/>
      </c>
    </row>
    <row r="190">
      <c r="A190" s="27" t="inlineStr">
        <is>
          <t>DO</t>
        </is>
      </c>
      <c r="B190" s="28" t="inlineStr">
        <is>
          <t>4.2</t>
        </is>
      </c>
      <c r="C190" s="27" t="inlineStr">
        <is>
          <t>mg/L</t>
        </is>
      </c>
      <c r="D190" s="39" t="inlineStr">
        <is>
          <t>合成資料，非實測；method=field</t>
        </is>
      </c>
      <c r="E190" s="29">
        <f>IF(OR(I190="",I190=0),"",IF(INDEX(Samples[監測點],I190)="","",INDEX(Samples[監測點],I190)))</f>
        <v/>
      </c>
      <c r="F190" s="90">
        <f>IF(OR(I190="",I190=0),"",IF(INDEX(Samples[採樣日期],I190)="","",INDEX(Samples[採樣日期],I190)))</f>
        <v/>
      </c>
      <c r="G190" s="91">
        <f>IF(OR(M190="",M190="NA",M190="N/A"),"",IF(OR(M190="ND",M190="N.D."),0,IFERROR(IF(OR(OR(ISNUMBER(SEARCH("%",O190)),ISNUMBER(SEARCH(" ",O190)),ISNUMBER(SEARCH(",",O190))),OR(SUBSTITUTE(SUBSTITUTE(SUBSTITUTE(SUBSTITUTE(SUBSTITUTE(SUBSTITUTE(SUBSTITUTE(SUBSTITUTE(SUBSTITUTE(SUBSTITUTE(SUBSTITUTE(SUBSTITUTE(SUBSTITUTE(SUBSTITUTE(SUBSTITUTE(SUBSTITUTE(SUBSTITUTE(SUBSTITUTE("x"&amp;M190,"0",""),"1",""),"2",""),"3",""),"4",""),"5",""),"6",""),"7",""),"8",""),"9",""),".",""),"E",""),"+",""),"-",""),"&lt;",""),"&gt;",""),"=","")," ","")&lt;&gt;"x",ISNUMBER(SEARCH("-",SUBSTITUTE(SUBSTITUTE("x"&amp;MID(M190,2,99),"E-","E"),"E+","E"))),ISNUMBER(SEARCH("+",SUBSTITUTE(SUBSTITUTE("x"&amp;MID(M190,2,99),"E-","E"),"E+","E"))))),"",IF(AND(OR(LEFT(M190,1)="&lt;",LEFT(M190,1)="&gt;"),IF(O190="",0,IF(ISNUMBER(AH190),AH190,NA()))&lt;0),"",IF(O190="",0,IF(ISNUMBER(AH190),AH190,NA()))/IF(LEFT(M190,1)="&lt;",2,1))),"")))</f>
        <v/>
      </c>
      <c r="H190" s="57" t="inlineStr">
        <is>
          <t>BH04-W_20260415_03</t>
        </is>
      </c>
      <c r="I190" s="92">
        <f>IF(OR(H190="",AI190=0),0,IF(INDEX(Samples[樣品重複筆數],AI190)=1,AI190,0))</f>
        <v/>
      </c>
      <c r="J190" s="92">
        <f>IF(OR(COUNTA($A190:$D190)=0,I190=0),"",IF(INDEX(Samples[介質],I190)="","",INDEX(Samples[介質],I190)))</f>
        <v/>
      </c>
      <c r="K190" s="92">
        <f>IF(OR(COUNTA($A190:$D190)=0,T190=0),"",IF(INDEX(DB_04[標準單位],T190)="","",INDEX(DB_04[標準單位],T190)))</f>
        <v/>
      </c>
      <c r="L190" s="92">
        <f>IF(COUNTA($A190:$D190)=0,"",IF(OR(C190="",K190=""),"",IF(C190=K190,1,IF(COUNTIFS(DB_06[換算鍵],C190&amp;"|"&amp;K190,DB_06[換算檢查],"OK")=1,INDEX(DB_06[乘數],MATCH(C190&amp;"|"&amp;K190,DB_06[換算鍵],0)),""))))</f>
        <v/>
      </c>
      <c r="M190" s="92">
        <f>UPPER(SUBSTITUTE(SUBSTITUTE(SUBSTITUTE(SUBSTITUTE(TRIM(B190&amp;""),"＜","&lt;"),"＞","&gt;"),"≤","&lt;="),"≥","&gt;="))</f>
        <v/>
      </c>
      <c r="N190" s="92">
        <f>IF(M190="","",IF(OR(M190="ND",M190="N.D."),"ND",IF(OR(M190="NA",M190="N/A",M190="N.A."),"NA",IF(OR(LEFT(M190,2)="&lt;=",LEFT(M190,2)="&gt;="),LEFT(M190,2),IF(OR(LEFT(M190,1)="&lt;",LEFT(M190,1)="&gt;"),LEFT(M190,1),"數值")))))</f>
        <v/>
      </c>
      <c r="O190" s="92">
        <f>IF(OR(N190="",N190="ND",N190="NA"),"",IF(N190="數值",M190,TRIM(MID(M190,LEN(N190)+1,99))))</f>
        <v/>
      </c>
      <c r="P190" s="92">
        <f>IF(O190="","",IFERROR(IF(OR(OR(ISNUMBER(SEARCH("%",O190)),ISNUMBER(SEARCH(" ",O190)),ISNUMBER(SEARCH(",",O190))),OR(SUBSTITUTE(SUBSTITUTE(SUBSTITUTE(SUBSTITUTE(SUBSTITUTE(SUBSTITUTE(SUBSTITUTE(SUBSTITUTE(SUBSTITUTE(SUBSTITUTE(SUBSTITUTE(SUBSTITUTE(SUBSTITUTE(SUBSTITUTE(SUBSTITUTE(SUBSTITUTE(SUBSTITUTE(SUBSTITUTE("x"&amp;O190,"0",""),"1",""),"2",""),"3",""),"4",""),"5",""),"6",""),"7",""),"8",""),"9",""),".",""),"E",""),"+",""),"-",""),"&lt;",""),"&gt;",""),"=","")," ","")&lt;&gt;"x",ISNUMBER(SEARCH("-",SUBSTITUTE(SUBSTITUTE("x"&amp;MID(O190,2,99),"E-","E"),"E+","E"))),ISNUMBER(SEARCH("+",SUBSTITUTE(SUBSTITUTE("x"&amp;MID(O190,2,99),"E-","E"),"E+","E"))))),"",IF(ISNUMBER(AH190),AH190,NA())),""))</f>
        <v/>
      </c>
      <c r="Q190" s="92">
        <f>IF(AND(ISNUMBER(L190),ISNUMBER(P190)),L190*P190,"")</f>
        <v/>
      </c>
      <c r="R190" s="92">
        <f>IF(OR(COUNTA($A190:$D190)=0,U190=0),"",IF(INDEX(DB_05[管制設定值],U190)="","",INDEX(DB_05[管制設定值],U190)))</f>
        <v/>
      </c>
      <c r="S190" s="92">
        <f>IF(OR(COUNTA($A190:$D190)=0,U190=0),"",IF(INDEX(DB_05[監測設定值],U190)="","",INDEX(DB_05[監測設定值],U190)))</f>
        <v/>
      </c>
      <c r="T190" s="92">
        <f>IF(COUNTA($A190:$D190)=0,"",IF(COUNTIFS(DB_04[測項鍵],V190)=1,MATCH(V190,DB_04[測項鍵],0),0))</f>
        <v/>
      </c>
      <c r="U190" s="92">
        <f>IF(COUNTA($A190:$D190)=0,"",IF(COUNTIFS(DB_05[標準鍵],W190)=1,MATCH(W190,DB_05[標準鍵],0),0))</f>
        <v/>
      </c>
      <c r="V190" s="92">
        <f>IF(OR(J190="",A190=""),"",J190&amp;"|"&amp;A190)</f>
        <v/>
      </c>
      <c r="W190" s="92">
        <f>IF(OR('07_QAQC'!$C$3="",V190=""),"",'07_QAQC'!$C$3&amp;"|"&amp;V190)</f>
        <v/>
      </c>
      <c r="X190" s="92">
        <f>IF(OR(H190="",A190=""),"",LEN(H190)&amp;":"&amp;H190&amp;LEN(A190)&amp;":"&amp;A190)</f>
        <v/>
      </c>
      <c r="Y190" s="93">
        <f>IF(COUNTA($A190:$D190)=0,"",IF(I190=0,"樣品未建或重複",IF(INDEX(Samples[樣品檢查],I190)="","OK",INDEX(Samples[樣品檢查],I190))))</f>
        <v/>
      </c>
      <c r="Z190" s="93">
        <f>IF(COUNTA($A190:$D190)=0,"",IF(B190="","缺原始值",IF(OR(B190="-",B190="--"),"無資料",IF(N190="NA","不適用",IF(N190="ND","OK",IF(NOT(ISNUMBER(P190)),"格式待核",IF(AND(N190&lt;&gt;"數值",P190&lt;0),"界限不得為負","OK")))))))</f>
        <v/>
      </c>
      <c r="AA190" s="93">
        <f>IF(COUNTA(A190:D190)=0,"",IF(OR(A190="",H190=""),"缺識別欄位",IF(IF(LEN("="&amp;SUBSTITUTE(SUBSTITUTE(SUBSTITUTE(X190,"~","~~"),"*","~*"),"?","~?"))&lt;=255,COUNTIF(Results[結果識別鍵],"="&amp;SUBSTITUTE(SUBSTITUTE(SUBSTITUTE(X190,"~","~~"),"*","~*"),"?","~?")),COUNTIFS(Results[關聯鍵],"="&amp;SUBSTITUTE(SUBSTITUTE(SUBSTITUTE(H190,"~","~~"),"*","~*"),"?","~?"),Results[分析項目],"="&amp;SUBSTITUTE(SUBSTITUTE(SUBSTITUTE(A190,"~","~~"),"*","~*"),"?","~?")))&gt;1,"同關聯鍵測項重複","OK")))</f>
        <v/>
      </c>
      <c r="AB190" s="93">
        <f>IF(COUNTA($A190:$D190)=0,"",IF(OR(C190="",K190=""),"缺單位",IF(NOT(ISNUMBER(L190)),"單位不相容",IF(L190=1,"OK","已換算"))))</f>
        <v/>
      </c>
      <c r="AC190" s="93">
        <f>IF(COUNTA($A190:$D190)=0,"",IF('07_QAQC'!$C$3="","未選比較版本",IF(U190=0,IF(COUNTIFS(DB_05[標準鍵],W190)&gt;1,"標準鍵重複","未訂此介質／測項門檻"),IF(INDEX(DB_05[版本檢查],U190)&lt;&gt;"OK","標準主檔待核",IF(INDEX(DB_05[標準單位],U190)&lt;&gt;K190,"標準單位不符",IF(INDEX(DB_05[核對狀態],U190)="停用","停用",IF(F190="","缺採樣日期",IF(OR(AND(INDEX(DB_05[生效日],U190)&lt;&gt;"",F190&lt;INDEX(DB_05[生效日],U190)),AND(INDEX(DB_05[失效日],U190)&lt;&gt;"",F190&gt;INDEX(DB_05[失效日],U190))),"日期不適用",INDEX(DB_05[核對狀態],U190)))))))))</f>
        <v/>
      </c>
      <c r="AD190" s="93">
        <f>IF(COUNTA($A190:$D190)=0,"",IF(AC190="未訂此介質／測項門檻",AC190,IF(AC190&lt;&gt;"已核對","標準待核",IF(R190="","未訂管制值",IF(NOT(ISNUMBER(L190)),"單位待核",IF(N190="ND","無法判定（ND無界限）",IF(N190="NA","不適用",IF(Z190&lt;&gt;"OK",Z190,IF(N190="數值",IF(Q190&gt;=R190,"達管制值","未達管制值"),IF(OR(N190="&lt;",N190="&lt;="),IF(OR(Q190&lt;R190,AND(N190="&lt;",Q190=R190)),"未達管制值","無法判定"),IF(OR(N190="&gt;",N190="&gt;="),IF(Q190&gt;=R190,"達管制值","無法判定"),"格式待核")))))))))))</f>
        <v/>
      </c>
      <c r="AE190" s="93">
        <f>IF(COUNTA($A190:$D190)=0,"",IF(AC190="未訂此介質／測項門檻",AC190,IF(AC190&lt;&gt;"已核對","標準待核",IF(S190="","未訂監測值",IF(NOT(ISNUMBER(L190)),"單位待核",IF(N190="ND","無法判定（ND無界限）",IF(N190="NA","不適用",IF(Z190&lt;&gt;"OK",Z190,IF(N190="數值",IF(Q190&gt;=S190,"達監測值","未達監測值"),IF(OR(N190="&lt;",N190="&lt;="),IF(OR(Q190&lt;S190,AND(N190="&lt;",Q190=S190)),"未達監測值","無法判定"),IF(OR(N190="&gt;",N190="&gt;="),IF(Q190&gt;=S190,"達監測值","無法判定"),"格式待核")))))))))))</f>
        <v/>
      </c>
      <c r="AF190" s="93">
        <f>IF(COUNTA($A190:$D190)=0,"",IF(OR(E190="",A190="",B190="",C190=""),"缺必要欄位",IF(Y190&lt;&gt;"OK","樣品資料待補",IF(T190=0,"測項未建或重複",IF(INDEX(DB_04[啟用],T190)&lt;&gt;"是","測項停用",IF(AND(Z190&lt;&gt;"OK",Z190&lt;&gt;"不適用"),Z190,IF(AND(AB190&lt;&gt;"OK",AB190&lt;&gt;"已換算"),"單位待核",IF(AA190&lt;&gt;"OK",AA190,"OK"))))))))</f>
        <v/>
      </c>
      <c r="AG190" s="93">
        <f>IF(COUNTA($A190:$D190)=0,"",IF(N190="ND","ND取0",IF(OR(N190="&lt;",N190="&lt;="),"界限除以2",IF(N190="NA","不適用",IF(OR(N190="&gt;",N190="&gt;="),"保留界限數值","保留原數值")))))</f>
        <v/>
      </c>
      <c r="AH190" s="92">
        <f>IF(O190="","",IFERROR(_xlfn.NUMBERVALUE(O190,".",","),""))</f>
        <v/>
      </c>
      <c r="AI190" s="92">
        <f>IF(H190="","",IFERROR(MATCH(H190,Samples[樣品編號],0),0))</f>
        <v/>
      </c>
    </row>
    <row r="191">
      <c r="A191" s="27" t="inlineStr">
        <is>
          <t>溶氧飽和度</t>
        </is>
      </c>
      <c r="B191" s="28" t="inlineStr">
        <is>
          <t>54</t>
        </is>
      </c>
      <c r="C191" s="27" t="inlineStr">
        <is>
          <t>%</t>
        </is>
      </c>
      <c r="D191" s="39" t="inlineStr">
        <is>
          <t>合成資料，非實測；method=field</t>
        </is>
      </c>
      <c r="E191" s="29">
        <f>IF(OR(I191="",I191=0),"",IF(INDEX(Samples[監測點],I191)="","",INDEX(Samples[監測點],I191)))</f>
        <v/>
      </c>
      <c r="F191" s="90">
        <f>IF(OR(I191="",I191=0),"",IF(INDEX(Samples[採樣日期],I191)="","",INDEX(Samples[採樣日期],I191)))</f>
        <v/>
      </c>
      <c r="G191" s="91">
        <f>IF(OR(M191="",M191="NA",M191="N/A"),"",IF(OR(M191="ND",M191="N.D."),0,IFERROR(IF(OR(OR(ISNUMBER(SEARCH("%",O191)),ISNUMBER(SEARCH(" ",O191)),ISNUMBER(SEARCH(",",O191))),OR(SUBSTITUTE(SUBSTITUTE(SUBSTITUTE(SUBSTITUTE(SUBSTITUTE(SUBSTITUTE(SUBSTITUTE(SUBSTITUTE(SUBSTITUTE(SUBSTITUTE(SUBSTITUTE(SUBSTITUTE(SUBSTITUTE(SUBSTITUTE(SUBSTITUTE(SUBSTITUTE(SUBSTITUTE(SUBSTITUTE("x"&amp;M191,"0",""),"1",""),"2",""),"3",""),"4",""),"5",""),"6",""),"7",""),"8",""),"9",""),".",""),"E",""),"+",""),"-",""),"&lt;",""),"&gt;",""),"=","")," ","")&lt;&gt;"x",ISNUMBER(SEARCH("-",SUBSTITUTE(SUBSTITUTE("x"&amp;MID(M191,2,99),"E-","E"),"E+","E"))),ISNUMBER(SEARCH("+",SUBSTITUTE(SUBSTITUTE("x"&amp;MID(M191,2,99),"E-","E"),"E+","E"))))),"",IF(AND(OR(LEFT(M191,1)="&lt;",LEFT(M191,1)="&gt;"),IF(O191="",0,IF(ISNUMBER(AH191),AH191,NA()))&lt;0),"",IF(O191="",0,IF(ISNUMBER(AH191),AH191,NA()))/IF(LEFT(M191,1)="&lt;",2,1))),"")))</f>
        <v/>
      </c>
      <c r="H191" s="57" t="inlineStr">
        <is>
          <t>BH04-W_20260415_03</t>
        </is>
      </c>
      <c r="I191" s="92">
        <f>IF(OR(H191="",AI191=0),0,IF(INDEX(Samples[樣品重複筆數],AI191)=1,AI191,0))</f>
        <v/>
      </c>
      <c r="J191" s="92">
        <f>IF(OR(COUNTA($A191:$D191)=0,I191=0),"",IF(INDEX(Samples[介質],I191)="","",INDEX(Samples[介質],I191)))</f>
        <v/>
      </c>
      <c r="K191" s="92">
        <f>IF(OR(COUNTA($A191:$D191)=0,T191=0),"",IF(INDEX(DB_04[標準單位],T191)="","",INDEX(DB_04[標準單位],T191)))</f>
        <v/>
      </c>
      <c r="L191" s="92">
        <f>IF(COUNTA($A191:$D191)=0,"",IF(OR(C191="",K191=""),"",IF(C191=K191,1,IF(COUNTIFS(DB_06[換算鍵],C191&amp;"|"&amp;K191,DB_06[換算檢查],"OK")=1,INDEX(DB_06[乘數],MATCH(C191&amp;"|"&amp;K191,DB_06[換算鍵],0)),""))))</f>
        <v/>
      </c>
      <c r="M191" s="92">
        <f>UPPER(SUBSTITUTE(SUBSTITUTE(SUBSTITUTE(SUBSTITUTE(TRIM(B191&amp;""),"＜","&lt;"),"＞","&gt;"),"≤","&lt;="),"≥","&gt;="))</f>
        <v/>
      </c>
      <c r="N191" s="92">
        <f>IF(M191="","",IF(OR(M191="ND",M191="N.D."),"ND",IF(OR(M191="NA",M191="N/A",M191="N.A."),"NA",IF(OR(LEFT(M191,2)="&lt;=",LEFT(M191,2)="&gt;="),LEFT(M191,2),IF(OR(LEFT(M191,1)="&lt;",LEFT(M191,1)="&gt;"),LEFT(M191,1),"數值")))))</f>
        <v/>
      </c>
      <c r="O191" s="92">
        <f>IF(OR(N191="",N191="ND",N191="NA"),"",IF(N191="數值",M191,TRIM(MID(M191,LEN(N191)+1,99))))</f>
        <v/>
      </c>
      <c r="P191" s="92">
        <f>IF(O191="","",IFERROR(IF(OR(OR(ISNUMBER(SEARCH("%",O191)),ISNUMBER(SEARCH(" ",O191)),ISNUMBER(SEARCH(",",O191))),OR(SUBSTITUTE(SUBSTITUTE(SUBSTITUTE(SUBSTITUTE(SUBSTITUTE(SUBSTITUTE(SUBSTITUTE(SUBSTITUTE(SUBSTITUTE(SUBSTITUTE(SUBSTITUTE(SUBSTITUTE(SUBSTITUTE(SUBSTITUTE(SUBSTITUTE(SUBSTITUTE(SUBSTITUTE(SUBSTITUTE("x"&amp;O191,"0",""),"1",""),"2",""),"3",""),"4",""),"5",""),"6",""),"7",""),"8",""),"9",""),".",""),"E",""),"+",""),"-",""),"&lt;",""),"&gt;",""),"=","")," ","")&lt;&gt;"x",ISNUMBER(SEARCH("-",SUBSTITUTE(SUBSTITUTE("x"&amp;MID(O191,2,99),"E-","E"),"E+","E"))),ISNUMBER(SEARCH("+",SUBSTITUTE(SUBSTITUTE("x"&amp;MID(O191,2,99),"E-","E"),"E+","E"))))),"",IF(ISNUMBER(AH191),AH191,NA())),""))</f>
        <v/>
      </c>
      <c r="Q191" s="92">
        <f>IF(AND(ISNUMBER(L191),ISNUMBER(P191)),L191*P191,"")</f>
        <v/>
      </c>
      <c r="R191" s="92">
        <f>IF(OR(COUNTA($A191:$D191)=0,U191=0),"",IF(INDEX(DB_05[管制設定值],U191)="","",INDEX(DB_05[管制設定值],U191)))</f>
        <v/>
      </c>
      <c r="S191" s="92">
        <f>IF(OR(COUNTA($A191:$D191)=0,U191=0),"",IF(INDEX(DB_05[監測設定值],U191)="","",INDEX(DB_05[監測設定值],U191)))</f>
        <v/>
      </c>
      <c r="T191" s="92">
        <f>IF(COUNTA($A191:$D191)=0,"",IF(COUNTIFS(DB_04[測項鍵],V191)=1,MATCH(V191,DB_04[測項鍵],0),0))</f>
        <v/>
      </c>
      <c r="U191" s="92">
        <f>IF(COUNTA($A191:$D191)=0,"",IF(COUNTIFS(DB_05[標準鍵],W191)=1,MATCH(W191,DB_05[標準鍵],0),0))</f>
        <v/>
      </c>
      <c r="V191" s="92">
        <f>IF(OR(J191="",A191=""),"",J191&amp;"|"&amp;A191)</f>
        <v/>
      </c>
      <c r="W191" s="92">
        <f>IF(OR('07_QAQC'!$C$3="",V191=""),"",'07_QAQC'!$C$3&amp;"|"&amp;V191)</f>
        <v/>
      </c>
      <c r="X191" s="92">
        <f>IF(OR(H191="",A191=""),"",LEN(H191)&amp;":"&amp;H191&amp;LEN(A191)&amp;":"&amp;A191)</f>
        <v/>
      </c>
      <c r="Y191" s="93">
        <f>IF(COUNTA($A191:$D191)=0,"",IF(I191=0,"樣品未建或重複",IF(INDEX(Samples[樣品檢查],I191)="","OK",INDEX(Samples[樣品檢查],I191))))</f>
        <v/>
      </c>
      <c r="Z191" s="93">
        <f>IF(COUNTA($A191:$D191)=0,"",IF(B191="","缺原始值",IF(OR(B191="-",B191="--"),"無資料",IF(N191="NA","不適用",IF(N191="ND","OK",IF(NOT(ISNUMBER(P191)),"格式待核",IF(AND(N191&lt;&gt;"數值",P191&lt;0),"界限不得為負","OK")))))))</f>
        <v/>
      </c>
      <c r="AA191" s="93">
        <f>IF(COUNTA(A191:D191)=0,"",IF(OR(A191="",H191=""),"缺識別欄位",IF(IF(LEN("="&amp;SUBSTITUTE(SUBSTITUTE(SUBSTITUTE(X191,"~","~~"),"*","~*"),"?","~?"))&lt;=255,COUNTIF(Results[結果識別鍵],"="&amp;SUBSTITUTE(SUBSTITUTE(SUBSTITUTE(X191,"~","~~"),"*","~*"),"?","~?")),COUNTIFS(Results[關聯鍵],"="&amp;SUBSTITUTE(SUBSTITUTE(SUBSTITUTE(H191,"~","~~"),"*","~*"),"?","~?"),Results[分析項目],"="&amp;SUBSTITUTE(SUBSTITUTE(SUBSTITUTE(A191,"~","~~"),"*","~*"),"?","~?")))&gt;1,"同關聯鍵測項重複","OK")))</f>
        <v/>
      </c>
      <c r="AB191" s="93">
        <f>IF(COUNTA($A191:$D191)=0,"",IF(OR(C191="",K191=""),"缺單位",IF(NOT(ISNUMBER(L191)),"單位不相容",IF(L191=1,"OK","已換算"))))</f>
        <v/>
      </c>
      <c r="AC191" s="93">
        <f>IF(COUNTA($A191:$D191)=0,"",IF('07_QAQC'!$C$3="","未選比較版本",IF(U191=0,IF(COUNTIFS(DB_05[標準鍵],W191)&gt;1,"標準鍵重複","未訂此介質／測項門檻"),IF(INDEX(DB_05[版本檢查],U191)&lt;&gt;"OK","標準主檔待核",IF(INDEX(DB_05[標準單位],U191)&lt;&gt;K191,"標準單位不符",IF(INDEX(DB_05[核對狀態],U191)="停用","停用",IF(F191="","缺採樣日期",IF(OR(AND(INDEX(DB_05[生效日],U191)&lt;&gt;"",F191&lt;INDEX(DB_05[生效日],U191)),AND(INDEX(DB_05[失效日],U191)&lt;&gt;"",F191&gt;INDEX(DB_05[失效日],U191))),"日期不適用",INDEX(DB_05[核對狀態],U191)))))))))</f>
        <v/>
      </c>
      <c r="AD191" s="93">
        <f>IF(COUNTA($A191:$D191)=0,"",IF(AC191="未訂此介質／測項門檻",AC191,IF(AC191&lt;&gt;"已核對","標準待核",IF(R191="","未訂管制值",IF(NOT(ISNUMBER(L191)),"單位待核",IF(N191="ND","無法判定（ND無界限）",IF(N191="NA","不適用",IF(Z191&lt;&gt;"OK",Z191,IF(N191="數值",IF(Q191&gt;=R191,"達管制值","未達管制值"),IF(OR(N191="&lt;",N191="&lt;="),IF(OR(Q191&lt;R191,AND(N191="&lt;",Q191=R191)),"未達管制值","無法判定"),IF(OR(N191="&gt;",N191="&gt;="),IF(Q191&gt;=R191,"達管制值","無法判定"),"格式待核")))))))))))</f>
        <v/>
      </c>
      <c r="AE191" s="93">
        <f>IF(COUNTA($A191:$D191)=0,"",IF(AC191="未訂此介質／測項門檻",AC191,IF(AC191&lt;&gt;"已核對","標準待核",IF(S191="","未訂監測值",IF(NOT(ISNUMBER(L191)),"單位待核",IF(N191="ND","無法判定（ND無界限）",IF(N191="NA","不適用",IF(Z191&lt;&gt;"OK",Z191,IF(N191="數值",IF(Q191&gt;=S191,"達監測值","未達監測值"),IF(OR(N191="&lt;",N191="&lt;="),IF(OR(Q191&lt;S191,AND(N191="&lt;",Q191=S191)),"未達監測值","無法判定"),IF(OR(N191="&gt;",N191="&gt;="),IF(Q191&gt;=S191,"達監測值","無法判定"),"格式待核")))))))))))</f>
        <v/>
      </c>
      <c r="AF191" s="93">
        <f>IF(COUNTA($A191:$D191)=0,"",IF(OR(E191="",A191="",B191="",C191=""),"缺必要欄位",IF(Y191&lt;&gt;"OK","樣品資料待補",IF(T191=0,"測項未建或重複",IF(INDEX(DB_04[啟用],T191)&lt;&gt;"是","測項停用",IF(AND(Z191&lt;&gt;"OK",Z191&lt;&gt;"不適用"),Z191,IF(AND(AB191&lt;&gt;"OK",AB191&lt;&gt;"已換算"),"單位待核",IF(AA191&lt;&gt;"OK",AA191,"OK"))))))))</f>
        <v/>
      </c>
      <c r="AG191" s="93">
        <f>IF(COUNTA($A191:$D191)=0,"",IF(N191="ND","ND取0",IF(OR(N191="&lt;",N191="&lt;="),"界限除以2",IF(N191="NA","不適用",IF(OR(N191="&gt;",N191="&gt;="),"保留界限數值","保留原數值")))))</f>
        <v/>
      </c>
      <c r="AH191" s="92">
        <f>IF(O191="","",IFERROR(_xlfn.NUMBERVALUE(O191,".",","),""))</f>
        <v/>
      </c>
      <c r="AI191" s="92">
        <f>IF(H191="","",IFERROR(MATCH(H191,Samples[樣品編號],0),0))</f>
        <v/>
      </c>
    </row>
    <row r="192">
      <c r="A192" s="27" t="inlineStr">
        <is>
          <t>ORP</t>
        </is>
      </c>
      <c r="B192" s="28" t="inlineStr">
        <is>
          <t>-85</t>
        </is>
      </c>
      <c r="C192" s="27" t="inlineStr">
        <is>
          <t>mV</t>
        </is>
      </c>
      <c r="D192" s="39" t="inlineStr">
        <is>
          <t>合成資料，非實測；method=field; reference_electrode=Ag/AgCl; calibration=verified</t>
        </is>
      </c>
      <c r="E192" s="29">
        <f>IF(OR(I192="",I192=0),"",IF(INDEX(Samples[監測點],I192)="","",INDEX(Samples[監測點],I192)))</f>
        <v/>
      </c>
      <c r="F192" s="90">
        <f>IF(OR(I192="",I192=0),"",IF(INDEX(Samples[採樣日期],I192)="","",INDEX(Samples[採樣日期],I192)))</f>
        <v/>
      </c>
      <c r="G192" s="91">
        <f>IF(OR(M192="",M192="NA",M192="N/A"),"",IF(OR(M192="ND",M192="N.D."),0,IFERROR(IF(OR(OR(ISNUMBER(SEARCH("%",O192)),ISNUMBER(SEARCH(" ",O192)),ISNUMBER(SEARCH(",",O192))),OR(SUBSTITUTE(SUBSTITUTE(SUBSTITUTE(SUBSTITUTE(SUBSTITUTE(SUBSTITUTE(SUBSTITUTE(SUBSTITUTE(SUBSTITUTE(SUBSTITUTE(SUBSTITUTE(SUBSTITUTE(SUBSTITUTE(SUBSTITUTE(SUBSTITUTE(SUBSTITUTE(SUBSTITUTE(SUBSTITUTE("x"&amp;M192,"0",""),"1",""),"2",""),"3",""),"4",""),"5",""),"6",""),"7",""),"8",""),"9",""),".",""),"E",""),"+",""),"-",""),"&lt;",""),"&gt;",""),"=","")," ","")&lt;&gt;"x",ISNUMBER(SEARCH("-",SUBSTITUTE(SUBSTITUTE("x"&amp;MID(M192,2,99),"E-","E"),"E+","E"))),ISNUMBER(SEARCH("+",SUBSTITUTE(SUBSTITUTE("x"&amp;MID(M192,2,99),"E-","E"),"E+","E"))))),"",IF(AND(OR(LEFT(M192,1)="&lt;",LEFT(M192,1)="&gt;"),IF(O192="",0,IF(ISNUMBER(AH192),AH192,NA()))&lt;0),"",IF(O192="",0,IF(ISNUMBER(AH192),AH192,NA()))/IF(LEFT(M192,1)="&lt;",2,1))),"")))</f>
        <v/>
      </c>
      <c r="H192" s="57" t="inlineStr">
        <is>
          <t>BH04-W_20260415_03</t>
        </is>
      </c>
      <c r="I192" s="92">
        <f>IF(OR(H192="",AI192=0),0,IF(INDEX(Samples[樣品重複筆數],AI192)=1,AI192,0))</f>
        <v/>
      </c>
      <c r="J192" s="92">
        <f>IF(OR(COUNTA($A192:$D192)=0,I192=0),"",IF(INDEX(Samples[介質],I192)="","",INDEX(Samples[介質],I192)))</f>
        <v/>
      </c>
      <c r="K192" s="92">
        <f>IF(OR(COUNTA($A192:$D192)=0,T192=0),"",IF(INDEX(DB_04[標準單位],T192)="","",INDEX(DB_04[標準單位],T192)))</f>
        <v/>
      </c>
      <c r="L192" s="92">
        <f>IF(COUNTA($A192:$D192)=0,"",IF(OR(C192="",K192=""),"",IF(C192=K192,1,IF(COUNTIFS(DB_06[換算鍵],C192&amp;"|"&amp;K192,DB_06[換算檢查],"OK")=1,INDEX(DB_06[乘數],MATCH(C192&amp;"|"&amp;K192,DB_06[換算鍵],0)),""))))</f>
        <v/>
      </c>
      <c r="M192" s="92">
        <f>UPPER(SUBSTITUTE(SUBSTITUTE(SUBSTITUTE(SUBSTITUTE(TRIM(B192&amp;""),"＜","&lt;"),"＞","&gt;"),"≤","&lt;="),"≥","&gt;="))</f>
        <v/>
      </c>
      <c r="N192" s="92">
        <f>IF(M192="","",IF(OR(M192="ND",M192="N.D."),"ND",IF(OR(M192="NA",M192="N/A",M192="N.A."),"NA",IF(OR(LEFT(M192,2)="&lt;=",LEFT(M192,2)="&gt;="),LEFT(M192,2),IF(OR(LEFT(M192,1)="&lt;",LEFT(M192,1)="&gt;"),LEFT(M192,1),"數值")))))</f>
        <v/>
      </c>
      <c r="O192" s="92">
        <f>IF(OR(N192="",N192="ND",N192="NA"),"",IF(N192="數值",M192,TRIM(MID(M192,LEN(N192)+1,99))))</f>
        <v/>
      </c>
      <c r="P192" s="92">
        <f>IF(O192="","",IFERROR(IF(OR(OR(ISNUMBER(SEARCH("%",O192)),ISNUMBER(SEARCH(" ",O192)),ISNUMBER(SEARCH(",",O192))),OR(SUBSTITUTE(SUBSTITUTE(SUBSTITUTE(SUBSTITUTE(SUBSTITUTE(SUBSTITUTE(SUBSTITUTE(SUBSTITUTE(SUBSTITUTE(SUBSTITUTE(SUBSTITUTE(SUBSTITUTE(SUBSTITUTE(SUBSTITUTE(SUBSTITUTE(SUBSTITUTE(SUBSTITUTE(SUBSTITUTE("x"&amp;O192,"0",""),"1",""),"2",""),"3",""),"4",""),"5",""),"6",""),"7",""),"8",""),"9",""),".",""),"E",""),"+",""),"-",""),"&lt;",""),"&gt;",""),"=","")," ","")&lt;&gt;"x",ISNUMBER(SEARCH("-",SUBSTITUTE(SUBSTITUTE("x"&amp;MID(O192,2,99),"E-","E"),"E+","E"))),ISNUMBER(SEARCH("+",SUBSTITUTE(SUBSTITUTE("x"&amp;MID(O192,2,99),"E-","E"),"E+","E"))))),"",IF(ISNUMBER(AH192),AH192,NA())),""))</f>
        <v/>
      </c>
      <c r="Q192" s="92">
        <f>IF(AND(ISNUMBER(L192),ISNUMBER(P192)),L192*P192,"")</f>
        <v/>
      </c>
      <c r="R192" s="92">
        <f>IF(OR(COUNTA($A192:$D192)=0,U192=0),"",IF(INDEX(DB_05[管制設定值],U192)="","",INDEX(DB_05[管制設定值],U192)))</f>
        <v/>
      </c>
      <c r="S192" s="92">
        <f>IF(OR(COUNTA($A192:$D192)=0,U192=0),"",IF(INDEX(DB_05[監測設定值],U192)="","",INDEX(DB_05[監測設定值],U192)))</f>
        <v/>
      </c>
      <c r="T192" s="92">
        <f>IF(COUNTA($A192:$D192)=0,"",IF(COUNTIFS(DB_04[測項鍵],V192)=1,MATCH(V192,DB_04[測項鍵],0),0))</f>
        <v/>
      </c>
      <c r="U192" s="92">
        <f>IF(COUNTA($A192:$D192)=0,"",IF(COUNTIFS(DB_05[標準鍵],W192)=1,MATCH(W192,DB_05[標準鍵],0),0))</f>
        <v/>
      </c>
      <c r="V192" s="92">
        <f>IF(OR(J192="",A192=""),"",J192&amp;"|"&amp;A192)</f>
        <v/>
      </c>
      <c r="W192" s="92">
        <f>IF(OR('07_QAQC'!$C$3="",V192=""),"",'07_QAQC'!$C$3&amp;"|"&amp;V192)</f>
        <v/>
      </c>
      <c r="X192" s="92">
        <f>IF(OR(H192="",A192=""),"",LEN(H192)&amp;":"&amp;H192&amp;LEN(A192)&amp;":"&amp;A192)</f>
        <v/>
      </c>
      <c r="Y192" s="93">
        <f>IF(COUNTA($A192:$D192)=0,"",IF(I192=0,"樣品未建或重複",IF(INDEX(Samples[樣品檢查],I192)="","OK",INDEX(Samples[樣品檢查],I192))))</f>
        <v/>
      </c>
      <c r="Z192" s="93">
        <f>IF(COUNTA($A192:$D192)=0,"",IF(B192="","缺原始值",IF(OR(B192="-",B192="--"),"無資料",IF(N192="NA","不適用",IF(N192="ND","OK",IF(NOT(ISNUMBER(P192)),"格式待核",IF(AND(N192&lt;&gt;"數值",P192&lt;0),"界限不得為負","OK")))))))</f>
        <v/>
      </c>
      <c r="AA192" s="93">
        <f>IF(COUNTA(A192:D192)=0,"",IF(OR(A192="",H192=""),"缺識別欄位",IF(IF(LEN("="&amp;SUBSTITUTE(SUBSTITUTE(SUBSTITUTE(X192,"~","~~"),"*","~*"),"?","~?"))&lt;=255,COUNTIF(Results[結果識別鍵],"="&amp;SUBSTITUTE(SUBSTITUTE(SUBSTITUTE(X192,"~","~~"),"*","~*"),"?","~?")),COUNTIFS(Results[關聯鍵],"="&amp;SUBSTITUTE(SUBSTITUTE(SUBSTITUTE(H192,"~","~~"),"*","~*"),"?","~?"),Results[分析項目],"="&amp;SUBSTITUTE(SUBSTITUTE(SUBSTITUTE(A192,"~","~~"),"*","~*"),"?","~?")))&gt;1,"同關聯鍵測項重複","OK")))</f>
        <v/>
      </c>
      <c r="AB192" s="93">
        <f>IF(COUNTA($A192:$D192)=0,"",IF(OR(C192="",K192=""),"缺單位",IF(NOT(ISNUMBER(L192)),"單位不相容",IF(L192=1,"OK","已換算"))))</f>
        <v/>
      </c>
      <c r="AC192" s="93">
        <f>IF(COUNTA($A192:$D192)=0,"",IF('07_QAQC'!$C$3="","未選比較版本",IF(U192=0,IF(COUNTIFS(DB_05[標準鍵],W192)&gt;1,"標準鍵重複","未訂此介質／測項門檻"),IF(INDEX(DB_05[版本檢查],U192)&lt;&gt;"OK","標準主檔待核",IF(INDEX(DB_05[標準單位],U192)&lt;&gt;K192,"標準單位不符",IF(INDEX(DB_05[核對狀態],U192)="停用","停用",IF(F192="","缺採樣日期",IF(OR(AND(INDEX(DB_05[生效日],U192)&lt;&gt;"",F192&lt;INDEX(DB_05[生效日],U192)),AND(INDEX(DB_05[失效日],U192)&lt;&gt;"",F192&gt;INDEX(DB_05[失效日],U192))),"日期不適用",INDEX(DB_05[核對狀態],U192)))))))))</f>
        <v/>
      </c>
      <c r="AD192" s="93">
        <f>IF(COUNTA($A192:$D192)=0,"",IF(AC192="未訂此介質／測項門檻",AC192,IF(AC192&lt;&gt;"已核對","標準待核",IF(R192="","未訂管制值",IF(NOT(ISNUMBER(L192)),"單位待核",IF(N192="ND","無法判定（ND無界限）",IF(N192="NA","不適用",IF(Z192&lt;&gt;"OK",Z192,IF(N192="數值",IF(Q192&gt;=R192,"達管制值","未達管制值"),IF(OR(N192="&lt;",N192="&lt;="),IF(OR(Q192&lt;R192,AND(N192="&lt;",Q192=R192)),"未達管制值","無法判定"),IF(OR(N192="&gt;",N192="&gt;="),IF(Q192&gt;=R192,"達管制值","無法判定"),"格式待核")))))))))))</f>
        <v/>
      </c>
      <c r="AE192" s="93">
        <f>IF(COUNTA($A192:$D192)=0,"",IF(AC192="未訂此介質／測項門檻",AC192,IF(AC192&lt;&gt;"已核對","標準待核",IF(S192="","未訂監測值",IF(NOT(ISNUMBER(L192)),"單位待核",IF(N192="ND","無法判定（ND無界限）",IF(N192="NA","不適用",IF(Z192&lt;&gt;"OK",Z192,IF(N192="數值",IF(Q192&gt;=S192,"達監測值","未達監測值"),IF(OR(N192="&lt;",N192="&lt;="),IF(OR(Q192&lt;S192,AND(N192="&lt;",Q192=S192)),"未達監測值","無法判定"),IF(OR(N192="&gt;",N192="&gt;="),IF(Q192&gt;=S192,"達監測值","無法判定"),"格式待核")))))))))))</f>
        <v/>
      </c>
      <c r="AF192" s="93">
        <f>IF(COUNTA($A192:$D192)=0,"",IF(OR(E192="",A192="",B192="",C192=""),"缺必要欄位",IF(Y192&lt;&gt;"OK","樣品資料待補",IF(T192=0,"測項未建或重複",IF(INDEX(DB_04[啟用],T192)&lt;&gt;"是","測項停用",IF(AND(Z192&lt;&gt;"OK",Z192&lt;&gt;"不適用"),Z192,IF(AND(AB192&lt;&gt;"OK",AB192&lt;&gt;"已換算"),"單位待核",IF(AA192&lt;&gt;"OK",AA192,"OK"))))))))</f>
        <v/>
      </c>
      <c r="AG192" s="93">
        <f>IF(COUNTA($A192:$D192)=0,"",IF(N192="ND","ND取0",IF(OR(N192="&lt;",N192="&lt;="),"界限除以2",IF(N192="NA","不適用",IF(OR(N192="&gt;",N192="&gt;="),"保留界限數值","保留原數值")))))</f>
        <v/>
      </c>
      <c r="AH192" s="92">
        <f>IF(O192="","",IFERROR(_xlfn.NUMBERVALUE(O192,".",","),""))</f>
        <v/>
      </c>
      <c r="AI192" s="92">
        <f>IF(H192="","",IFERROR(MATCH(H192,Samples[樣品編號],0),0))</f>
        <v/>
      </c>
    </row>
    <row r="193">
      <c r="A193" s="27" t="inlineStr">
        <is>
          <t>總有機碳</t>
        </is>
      </c>
      <c r="B193" s="28" t="inlineStr">
        <is>
          <t>3.5</t>
        </is>
      </c>
      <c r="C193" s="27" t="inlineStr">
        <is>
          <t>mg/L</t>
        </is>
      </c>
      <c r="D193" s="39" t="inlineStr">
        <is>
          <t>合成資料，非實測；method=lab</t>
        </is>
      </c>
      <c r="E193" s="29">
        <f>IF(OR(I193="",I193=0),"",IF(INDEX(Samples[監測點],I193)="","",INDEX(Samples[監測點],I193)))</f>
        <v/>
      </c>
      <c r="F193" s="90">
        <f>IF(OR(I193="",I193=0),"",IF(INDEX(Samples[採樣日期],I193)="","",INDEX(Samples[採樣日期],I193)))</f>
        <v/>
      </c>
      <c r="G193" s="91">
        <f>IF(OR(M193="",M193="NA",M193="N/A"),"",IF(OR(M193="ND",M193="N.D."),0,IFERROR(IF(OR(OR(ISNUMBER(SEARCH("%",O193)),ISNUMBER(SEARCH(" ",O193)),ISNUMBER(SEARCH(",",O193))),OR(SUBSTITUTE(SUBSTITUTE(SUBSTITUTE(SUBSTITUTE(SUBSTITUTE(SUBSTITUTE(SUBSTITUTE(SUBSTITUTE(SUBSTITUTE(SUBSTITUTE(SUBSTITUTE(SUBSTITUTE(SUBSTITUTE(SUBSTITUTE(SUBSTITUTE(SUBSTITUTE(SUBSTITUTE(SUBSTITUTE("x"&amp;M193,"0",""),"1",""),"2",""),"3",""),"4",""),"5",""),"6",""),"7",""),"8",""),"9",""),".",""),"E",""),"+",""),"-",""),"&lt;",""),"&gt;",""),"=","")," ","")&lt;&gt;"x",ISNUMBER(SEARCH("-",SUBSTITUTE(SUBSTITUTE("x"&amp;MID(M193,2,99),"E-","E"),"E+","E"))),ISNUMBER(SEARCH("+",SUBSTITUTE(SUBSTITUTE("x"&amp;MID(M193,2,99),"E-","E"),"E+","E"))))),"",IF(AND(OR(LEFT(M193,1)="&lt;",LEFT(M193,1)="&gt;"),IF(O193="",0,IF(ISNUMBER(AH193),AH193,NA()))&lt;0),"",IF(O193="",0,IF(ISNUMBER(AH193),AH193,NA()))/IF(LEFT(M193,1)="&lt;",2,1))),"")))</f>
        <v/>
      </c>
      <c r="H193" s="57" t="inlineStr">
        <is>
          <t>BH04-W_20260415_03</t>
        </is>
      </c>
      <c r="I193" s="92">
        <f>IF(OR(H193="",AI193=0),0,IF(INDEX(Samples[樣品重複筆數],AI193)=1,AI193,0))</f>
        <v/>
      </c>
      <c r="J193" s="92">
        <f>IF(OR(COUNTA($A193:$D193)=0,I193=0),"",IF(INDEX(Samples[介質],I193)="","",INDEX(Samples[介質],I193)))</f>
        <v/>
      </c>
      <c r="K193" s="92">
        <f>IF(OR(COUNTA($A193:$D193)=0,T193=0),"",IF(INDEX(DB_04[標準單位],T193)="","",INDEX(DB_04[標準單位],T193)))</f>
        <v/>
      </c>
      <c r="L193" s="92">
        <f>IF(COUNTA($A193:$D193)=0,"",IF(OR(C193="",K193=""),"",IF(C193=K193,1,IF(COUNTIFS(DB_06[換算鍵],C193&amp;"|"&amp;K193,DB_06[換算檢查],"OK")=1,INDEX(DB_06[乘數],MATCH(C193&amp;"|"&amp;K193,DB_06[換算鍵],0)),""))))</f>
        <v/>
      </c>
      <c r="M193" s="92">
        <f>UPPER(SUBSTITUTE(SUBSTITUTE(SUBSTITUTE(SUBSTITUTE(TRIM(B193&amp;""),"＜","&lt;"),"＞","&gt;"),"≤","&lt;="),"≥","&gt;="))</f>
        <v/>
      </c>
      <c r="N193" s="92">
        <f>IF(M193="","",IF(OR(M193="ND",M193="N.D."),"ND",IF(OR(M193="NA",M193="N/A",M193="N.A."),"NA",IF(OR(LEFT(M193,2)="&lt;=",LEFT(M193,2)="&gt;="),LEFT(M193,2),IF(OR(LEFT(M193,1)="&lt;",LEFT(M193,1)="&gt;"),LEFT(M193,1),"數值")))))</f>
        <v/>
      </c>
      <c r="O193" s="92">
        <f>IF(OR(N193="",N193="ND",N193="NA"),"",IF(N193="數值",M193,TRIM(MID(M193,LEN(N193)+1,99))))</f>
        <v/>
      </c>
      <c r="P193" s="92">
        <f>IF(O193="","",IFERROR(IF(OR(OR(ISNUMBER(SEARCH("%",O193)),ISNUMBER(SEARCH(" ",O193)),ISNUMBER(SEARCH(",",O193))),OR(SUBSTITUTE(SUBSTITUTE(SUBSTITUTE(SUBSTITUTE(SUBSTITUTE(SUBSTITUTE(SUBSTITUTE(SUBSTITUTE(SUBSTITUTE(SUBSTITUTE(SUBSTITUTE(SUBSTITUTE(SUBSTITUTE(SUBSTITUTE(SUBSTITUTE(SUBSTITUTE(SUBSTITUTE(SUBSTITUTE("x"&amp;O193,"0",""),"1",""),"2",""),"3",""),"4",""),"5",""),"6",""),"7",""),"8",""),"9",""),".",""),"E",""),"+",""),"-",""),"&lt;",""),"&gt;",""),"=","")," ","")&lt;&gt;"x",ISNUMBER(SEARCH("-",SUBSTITUTE(SUBSTITUTE("x"&amp;MID(O193,2,99),"E-","E"),"E+","E"))),ISNUMBER(SEARCH("+",SUBSTITUTE(SUBSTITUTE("x"&amp;MID(O193,2,99),"E-","E"),"E+","E"))))),"",IF(ISNUMBER(AH193),AH193,NA())),""))</f>
        <v/>
      </c>
      <c r="Q193" s="92">
        <f>IF(AND(ISNUMBER(L193),ISNUMBER(P193)),L193*P193,"")</f>
        <v/>
      </c>
      <c r="R193" s="92">
        <f>IF(OR(COUNTA($A193:$D193)=0,U193=0),"",IF(INDEX(DB_05[管制設定值],U193)="","",INDEX(DB_05[管制設定值],U193)))</f>
        <v/>
      </c>
      <c r="S193" s="92">
        <f>IF(OR(COUNTA($A193:$D193)=0,U193=0),"",IF(INDEX(DB_05[監測設定值],U193)="","",INDEX(DB_05[監測設定值],U193)))</f>
        <v/>
      </c>
      <c r="T193" s="92">
        <f>IF(COUNTA($A193:$D193)=0,"",IF(COUNTIFS(DB_04[測項鍵],V193)=1,MATCH(V193,DB_04[測項鍵],0),0))</f>
        <v/>
      </c>
      <c r="U193" s="92">
        <f>IF(COUNTA($A193:$D193)=0,"",IF(COUNTIFS(DB_05[標準鍵],W193)=1,MATCH(W193,DB_05[標準鍵],0),0))</f>
        <v/>
      </c>
      <c r="V193" s="92">
        <f>IF(OR(J193="",A193=""),"",J193&amp;"|"&amp;A193)</f>
        <v/>
      </c>
      <c r="W193" s="92">
        <f>IF(OR('07_QAQC'!$C$3="",V193=""),"",'07_QAQC'!$C$3&amp;"|"&amp;V193)</f>
        <v/>
      </c>
      <c r="X193" s="92">
        <f>IF(OR(H193="",A193=""),"",LEN(H193)&amp;":"&amp;H193&amp;LEN(A193)&amp;":"&amp;A193)</f>
        <v/>
      </c>
      <c r="Y193" s="93">
        <f>IF(COUNTA($A193:$D193)=0,"",IF(I193=0,"樣品未建或重複",IF(INDEX(Samples[樣品檢查],I193)="","OK",INDEX(Samples[樣品檢查],I193))))</f>
        <v/>
      </c>
      <c r="Z193" s="93">
        <f>IF(COUNTA($A193:$D193)=0,"",IF(B193="","缺原始值",IF(OR(B193="-",B193="--"),"無資料",IF(N193="NA","不適用",IF(N193="ND","OK",IF(NOT(ISNUMBER(P193)),"格式待核",IF(AND(N193&lt;&gt;"數值",P193&lt;0),"界限不得為負","OK")))))))</f>
        <v/>
      </c>
      <c r="AA193" s="93">
        <f>IF(COUNTA(A193:D193)=0,"",IF(OR(A193="",H193=""),"缺識別欄位",IF(IF(LEN("="&amp;SUBSTITUTE(SUBSTITUTE(SUBSTITUTE(X193,"~","~~"),"*","~*"),"?","~?"))&lt;=255,COUNTIF(Results[結果識別鍵],"="&amp;SUBSTITUTE(SUBSTITUTE(SUBSTITUTE(X193,"~","~~"),"*","~*"),"?","~?")),COUNTIFS(Results[關聯鍵],"="&amp;SUBSTITUTE(SUBSTITUTE(SUBSTITUTE(H193,"~","~~"),"*","~*"),"?","~?"),Results[分析項目],"="&amp;SUBSTITUTE(SUBSTITUTE(SUBSTITUTE(A193,"~","~~"),"*","~*"),"?","~?")))&gt;1,"同關聯鍵測項重複","OK")))</f>
        <v/>
      </c>
      <c r="AB193" s="93">
        <f>IF(COUNTA($A193:$D193)=0,"",IF(OR(C193="",K193=""),"缺單位",IF(NOT(ISNUMBER(L193)),"單位不相容",IF(L193=1,"OK","已換算"))))</f>
        <v/>
      </c>
      <c r="AC193" s="93">
        <f>IF(COUNTA($A193:$D193)=0,"",IF('07_QAQC'!$C$3="","未選比較版本",IF(U193=0,IF(COUNTIFS(DB_05[標準鍵],W193)&gt;1,"標準鍵重複","未訂此介質／測項門檻"),IF(INDEX(DB_05[版本檢查],U193)&lt;&gt;"OK","標準主檔待核",IF(INDEX(DB_05[標準單位],U193)&lt;&gt;K193,"標準單位不符",IF(INDEX(DB_05[核對狀態],U193)="停用","停用",IF(F193="","缺採樣日期",IF(OR(AND(INDEX(DB_05[生效日],U193)&lt;&gt;"",F193&lt;INDEX(DB_05[生效日],U193)),AND(INDEX(DB_05[失效日],U193)&lt;&gt;"",F193&gt;INDEX(DB_05[失效日],U193))),"日期不適用",INDEX(DB_05[核對狀態],U193)))))))))</f>
        <v/>
      </c>
      <c r="AD193" s="93">
        <f>IF(COUNTA($A193:$D193)=0,"",IF(AC193="未訂此介質／測項門檻",AC193,IF(AC193&lt;&gt;"已核對","標準待核",IF(R193="","未訂管制值",IF(NOT(ISNUMBER(L193)),"單位待核",IF(N193="ND","無法判定（ND無界限）",IF(N193="NA","不適用",IF(Z193&lt;&gt;"OK",Z193,IF(N193="數值",IF(Q193&gt;=R193,"達管制值","未達管制值"),IF(OR(N193="&lt;",N193="&lt;="),IF(OR(Q193&lt;R193,AND(N193="&lt;",Q193=R193)),"未達管制值","無法判定"),IF(OR(N193="&gt;",N193="&gt;="),IF(Q193&gt;=R193,"達管制值","無法判定"),"格式待核")))))))))))</f>
        <v/>
      </c>
      <c r="AE193" s="93">
        <f>IF(COUNTA($A193:$D193)=0,"",IF(AC193="未訂此介質／測項門檻",AC193,IF(AC193&lt;&gt;"已核對","標準待核",IF(S193="","未訂監測值",IF(NOT(ISNUMBER(L193)),"單位待核",IF(N193="ND","無法判定（ND無界限）",IF(N193="NA","不適用",IF(Z193&lt;&gt;"OK",Z193,IF(N193="數值",IF(Q193&gt;=S193,"達監測值","未達監測值"),IF(OR(N193="&lt;",N193="&lt;="),IF(OR(Q193&lt;S193,AND(N193="&lt;",Q193=S193)),"未達監測值","無法判定"),IF(OR(N193="&gt;",N193="&gt;="),IF(Q193&gt;=S193,"達監測值","無法判定"),"格式待核")))))))))))</f>
        <v/>
      </c>
      <c r="AF193" s="93">
        <f>IF(COUNTA($A193:$D193)=0,"",IF(OR(E193="",A193="",B193="",C193=""),"缺必要欄位",IF(Y193&lt;&gt;"OK","樣品資料待補",IF(T193=0,"測項未建或重複",IF(INDEX(DB_04[啟用],T193)&lt;&gt;"是","測項停用",IF(AND(Z193&lt;&gt;"OK",Z193&lt;&gt;"不適用"),Z193,IF(AND(AB193&lt;&gt;"OK",AB193&lt;&gt;"已換算"),"單位待核",IF(AA193&lt;&gt;"OK",AA193,"OK"))))))))</f>
        <v/>
      </c>
      <c r="AG193" s="93">
        <f>IF(COUNTA($A193:$D193)=0,"",IF(N193="ND","ND取0",IF(OR(N193="&lt;",N193="&lt;="),"界限除以2",IF(N193="NA","不適用",IF(OR(N193="&gt;",N193="&gt;="),"保留界限數值","保留原數值")))))</f>
        <v/>
      </c>
      <c r="AH193" s="92">
        <f>IF(O193="","",IFERROR(_xlfn.NUMBERVALUE(O193,".",","),""))</f>
        <v/>
      </c>
      <c r="AI193" s="92">
        <f>IF(H193="","",IFERROR(MATCH(H193,Samples[樣品編號],0),0))</f>
        <v/>
      </c>
    </row>
    <row r="194">
      <c r="A194" s="27" t="inlineStr">
        <is>
          <t>鋅</t>
        </is>
      </c>
      <c r="B194" s="28" t="inlineStr">
        <is>
          <t>130</t>
        </is>
      </c>
      <c r="C194" s="27" t="inlineStr">
        <is>
          <t>mg/kg</t>
        </is>
      </c>
      <c r="D194" s="39" t="inlineStr">
        <is>
          <t>合成資料，非實測；method=XRF; basis=dry</t>
        </is>
      </c>
      <c r="E194" s="29">
        <f>IF(OR(I194="",I194=0),"",IF(INDEX(Samples[監測點],I194)="","",INDEX(Samples[監測點],I194)))</f>
        <v/>
      </c>
      <c r="F194" s="90">
        <f>IF(OR(I194="",I194=0),"",IF(INDEX(Samples[採樣日期],I194)="","",INDEX(Samples[採樣日期],I194)))</f>
        <v/>
      </c>
      <c r="G194" s="91">
        <f>IF(OR(M194="",M194="NA",M194="N/A"),"",IF(OR(M194="ND",M194="N.D."),0,IFERROR(IF(OR(OR(ISNUMBER(SEARCH("%",O194)),ISNUMBER(SEARCH(" ",O194)),ISNUMBER(SEARCH(",",O194))),OR(SUBSTITUTE(SUBSTITUTE(SUBSTITUTE(SUBSTITUTE(SUBSTITUTE(SUBSTITUTE(SUBSTITUTE(SUBSTITUTE(SUBSTITUTE(SUBSTITUTE(SUBSTITUTE(SUBSTITUTE(SUBSTITUTE(SUBSTITUTE(SUBSTITUTE(SUBSTITUTE(SUBSTITUTE(SUBSTITUTE("x"&amp;M194,"0",""),"1",""),"2",""),"3",""),"4",""),"5",""),"6",""),"7",""),"8",""),"9",""),".",""),"E",""),"+",""),"-",""),"&lt;",""),"&gt;",""),"=","")," ","")&lt;&gt;"x",ISNUMBER(SEARCH("-",SUBSTITUTE(SUBSTITUTE("x"&amp;MID(M194,2,99),"E-","E"),"E+","E"))),ISNUMBER(SEARCH("+",SUBSTITUTE(SUBSTITUTE("x"&amp;MID(M194,2,99),"E-","E"),"E+","E"))))),"",IF(AND(OR(LEFT(M194,1)="&lt;",LEFT(M194,1)="&gt;"),IF(O194="",0,IF(ISNUMBER(AH194),AH194,NA()))&lt;0),"",IF(O194="",0,IF(ISNUMBER(AH194),AH194,NA()))/IF(LEFT(M194,1)="&lt;",2,1))),"")))</f>
        <v/>
      </c>
      <c r="H194" s="57" t="inlineStr">
        <is>
          <t>BH05-S_20260115_01</t>
        </is>
      </c>
      <c r="I194" s="92">
        <f>IF(OR(H194="",AI194=0),0,IF(INDEX(Samples[樣品重複筆數],AI194)=1,AI194,0))</f>
        <v/>
      </c>
      <c r="J194" s="92">
        <f>IF(OR(COUNTA($A194:$D194)=0,I194=0),"",IF(INDEX(Samples[介質],I194)="","",INDEX(Samples[介質],I194)))</f>
        <v/>
      </c>
      <c r="K194" s="92">
        <f>IF(OR(COUNTA($A194:$D194)=0,T194=0),"",IF(INDEX(DB_04[標準單位],T194)="","",INDEX(DB_04[標準單位],T194)))</f>
        <v/>
      </c>
      <c r="L194" s="92">
        <f>IF(COUNTA($A194:$D194)=0,"",IF(OR(C194="",K194=""),"",IF(C194=K194,1,IF(COUNTIFS(DB_06[換算鍵],C194&amp;"|"&amp;K194,DB_06[換算檢查],"OK")=1,INDEX(DB_06[乘數],MATCH(C194&amp;"|"&amp;K194,DB_06[換算鍵],0)),""))))</f>
        <v/>
      </c>
      <c r="M194" s="92">
        <f>UPPER(SUBSTITUTE(SUBSTITUTE(SUBSTITUTE(SUBSTITUTE(TRIM(B194&amp;""),"＜","&lt;"),"＞","&gt;"),"≤","&lt;="),"≥","&gt;="))</f>
        <v/>
      </c>
      <c r="N194" s="92">
        <f>IF(M194="","",IF(OR(M194="ND",M194="N.D."),"ND",IF(OR(M194="NA",M194="N/A",M194="N.A."),"NA",IF(OR(LEFT(M194,2)="&lt;=",LEFT(M194,2)="&gt;="),LEFT(M194,2),IF(OR(LEFT(M194,1)="&lt;",LEFT(M194,1)="&gt;"),LEFT(M194,1),"數值")))))</f>
        <v/>
      </c>
      <c r="O194" s="92">
        <f>IF(OR(N194="",N194="ND",N194="NA"),"",IF(N194="數值",M194,TRIM(MID(M194,LEN(N194)+1,99))))</f>
        <v/>
      </c>
      <c r="P194" s="92">
        <f>IF(O194="","",IFERROR(IF(OR(OR(ISNUMBER(SEARCH("%",O194)),ISNUMBER(SEARCH(" ",O194)),ISNUMBER(SEARCH(",",O194))),OR(SUBSTITUTE(SUBSTITUTE(SUBSTITUTE(SUBSTITUTE(SUBSTITUTE(SUBSTITUTE(SUBSTITUTE(SUBSTITUTE(SUBSTITUTE(SUBSTITUTE(SUBSTITUTE(SUBSTITUTE(SUBSTITUTE(SUBSTITUTE(SUBSTITUTE(SUBSTITUTE(SUBSTITUTE(SUBSTITUTE("x"&amp;O194,"0",""),"1",""),"2",""),"3",""),"4",""),"5",""),"6",""),"7",""),"8",""),"9",""),".",""),"E",""),"+",""),"-",""),"&lt;",""),"&gt;",""),"=","")," ","")&lt;&gt;"x",ISNUMBER(SEARCH("-",SUBSTITUTE(SUBSTITUTE("x"&amp;MID(O194,2,99),"E-","E"),"E+","E"))),ISNUMBER(SEARCH("+",SUBSTITUTE(SUBSTITUTE("x"&amp;MID(O194,2,99),"E-","E"),"E+","E"))))),"",IF(ISNUMBER(AH194),AH194,NA())),""))</f>
        <v/>
      </c>
      <c r="Q194" s="92">
        <f>IF(AND(ISNUMBER(L194),ISNUMBER(P194)),L194*P194,"")</f>
        <v/>
      </c>
      <c r="R194" s="92">
        <f>IF(OR(COUNTA($A194:$D194)=0,U194=0),"",IF(INDEX(DB_05[管制設定值],U194)="","",INDEX(DB_05[管制設定值],U194)))</f>
        <v/>
      </c>
      <c r="S194" s="92">
        <f>IF(OR(COUNTA($A194:$D194)=0,U194=0),"",IF(INDEX(DB_05[監測設定值],U194)="","",INDEX(DB_05[監測設定值],U194)))</f>
        <v/>
      </c>
      <c r="T194" s="92">
        <f>IF(COUNTA($A194:$D194)=0,"",IF(COUNTIFS(DB_04[測項鍵],V194)=1,MATCH(V194,DB_04[測項鍵],0),0))</f>
        <v/>
      </c>
      <c r="U194" s="92">
        <f>IF(COUNTA($A194:$D194)=0,"",IF(COUNTIFS(DB_05[標準鍵],W194)=1,MATCH(W194,DB_05[標準鍵],0),0))</f>
        <v/>
      </c>
      <c r="V194" s="92">
        <f>IF(OR(J194="",A194=""),"",J194&amp;"|"&amp;A194)</f>
        <v/>
      </c>
      <c r="W194" s="92">
        <f>IF(OR('07_QAQC'!$C$3="",V194=""),"",'07_QAQC'!$C$3&amp;"|"&amp;V194)</f>
        <v/>
      </c>
      <c r="X194" s="92">
        <f>IF(OR(H194="",A194=""),"",LEN(H194)&amp;":"&amp;H194&amp;LEN(A194)&amp;":"&amp;A194)</f>
        <v/>
      </c>
      <c r="Y194" s="93">
        <f>IF(COUNTA($A194:$D194)=0,"",IF(I194=0,"樣品未建或重複",IF(INDEX(Samples[樣品檢查],I194)="","OK",INDEX(Samples[樣品檢查],I194))))</f>
        <v/>
      </c>
      <c r="Z194" s="93">
        <f>IF(COUNTA($A194:$D194)=0,"",IF(B194="","缺原始值",IF(OR(B194="-",B194="--"),"無資料",IF(N194="NA","不適用",IF(N194="ND","OK",IF(NOT(ISNUMBER(P194)),"格式待核",IF(AND(N194&lt;&gt;"數值",P194&lt;0),"界限不得為負","OK")))))))</f>
        <v/>
      </c>
      <c r="AA194" s="93">
        <f>IF(COUNTA(A194:D194)=0,"",IF(OR(A194="",H194=""),"缺識別欄位",IF(IF(LEN("="&amp;SUBSTITUTE(SUBSTITUTE(SUBSTITUTE(X194,"~","~~"),"*","~*"),"?","~?"))&lt;=255,COUNTIF(Results[結果識別鍵],"="&amp;SUBSTITUTE(SUBSTITUTE(SUBSTITUTE(X194,"~","~~"),"*","~*"),"?","~?")),COUNTIFS(Results[關聯鍵],"="&amp;SUBSTITUTE(SUBSTITUTE(SUBSTITUTE(H194,"~","~~"),"*","~*"),"?","~?"),Results[分析項目],"="&amp;SUBSTITUTE(SUBSTITUTE(SUBSTITUTE(A194,"~","~~"),"*","~*"),"?","~?")))&gt;1,"同關聯鍵測項重複","OK")))</f>
        <v/>
      </c>
      <c r="AB194" s="93">
        <f>IF(COUNTA($A194:$D194)=0,"",IF(OR(C194="",K194=""),"缺單位",IF(NOT(ISNUMBER(L194)),"單位不相容",IF(L194=1,"OK","已換算"))))</f>
        <v/>
      </c>
      <c r="AC194" s="93">
        <f>IF(COUNTA($A194:$D194)=0,"",IF('07_QAQC'!$C$3="","未選比較版本",IF(U194=0,IF(COUNTIFS(DB_05[標準鍵],W194)&gt;1,"標準鍵重複","未訂此介質／測項門檻"),IF(INDEX(DB_05[版本檢查],U194)&lt;&gt;"OK","標準主檔待核",IF(INDEX(DB_05[標準單位],U194)&lt;&gt;K194,"標準單位不符",IF(INDEX(DB_05[核對狀態],U194)="停用","停用",IF(F194="","缺採樣日期",IF(OR(AND(INDEX(DB_05[生效日],U194)&lt;&gt;"",F194&lt;INDEX(DB_05[生效日],U194)),AND(INDEX(DB_05[失效日],U194)&lt;&gt;"",F194&gt;INDEX(DB_05[失效日],U194))),"日期不適用",INDEX(DB_05[核對狀態],U194)))))))))</f>
        <v/>
      </c>
      <c r="AD194" s="93">
        <f>IF(COUNTA($A194:$D194)=0,"",IF(AC194="未訂此介質／測項門檻",AC194,IF(AC194&lt;&gt;"已核對","標準待核",IF(R194="","未訂管制值",IF(NOT(ISNUMBER(L194)),"單位待核",IF(N194="ND","無法判定（ND無界限）",IF(N194="NA","不適用",IF(Z194&lt;&gt;"OK",Z194,IF(N194="數值",IF(Q194&gt;=R194,"達管制值","未達管制值"),IF(OR(N194="&lt;",N194="&lt;="),IF(OR(Q194&lt;R194,AND(N194="&lt;",Q194=R194)),"未達管制值","無法判定"),IF(OR(N194="&gt;",N194="&gt;="),IF(Q194&gt;=R194,"達管制值","無法判定"),"格式待核")))))))))))</f>
        <v/>
      </c>
      <c r="AE194" s="93">
        <f>IF(COUNTA($A194:$D194)=0,"",IF(AC194="未訂此介質／測項門檻",AC194,IF(AC194&lt;&gt;"已核對","標準待核",IF(S194="","未訂監測值",IF(NOT(ISNUMBER(L194)),"單位待核",IF(N194="ND","無法判定（ND無界限）",IF(N194="NA","不適用",IF(Z194&lt;&gt;"OK",Z194,IF(N194="數值",IF(Q194&gt;=S194,"達監測值","未達監測值"),IF(OR(N194="&lt;",N194="&lt;="),IF(OR(Q194&lt;S194,AND(N194="&lt;",Q194=S194)),"未達監測值","無法判定"),IF(OR(N194="&gt;",N194="&gt;="),IF(Q194&gt;=S194,"達監測值","無法判定"),"格式待核")))))))))))</f>
        <v/>
      </c>
      <c r="AF194" s="93">
        <f>IF(COUNTA($A194:$D194)=0,"",IF(OR(E194="",A194="",B194="",C194=""),"缺必要欄位",IF(Y194&lt;&gt;"OK","樣品資料待補",IF(T194=0,"測項未建或重複",IF(INDEX(DB_04[啟用],T194)&lt;&gt;"是","測項停用",IF(AND(Z194&lt;&gt;"OK",Z194&lt;&gt;"不適用"),Z194,IF(AND(AB194&lt;&gt;"OK",AB194&lt;&gt;"已換算"),"單位待核",IF(AA194&lt;&gt;"OK",AA194,"OK"))))))))</f>
        <v/>
      </c>
      <c r="AG194" s="93">
        <f>IF(COUNTA($A194:$D194)=0,"",IF(N194="ND","ND取0",IF(OR(N194="&lt;",N194="&lt;="),"界限除以2",IF(N194="NA","不適用",IF(OR(N194="&gt;",N194="&gt;="),"保留界限數值","保留原數值")))))</f>
        <v/>
      </c>
      <c r="AH194" s="92">
        <f>IF(O194="","",IFERROR(_xlfn.NUMBERVALUE(O194,".",","),""))</f>
        <v/>
      </c>
      <c r="AI194" s="92">
        <f>IF(H194="","",IFERROR(MATCH(H194,Samples[樣品編號],0),0))</f>
        <v/>
      </c>
    </row>
    <row r="195">
      <c r="A195" s="27" t="inlineStr">
        <is>
          <t>總有機碳</t>
        </is>
      </c>
      <c r="B195" s="28" t="inlineStr">
        <is>
          <t>0.5</t>
        </is>
      </c>
      <c r="C195" s="27" t="inlineStr">
        <is>
          <t>%</t>
        </is>
      </c>
      <c r="D195" s="39" t="inlineStr">
        <is>
          <t>合成資料，非實測；method=lab; basis=dry</t>
        </is>
      </c>
      <c r="E195" s="29">
        <f>IF(OR(I195="",I195=0),"",IF(INDEX(Samples[監測點],I195)="","",INDEX(Samples[監測點],I195)))</f>
        <v/>
      </c>
      <c r="F195" s="90">
        <f>IF(OR(I195="",I195=0),"",IF(INDEX(Samples[採樣日期],I195)="","",INDEX(Samples[採樣日期],I195)))</f>
        <v/>
      </c>
      <c r="G195" s="91">
        <f>IF(OR(M195="",M195="NA",M195="N/A"),"",IF(OR(M195="ND",M195="N.D."),0,IFERROR(IF(OR(OR(ISNUMBER(SEARCH("%",O195)),ISNUMBER(SEARCH(" ",O195)),ISNUMBER(SEARCH(",",O195))),OR(SUBSTITUTE(SUBSTITUTE(SUBSTITUTE(SUBSTITUTE(SUBSTITUTE(SUBSTITUTE(SUBSTITUTE(SUBSTITUTE(SUBSTITUTE(SUBSTITUTE(SUBSTITUTE(SUBSTITUTE(SUBSTITUTE(SUBSTITUTE(SUBSTITUTE(SUBSTITUTE(SUBSTITUTE(SUBSTITUTE("x"&amp;M195,"0",""),"1",""),"2",""),"3",""),"4",""),"5",""),"6",""),"7",""),"8",""),"9",""),".",""),"E",""),"+",""),"-",""),"&lt;",""),"&gt;",""),"=","")," ","")&lt;&gt;"x",ISNUMBER(SEARCH("-",SUBSTITUTE(SUBSTITUTE("x"&amp;MID(M195,2,99),"E-","E"),"E+","E"))),ISNUMBER(SEARCH("+",SUBSTITUTE(SUBSTITUTE("x"&amp;MID(M195,2,99),"E-","E"),"E+","E"))))),"",IF(AND(OR(LEFT(M195,1)="&lt;",LEFT(M195,1)="&gt;"),IF(O195="",0,IF(ISNUMBER(AH195),AH195,NA()))&lt;0),"",IF(O195="",0,IF(ISNUMBER(AH195),AH195,NA()))/IF(LEFT(M195,1)="&lt;",2,1))),"")))</f>
        <v/>
      </c>
      <c r="H195" s="57" t="inlineStr">
        <is>
          <t>BH05-S_20260115_01</t>
        </is>
      </c>
      <c r="I195" s="92">
        <f>IF(OR(H195="",AI195=0),0,IF(INDEX(Samples[樣品重複筆數],AI195)=1,AI195,0))</f>
        <v/>
      </c>
      <c r="J195" s="92">
        <f>IF(OR(COUNTA($A195:$D195)=0,I195=0),"",IF(INDEX(Samples[介質],I195)="","",INDEX(Samples[介質],I195)))</f>
        <v/>
      </c>
      <c r="K195" s="92">
        <f>IF(OR(COUNTA($A195:$D195)=0,T195=0),"",IF(INDEX(DB_04[標準單位],T195)="","",INDEX(DB_04[標準單位],T195)))</f>
        <v/>
      </c>
      <c r="L195" s="92">
        <f>IF(COUNTA($A195:$D195)=0,"",IF(OR(C195="",K195=""),"",IF(C195=K195,1,IF(COUNTIFS(DB_06[換算鍵],C195&amp;"|"&amp;K195,DB_06[換算檢查],"OK")=1,INDEX(DB_06[乘數],MATCH(C195&amp;"|"&amp;K195,DB_06[換算鍵],0)),""))))</f>
        <v/>
      </c>
      <c r="M195" s="92">
        <f>UPPER(SUBSTITUTE(SUBSTITUTE(SUBSTITUTE(SUBSTITUTE(TRIM(B195&amp;""),"＜","&lt;"),"＞","&gt;"),"≤","&lt;="),"≥","&gt;="))</f>
        <v/>
      </c>
      <c r="N195" s="92">
        <f>IF(M195="","",IF(OR(M195="ND",M195="N.D."),"ND",IF(OR(M195="NA",M195="N/A",M195="N.A."),"NA",IF(OR(LEFT(M195,2)="&lt;=",LEFT(M195,2)="&gt;="),LEFT(M195,2),IF(OR(LEFT(M195,1)="&lt;",LEFT(M195,1)="&gt;"),LEFT(M195,1),"數值")))))</f>
        <v/>
      </c>
      <c r="O195" s="92">
        <f>IF(OR(N195="",N195="ND",N195="NA"),"",IF(N195="數值",M195,TRIM(MID(M195,LEN(N195)+1,99))))</f>
        <v/>
      </c>
      <c r="P195" s="92">
        <f>IF(O195="","",IFERROR(IF(OR(OR(ISNUMBER(SEARCH("%",O195)),ISNUMBER(SEARCH(" ",O195)),ISNUMBER(SEARCH(",",O195))),OR(SUBSTITUTE(SUBSTITUTE(SUBSTITUTE(SUBSTITUTE(SUBSTITUTE(SUBSTITUTE(SUBSTITUTE(SUBSTITUTE(SUBSTITUTE(SUBSTITUTE(SUBSTITUTE(SUBSTITUTE(SUBSTITUTE(SUBSTITUTE(SUBSTITUTE(SUBSTITUTE(SUBSTITUTE(SUBSTITUTE("x"&amp;O195,"0",""),"1",""),"2",""),"3",""),"4",""),"5",""),"6",""),"7",""),"8",""),"9",""),".",""),"E",""),"+",""),"-",""),"&lt;",""),"&gt;",""),"=","")," ","")&lt;&gt;"x",ISNUMBER(SEARCH("-",SUBSTITUTE(SUBSTITUTE("x"&amp;MID(O195,2,99),"E-","E"),"E+","E"))),ISNUMBER(SEARCH("+",SUBSTITUTE(SUBSTITUTE("x"&amp;MID(O195,2,99),"E-","E"),"E+","E"))))),"",IF(ISNUMBER(AH195),AH195,NA())),""))</f>
        <v/>
      </c>
      <c r="Q195" s="92">
        <f>IF(AND(ISNUMBER(L195),ISNUMBER(P195)),L195*P195,"")</f>
        <v/>
      </c>
      <c r="R195" s="92">
        <f>IF(OR(COUNTA($A195:$D195)=0,U195=0),"",IF(INDEX(DB_05[管制設定值],U195)="","",INDEX(DB_05[管制設定值],U195)))</f>
        <v/>
      </c>
      <c r="S195" s="92">
        <f>IF(OR(COUNTA($A195:$D195)=0,U195=0),"",IF(INDEX(DB_05[監測設定值],U195)="","",INDEX(DB_05[監測設定值],U195)))</f>
        <v/>
      </c>
      <c r="T195" s="92">
        <f>IF(COUNTA($A195:$D195)=0,"",IF(COUNTIFS(DB_04[測項鍵],V195)=1,MATCH(V195,DB_04[測項鍵],0),0))</f>
        <v/>
      </c>
      <c r="U195" s="92">
        <f>IF(COUNTA($A195:$D195)=0,"",IF(COUNTIFS(DB_05[標準鍵],W195)=1,MATCH(W195,DB_05[標準鍵],0),0))</f>
        <v/>
      </c>
      <c r="V195" s="92">
        <f>IF(OR(J195="",A195=""),"",J195&amp;"|"&amp;A195)</f>
        <v/>
      </c>
      <c r="W195" s="92">
        <f>IF(OR('07_QAQC'!$C$3="",V195=""),"",'07_QAQC'!$C$3&amp;"|"&amp;V195)</f>
        <v/>
      </c>
      <c r="X195" s="92">
        <f>IF(OR(H195="",A195=""),"",LEN(H195)&amp;":"&amp;H195&amp;LEN(A195)&amp;":"&amp;A195)</f>
        <v/>
      </c>
      <c r="Y195" s="93">
        <f>IF(COUNTA($A195:$D195)=0,"",IF(I195=0,"樣品未建或重複",IF(INDEX(Samples[樣品檢查],I195)="","OK",INDEX(Samples[樣品檢查],I195))))</f>
        <v/>
      </c>
      <c r="Z195" s="93">
        <f>IF(COUNTA($A195:$D195)=0,"",IF(B195="","缺原始值",IF(OR(B195="-",B195="--"),"無資料",IF(N195="NA","不適用",IF(N195="ND","OK",IF(NOT(ISNUMBER(P195)),"格式待核",IF(AND(N195&lt;&gt;"數值",P195&lt;0),"界限不得為負","OK")))))))</f>
        <v/>
      </c>
      <c r="AA195" s="93">
        <f>IF(COUNTA(A195:D195)=0,"",IF(OR(A195="",H195=""),"缺識別欄位",IF(IF(LEN("="&amp;SUBSTITUTE(SUBSTITUTE(SUBSTITUTE(X195,"~","~~"),"*","~*"),"?","~?"))&lt;=255,COUNTIF(Results[結果識別鍵],"="&amp;SUBSTITUTE(SUBSTITUTE(SUBSTITUTE(X195,"~","~~"),"*","~*"),"?","~?")),COUNTIFS(Results[關聯鍵],"="&amp;SUBSTITUTE(SUBSTITUTE(SUBSTITUTE(H195,"~","~~"),"*","~*"),"?","~?"),Results[分析項目],"="&amp;SUBSTITUTE(SUBSTITUTE(SUBSTITUTE(A195,"~","~~"),"*","~*"),"?","~?")))&gt;1,"同關聯鍵測項重複","OK")))</f>
        <v/>
      </c>
      <c r="AB195" s="93">
        <f>IF(COUNTA($A195:$D195)=0,"",IF(OR(C195="",K195=""),"缺單位",IF(NOT(ISNUMBER(L195)),"單位不相容",IF(L195=1,"OK","已換算"))))</f>
        <v/>
      </c>
      <c r="AC195" s="93">
        <f>IF(COUNTA($A195:$D195)=0,"",IF('07_QAQC'!$C$3="","未選比較版本",IF(U195=0,IF(COUNTIFS(DB_05[標準鍵],W195)&gt;1,"標準鍵重複","未訂此介質／測項門檻"),IF(INDEX(DB_05[版本檢查],U195)&lt;&gt;"OK","標準主檔待核",IF(INDEX(DB_05[標準單位],U195)&lt;&gt;K195,"標準單位不符",IF(INDEX(DB_05[核對狀態],U195)="停用","停用",IF(F195="","缺採樣日期",IF(OR(AND(INDEX(DB_05[生效日],U195)&lt;&gt;"",F195&lt;INDEX(DB_05[生效日],U195)),AND(INDEX(DB_05[失效日],U195)&lt;&gt;"",F195&gt;INDEX(DB_05[失效日],U195))),"日期不適用",INDEX(DB_05[核對狀態],U195)))))))))</f>
        <v/>
      </c>
      <c r="AD195" s="93">
        <f>IF(COUNTA($A195:$D195)=0,"",IF(AC195="未訂此介質／測項門檻",AC195,IF(AC195&lt;&gt;"已核對","標準待核",IF(R195="","未訂管制值",IF(NOT(ISNUMBER(L195)),"單位待核",IF(N195="ND","無法判定（ND無界限）",IF(N195="NA","不適用",IF(Z195&lt;&gt;"OK",Z195,IF(N195="數值",IF(Q195&gt;=R195,"達管制值","未達管制值"),IF(OR(N195="&lt;",N195="&lt;="),IF(OR(Q195&lt;R195,AND(N195="&lt;",Q195=R195)),"未達管制值","無法判定"),IF(OR(N195="&gt;",N195="&gt;="),IF(Q195&gt;=R195,"達管制值","無法判定"),"格式待核")))))))))))</f>
        <v/>
      </c>
      <c r="AE195" s="93">
        <f>IF(COUNTA($A195:$D195)=0,"",IF(AC195="未訂此介質／測項門檻",AC195,IF(AC195&lt;&gt;"已核對","標準待核",IF(S195="","未訂監測值",IF(NOT(ISNUMBER(L195)),"單位待核",IF(N195="ND","無法判定（ND無界限）",IF(N195="NA","不適用",IF(Z195&lt;&gt;"OK",Z195,IF(N195="數值",IF(Q195&gt;=S195,"達監測值","未達監測值"),IF(OR(N195="&lt;",N195="&lt;="),IF(OR(Q195&lt;S195,AND(N195="&lt;",Q195=S195)),"未達監測值","無法判定"),IF(OR(N195="&gt;",N195="&gt;="),IF(Q195&gt;=S195,"達監測值","無法判定"),"格式待核")))))))))))</f>
        <v/>
      </c>
      <c r="AF195" s="93">
        <f>IF(COUNTA($A195:$D195)=0,"",IF(OR(E195="",A195="",B195="",C195=""),"缺必要欄位",IF(Y195&lt;&gt;"OK","樣品資料待補",IF(T195=0,"測項未建或重複",IF(INDEX(DB_04[啟用],T195)&lt;&gt;"是","測項停用",IF(AND(Z195&lt;&gt;"OK",Z195&lt;&gt;"不適用"),Z195,IF(AND(AB195&lt;&gt;"OK",AB195&lt;&gt;"已換算"),"單位待核",IF(AA195&lt;&gt;"OK",AA195,"OK"))))))))</f>
        <v/>
      </c>
      <c r="AG195" s="93">
        <f>IF(COUNTA($A195:$D195)=0,"",IF(N195="ND","ND取0",IF(OR(N195="&lt;",N195="&lt;="),"界限除以2",IF(N195="NA","不適用",IF(OR(N195="&gt;",N195="&gt;="),"保留界限數值","保留原數值")))))</f>
        <v/>
      </c>
      <c r="AH195" s="92">
        <f>IF(O195="","",IFERROR(_xlfn.NUMBERVALUE(O195,".",","),""))</f>
        <v/>
      </c>
      <c r="AI195" s="92">
        <f>IF(H195="","",IFERROR(MATCH(H195,Samples[樣品編號],0),0))</f>
        <v/>
      </c>
    </row>
    <row r="196">
      <c r="A196" s="27" t="inlineStr">
        <is>
          <t>pH</t>
        </is>
      </c>
      <c r="B196" s="28" t="inlineStr">
        <is>
          <t>6.85</t>
        </is>
      </c>
      <c r="C196" s="27" t="inlineStr">
        <is>
          <t>無因次</t>
        </is>
      </c>
      <c r="D196" s="39" t="inlineStr">
        <is>
          <t>合成資料，非實測；method=field</t>
        </is>
      </c>
      <c r="E196" s="29">
        <f>IF(OR(I196="",I196=0),"",IF(INDEX(Samples[監測點],I196)="","",INDEX(Samples[監測點],I196)))</f>
        <v/>
      </c>
      <c r="F196" s="90">
        <f>IF(OR(I196="",I196=0),"",IF(INDEX(Samples[採樣日期],I196)="","",INDEX(Samples[採樣日期],I196)))</f>
        <v/>
      </c>
      <c r="G196" s="91">
        <f>IF(OR(M196="",M196="NA",M196="N/A"),"",IF(OR(M196="ND",M196="N.D."),0,IFERROR(IF(OR(OR(ISNUMBER(SEARCH("%",O196)),ISNUMBER(SEARCH(" ",O196)),ISNUMBER(SEARCH(",",O196))),OR(SUBSTITUTE(SUBSTITUTE(SUBSTITUTE(SUBSTITUTE(SUBSTITUTE(SUBSTITUTE(SUBSTITUTE(SUBSTITUTE(SUBSTITUTE(SUBSTITUTE(SUBSTITUTE(SUBSTITUTE(SUBSTITUTE(SUBSTITUTE(SUBSTITUTE(SUBSTITUTE(SUBSTITUTE(SUBSTITUTE("x"&amp;M196,"0",""),"1",""),"2",""),"3",""),"4",""),"5",""),"6",""),"7",""),"8",""),"9",""),".",""),"E",""),"+",""),"-",""),"&lt;",""),"&gt;",""),"=","")," ","")&lt;&gt;"x",ISNUMBER(SEARCH("-",SUBSTITUTE(SUBSTITUTE("x"&amp;MID(M196,2,99),"E-","E"),"E+","E"))),ISNUMBER(SEARCH("+",SUBSTITUTE(SUBSTITUTE("x"&amp;MID(M196,2,99),"E-","E"),"E+","E"))))),"",IF(AND(OR(LEFT(M196,1)="&lt;",LEFT(M196,1)="&gt;"),IF(O196="",0,IF(ISNUMBER(AH196),AH196,NA()))&lt;0),"",IF(O196="",0,IF(ISNUMBER(AH196),AH196,NA()))/IF(LEFT(M196,1)="&lt;",2,1))),"")))</f>
        <v/>
      </c>
      <c r="H196" s="57" t="inlineStr">
        <is>
          <t>BH05-W_20260115_01</t>
        </is>
      </c>
      <c r="I196" s="92">
        <f>IF(OR(H196="",AI196=0),0,IF(INDEX(Samples[樣品重複筆數],AI196)=1,AI196,0))</f>
        <v/>
      </c>
      <c r="J196" s="92">
        <f>IF(OR(COUNTA($A196:$D196)=0,I196=0),"",IF(INDEX(Samples[介質],I196)="","",INDEX(Samples[介質],I196)))</f>
        <v/>
      </c>
      <c r="K196" s="92">
        <f>IF(OR(COUNTA($A196:$D196)=0,T196=0),"",IF(INDEX(DB_04[標準單位],T196)="","",INDEX(DB_04[標準單位],T196)))</f>
        <v/>
      </c>
      <c r="L196" s="92">
        <f>IF(COUNTA($A196:$D196)=0,"",IF(OR(C196="",K196=""),"",IF(C196=K196,1,IF(COUNTIFS(DB_06[換算鍵],C196&amp;"|"&amp;K196,DB_06[換算檢查],"OK")=1,INDEX(DB_06[乘數],MATCH(C196&amp;"|"&amp;K196,DB_06[換算鍵],0)),""))))</f>
        <v/>
      </c>
      <c r="M196" s="92">
        <f>UPPER(SUBSTITUTE(SUBSTITUTE(SUBSTITUTE(SUBSTITUTE(TRIM(B196&amp;""),"＜","&lt;"),"＞","&gt;"),"≤","&lt;="),"≥","&gt;="))</f>
        <v/>
      </c>
      <c r="N196" s="92">
        <f>IF(M196="","",IF(OR(M196="ND",M196="N.D."),"ND",IF(OR(M196="NA",M196="N/A",M196="N.A."),"NA",IF(OR(LEFT(M196,2)="&lt;=",LEFT(M196,2)="&gt;="),LEFT(M196,2),IF(OR(LEFT(M196,1)="&lt;",LEFT(M196,1)="&gt;"),LEFT(M196,1),"數值")))))</f>
        <v/>
      </c>
      <c r="O196" s="92">
        <f>IF(OR(N196="",N196="ND",N196="NA"),"",IF(N196="數值",M196,TRIM(MID(M196,LEN(N196)+1,99))))</f>
        <v/>
      </c>
      <c r="P196" s="92">
        <f>IF(O196="","",IFERROR(IF(OR(OR(ISNUMBER(SEARCH("%",O196)),ISNUMBER(SEARCH(" ",O196)),ISNUMBER(SEARCH(",",O196))),OR(SUBSTITUTE(SUBSTITUTE(SUBSTITUTE(SUBSTITUTE(SUBSTITUTE(SUBSTITUTE(SUBSTITUTE(SUBSTITUTE(SUBSTITUTE(SUBSTITUTE(SUBSTITUTE(SUBSTITUTE(SUBSTITUTE(SUBSTITUTE(SUBSTITUTE(SUBSTITUTE(SUBSTITUTE(SUBSTITUTE("x"&amp;O196,"0",""),"1",""),"2",""),"3",""),"4",""),"5",""),"6",""),"7",""),"8",""),"9",""),".",""),"E",""),"+",""),"-",""),"&lt;",""),"&gt;",""),"=","")," ","")&lt;&gt;"x",ISNUMBER(SEARCH("-",SUBSTITUTE(SUBSTITUTE("x"&amp;MID(O196,2,99),"E-","E"),"E+","E"))),ISNUMBER(SEARCH("+",SUBSTITUTE(SUBSTITUTE("x"&amp;MID(O196,2,99),"E-","E"),"E+","E"))))),"",IF(ISNUMBER(AH196),AH196,NA())),""))</f>
        <v/>
      </c>
      <c r="Q196" s="92">
        <f>IF(AND(ISNUMBER(L196),ISNUMBER(P196)),L196*P196,"")</f>
        <v/>
      </c>
      <c r="R196" s="92">
        <f>IF(OR(COUNTA($A196:$D196)=0,U196=0),"",IF(INDEX(DB_05[管制設定值],U196)="","",INDEX(DB_05[管制設定值],U196)))</f>
        <v/>
      </c>
      <c r="S196" s="92">
        <f>IF(OR(COUNTA($A196:$D196)=0,U196=0),"",IF(INDEX(DB_05[監測設定值],U196)="","",INDEX(DB_05[監測設定值],U196)))</f>
        <v/>
      </c>
      <c r="T196" s="92">
        <f>IF(COUNTA($A196:$D196)=0,"",IF(COUNTIFS(DB_04[測項鍵],V196)=1,MATCH(V196,DB_04[測項鍵],0),0))</f>
        <v/>
      </c>
      <c r="U196" s="92">
        <f>IF(COUNTA($A196:$D196)=0,"",IF(COUNTIFS(DB_05[標準鍵],W196)=1,MATCH(W196,DB_05[標準鍵],0),0))</f>
        <v/>
      </c>
      <c r="V196" s="92">
        <f>IF(OR(J196="",A196=""),"",J196&amp;"|"&amp;A196)</f>
        <v/>
      </c>
      <c r="W196" s="92">
        <f>IF(OR('07_QAQC'!$C$3="",V196=""),"",'07_QAQC'!$C$3&amp;"|"&amp;V196)</f>
        <v/>
      </c>
      <c r="X196" s="92">
        <f>IF(OR(H196="",A196=""),"",LEN(H196)&amp;":"&amp;H196&amp;LEN(A196)&amp;":"&amp;A196)</f>
        <v/>
      </c>
      <c r="Y196" s="93">
        <f>IF(COUNTA($A196:$D196)=0,"",IF(I196=0,"樣品未建或重複",IF(INDEX(Samples[樣品檢查],I196)="","OK",INDEX(Samples[樣品檢查],I196))))</f>
        <v/>
      </c>
      <c r="Z196" s="93">
        <f>IF(COUNTA($A196:$D196)=0,"",IF(B196="","缺原始值",IF(OR(B196="-",B196="--"),"無資料",IF(N196="NA","不適用",IF(N196="ND","OK",IF(NOT(ISNUMBER(P196)),"格式待核",IF(AND(N196&lt;&gt;"數值",P196&lt;0),"界限不得為負","OK")))))))</f>
        <v/>
      </c>
      <c r="AA196" s="93">
        <f>IF(COUNTA(A196:D196)=0,"",IF(OR(A196="",H196=""),"缺識別欄位",IF(IF(LEN("="&amp;SUBSTITUTE(SUBSTITUTE(SUBSTITUTE(X196,"~","~~"),"*","~*"),"?","~?"))&lt;=255,COUNTIF(Results[結果識別鍵],"="&amp;SUBSTITUTE(SUBSTITUTE(SUBSTITUTE(X196,"~","~~"),"*","~*"),"?","~?")),COUNTIFS(Results[關聯鍵],"="&amp;SUBSTITUTE(SUBSTITUTE(SUBSTITUTE(H196,"~","~~"),"*","~*"),"?","~?"),Results[分析項目],"="&amp;SUBSTITUTE(SUBSTITUTE(SUBSTITUTE(A196,"~","~~"),"*","~*"),"?","~?")))&gt;1,"同關聯鍵測項重複","OK")))</f>
        <v/>
      </c>
      <c r="AB196" s="93">
        <f>IF(COUNTA($A196:$D196)=0,"",IF(OR(C196="",K196=""),"缺單位",IF(NOT(ISNUMBER(L196)),"單位不相容",IF(L196=1,"OK","已換算"))))</f>
        <v/>
      </c>
      <c r="AC196" s="93">
        <f>IF(COUNTA($A196:$D196)=0,"",IF('07_QAQC'!$C$3="","未選比較版本",IF(U196=0,IF(COUNTIFS(DB_05[標準鍵],W196)&gt;1,"標準鍵重複","未訂此介質／測項門檻"),IF(INDEX(DB_05[版本檢查],U196)&lt;&gt;"OK","標準主檔待核",IF(INDEX(DB_05[標準單位],U196)&lt;&gt;K196,"標準單位不符",IF(INDEX(DB_05[核對狀態],U196)="停用","停用",IF(F196="","缺採樣日期",IF(OR(AND(INDEX(DB_05[生效日],U196)&lt;&gt;"",F196&lt;INDEX(DB_05[生效日],U196)),AND(INDEX(DB_05[失效日],U196)&lt;&gt;"",F196&gt;INDEX(DB_05[失效日],U196))),"日期不適用",INDEX(DB_05[核對狀態],U196)))))))))</f>
        <v/>
      </c>
      <c r="AD196" s="93">
        <f>IF(COUNTA($A196:$D196)=0,"",IF(AC196="未訂此介質／測項門檻",AC196,IF(AC196&lt;&gt;"已核對","標準待核",IF(R196="","未訂管制值",IF(NOT(ISNUMBER(L196)),"單位待核",IF(N196="ND","無法判定（ND無界限）",IF(N196="NA","不適用",IF(Z196&lt;&gt;"OK",Z196,IF(N196="數值",IF(Q196&gt;=R196,"達管制值","未達管制值"),IF(OR(N196="&lt;",N196="&lt;="),IF(OR(Q196&lt;R196,AND(N196="&lt;",Q196=R196)),"未達管制值","無法判定"),IF(OR(N196="&gt;",N196="&gt;="),IF(Q196&gt;=R196,"達管制值","無法判定"),"格式待核")))))))))))</f>
        <v/>
      </c>
      <c r="AE196" s="93">
        <f>IF(COUNTA($A196:$D196)=0,"",IF(AC196="未訂此介質／測項門檻",AC196,IF(AC196&lt;&gt;"已核對","標準待核",IF(S196="","未訂監測值",IF(NOT(ISNUMBER(L196)),"單位待核",IF(N196="ND","無法判定（ND無界限）",IF(N196="NA","不適用",IF(Z196&lt;&gt;"OK",Z196,IF(N196="數值",IF(Q196&gt;=S196,"達監測值","未達監測值"),IF(OR(N196="&lt;",N196="&lt;="),IF(OR(Q196&lt;S196,AND(N196="&lt;",Q196=S196)),"未達監測值","無法判定"),IF(OR(N196="&gt;",N196="&gt;="),IF(Q196&gt;=S196,"達監測值","無法判定"),"格式待核")))))))))))</f>
        <v/>
      </c>
      <c r="AF196" s="93">
        <f>IF(COUNTA($A196:$D196)=0,"",IF(OR(E196="",A196="",B196="",C196=""),"缺必要欄位",IF(Y196&lt;&gt;"OK","樣品資料待補",IF(T196=0,"測項未建或重複",IF(INDEX(DB_04[啟用],T196)&lt;&gt;"是","測項停用",IF(AND(Z196&lt;&gt;"OK",Z196&lt;&gt;"不適用"),Z196,IF(AND(AB196&lt;&gt;"OK",AB196&lt;&gt;"已換算"),"單位待核",IF(AA196&lt;&gt;"OK",AA196,"OK"))))))))</f>
        <v/>
      </c>
      <c r="AG196" s="93">
        <f>IF(COUNTA($A196:$D196)=0,"",IF(N196="ND","ND取0",IF(OR(N196="&lt;",N196="&lt;="),"界限除以2",IF(N196="NA","不適用",IF(OR(N196="&gt;",N196="&gt;="),"保留界限數值","保留原數值")))))</f>
        <v/>
      </c>
      <c r="AH196" s="92">
        <f>IF(O196="","",IFERROR(_xlfn.NUMBERVALUE(O196,".",","),""))</f>
        <v/>
      </c>
      <c r="AI196" s="92">
        <f>IF(H196="","",IFERROR(MATCH(H196,Samples[樣品編號],0),0))</f>
        <v/>
      </c>
    </row>
    <row r="197">
      <c r="A197" s="27" t="inlineStr">
        <is>
          <t>EC</t>
        </is>
      </c>
      <c r="B197" s="28" t="inlineStr">
        <is>
          <t>0.55</t>
        </is>
      </c>
      <c r="C197" s="27" t="inlineStr">
        <is>
          <t>mS/cm</t>
        </is>
      </c>
      <c r="D197" s="39" t="inlineStr">
        <is>
          <t>合成資料，非實測；method=field; temperature=25; temperature_compensated=25C; reference_temperature=25</t>
        </is>
      </c>
      <c r="E197" s="29">
        <f>IF(OR(I197="",I197=0),"",IF(INDEX(Samples[監測點],I197)="","",INDEX(Samples[監測點],I197)))</f>
        <v/>
      </c>
      <c r="F197" s="90">
        <f>IF(OR(I197="",I197=0),"",IF(INDEX(Samples[採樣日期],I197)="","",INDEX(Samples[採樣日期],I197)))</f>
        <v/>
      </c>
      <c r="G197" s="91">
        <f>IF(OR(M197="",M197="NA",M197="N/A"),"",IF(OR(M197="ND",M197="N.D."),0,IFERROR(IF(OR(OR(ISNUMBER(SEARCH("%",O197)),ISNUMBER(SEARCH(" ",O197)),ISNUMBER(SEARCH(",",O197))),OR(SUBSTITUTE(SUBSTITUTE(SUBSTITUTE(SUBSTITUTE(SUBSTITUTE(SUBSTITUTE(SUBSTITUTE(SUBSTITUTE(SUBSTITUTE(SUBSTITUTE(SUBSTITUTE(SUBSTITUTE(SUBSTITUTE(SUBSTITUTE(SUBSTITUTE(SUBSTITUTE(SUBSTITUTE(SUBSTITUTE("x"&amp;M197,"0",""),"1",""),"2",""),"3",""),"4",""),"5",""),"6",""),"7",""),"8",""),"9",""),".",""),"E",""),"+",""),"-",""),"&lt;",""),"&gt;",""),"=","")," ","")&lt;&gt;"x",ISNUMBER(SEARCH("-",SUBSTITUTE(SUBSTITUTE("x"&amp;MID(M197,2,99),"E-","E"),"E+","E"))),ISNUMBER(SEARCH("+",SUBSTITUTE(SUBSTITUTE("x"&amp;MID(M197,2,99),"E-","E"),"E+","E"))))),"",IF(AND(OR(LEFT(M197,1)="&lt;",LEFT(M197,1)="&gt;"),IF(O197="",0,IF(ISNUMBER(AH197),AH197,NA()))&lt;0),"",IF(O197="",0,IF(ISNUMBER(AH197),AH197,NA()))/IF(LEFT(M197,1)="&lt;",2,1))),"")))</f>
        <v/>
      </c>
      <c r="H197" s="57" t="inlineStr">
        <is>
          <t>BH05-W_20260115_01</t>
        </is>
      </c>
      <c r="I197" s="92">
        <f>IF(OR(H197="",AI197=0),0,IF(INDEX(Samples[樣品重複筆數],AI197)=1,AI197,0))</f>
        <v/>
      </c>
      <c r="J197" s="92">
        <f>IF(OR(COUNTA($A197:$D197)=0,I197=0),"",IF(INDEX(Samples[介質],I197)="","",INDEX(Samples[介質],I197)))</f>
        <v/>
      </c>
      <c r="K197" s="92">
        <f>IF(OR(COUNTA($A197:$D197)=0,T197=0),"",IF(INDEX(DB_04[標準單位],T197)="","",INDEX(DB_04[標準單位],T197)))</f>
        <v/>
      </c>
      <c r="L197" s="92">
        <f>IF(COUNTA($A197:$D197)=0,"",IF(OR(C197="",K197=""),"",IF(C197=K197,1,IF(COUNTIFS(DB_06[換算鍵],C197&amp;"|"&amp;K197,DB_06[換算檢查],"OK")=1,INDEX(DB_06[乘數],MATCH(C197&amp;"|"&amp;K197,DB_06[換算鍵],0)),""))))</f>
        <v/>
      </c>
      <c r="M197" s="92">
        <f>UPPER(SUBSTITUTE(SUBSTITUTE(SUBSTITUTE(SUBSTITUTE(TRIM(B197&amp;""),"＜","&lt;"),"＞","&gt;"),"≤","&lt;="),"≥","&gt;="))</f>
        <v/>
      </c>
      <c r="N197" s="92">
        <f>IF(M197="","",IF(OR(M197="ND",M197="N.D."),"ND",IF(OR(M197="NA",M197="N/A",M197="N.A."),"NA",IF(OR(LEFT(M197,2)="&lt;=",LEFT(M197,2)="&gt;="),LEFT(M197,2),IF(OR(LEFT(M197,1)="&lt;",LEFT(M197,1)="&gt;"),LEFT(M197,1),"數值")))))</f>
        <v/>
      </c>
      <c r="O197" s="92">
        <f>IF(OR(N197="",N197="ND",N197="NA"),"",IF(N197="數值",M197,TRIM(MID(M197,LEN(N197)+1,99))))</f>
        <v/>
      </c>
      <c r="P197" s="92">
        <f>IF(O197="","",IFERROR(IF(OR(OR(ISNUMBER(SEARCH("%",O197)),ISNUMBER(SEARCH(" ",O197)),ISNUMBER(SEARCH(",",O197))),OR(SUBSTITUTE(SUBSTITUTE(SUBSTITUTE(SUBSTITUTE(SUBSTITUTE(SUBSTITUTE(SUBSTITUTE(SUBSTITUTE(SUBSTITUTE(SUBSTITUTE(SUBSTITUTE(SUBSTITUTE(SUBSTITUTE(SUBSTITUTE(SUBSTITUTE(SUBSTITUTE(SUBSTITUTE(SUBSTITUTE("x"&amp;O197,"0",""),"1",""),"2",""),"3",""),"4",""),"5",""),"6",""),"7",""),"8",""),"9",""),".",""),"E",""),"+",""),"-",""),"&lt;",""),"&gt;",""),"=","")," ","")&lt;&gt;"x",ISNUMBER(SEARCH("-",SUBSTITUTE(SUBSTITUTE("x"&amp;MID(O197,2,99),"E-","E"),"E+","E"))),ISNUMBER(SEARCH("+",SUBSTITUTE(SUBSTITUTE("x"&amp;MID(O197,2,99),"E-","E"),"E+","E"))))),"",IF(ISNUMBER(AH197),AH197,NA())),""))</f>
        <v/>
      </c>
      <c r="Q197" s="92">
        <f>IF(AND(ISNUMBER(L197),ISNUMBER(P197)),L197*P197,"")</f>
        <v/>
      </c>
      <c r="R197" s="92">
        <f>IF(OR(COUNTA($A197:$D197)=0,U197=0),"",IF(INDEX(DB_05[管制設定值],U197)="","",INDEX(DB_05[管制設定值],U197)))</f>
        <v/>
      </c>
      <c r="S197" s="92">
        <f>IF(OR(COUNTA($A197:$D197)=0,U197=0),"",IF(INDEX(DB_05[監測設定值],U197)="","",INDEX(DB_05[監測設定值],U197)))</f>
        <v/>
      </c>
      <c r="T197" s="92">
        <f>IF(COUNTA($A197:$D197)=0,"",IF(COUNTIFS(DB_04[測項鍵],V197)=1,MATCH(V197,DB_04[測項鍵],0),0))</f>
        <v/>
      </c>
      <c r="U197" s="92">
        <f>IF(COUNTA($A197:$D197)=0,"",IF(COUNTIFS(DB_05[標準鍵],W197)=1,MATCH(W197,DB_05[標準鍵],0),0))</f>
        <v/>
      </c>
      <c r="V197" s="92">
        <f>IF(OR(J197="",A197=""),"",J197&amp;"|"&amp;A197)</f>
        <v/>
      </c>
      <c r="W197" s="92">
        <f>IF(OR('07_QAQC'!$C$3="",V197=""),"",'07_QAQC'!$C$3&amp;"|"&amp;V197)</f>
        <v/>
      </c>
      <c r="X197" s="92">
        <f>IF(OR(H197="",A197=""),"",LEN(H197)&amp;":"&amp;H197&amp;LEN(A197)&amp;":"&amp;A197)</f>
        <v/>
      </c>
      <c r="Y197" s="93">
        <f>IF(COUNTA($A197:$D197)=0,"",IF(I197=0,"樣品未建或重複",IF(INDEX(Samples[樣品檢查],I197)="","OK",INDEX(Samples[樣品檢查],I197))))</f>
        <v/>
      </c>
      <c r="Z197" s="93">
        <f>IF(COUNTA($A197:$D197)=0,"",IF(B197="","缺原始值",IF(OR(B197="-",B197="--"),"無資料",IF(N197="NA","不適用",IF(N197="ND","OK",IF(NOT(ISNUMBER(P197)),"格式待核",IF(AND(N197&lt;&gt;"數值",P197&lt;0),"界限不得為負","OK")))))))</f>
        <v/>
      </c>
      <c r="AA197" s="93">
        <f>IF(COUNTA(A197:D197)=0,"",IF(OR(A197="",H197=""),"缺識別欄位",IF(IF(LEN("="&amp;SUBSTITUTE(SUBSTITUTE(SUBSTITUTE(X197,"~","~~"),"*","~*"),"?","~?"))&lt;=255,COUNTIF(Results[結果識別鍵],"="&amp;SUBSTITUTE(SUBSTITUTE(SUBSTITUTE(X197,"~","~~"),"*","~*"),"?","~?")),COUNTIFS(Results[關聯鍵],"="&amp;SUBSTITUTE(SUBSTITUTE(SUBSTITUTE(H197,"~","~~"),"*","~*"),"?","~?"),Results[分析項目],"="&amp;SUBSTITUTE(SUBSTITUTE(SUBSTITUTE(A197,"~","~~"),"*","~*"),"?","~?")))&gt;1,"同關聯鍵測項重複","OK")))</f>
        <v/>
      </c>
      <c r="AB197" s="93">
        <f>IF(COUNTA($A197:$D197)=0,"",IF(OR(C197="",K197=""),"缺單位",IF(NOT(ISNUMBER(L197)),"單位不相容",IF(L197=1,"OK","已換算"))))</f>
        <v/>
      </c>
      <c r="AC197" s="93">
        <f>IF(COUNTA($A197:$D197)=0,"",IF('07_QAQC'!$C$3="","未選比較版本",IF(U197=0,IF(COUNTIFS(DB_05[標準鍵],W197)&gt;1,"標準鍵重複","未訂此介質／測項門檻"),IF(INDEX(DB_05[版本檢查],U197)&lt;&gt;"OK","標準主檔待核",IF(INDEX(DB_05[標準單位],U197)&lt;&gt;K197,"標準單位不符",IF(INDEX(DB_05[核對狀態],U197)="停用","停用",IF(F197="","缺採樣日期",IF(OR(AND(INDEX(DB_05[生效日],U197)&lt;&gt;"",F197&lt;INDEX(DB_05[生效日],U197)),AND(INDEX(DB_05[失效日],U197)&lt;&gt;"",F197&gt;INDEX(DB_05[失效日],U197))),"日期不適用",INDEX(DB_05[核對狀態],U197)))))))))</f>
        <v/>
      </c>
      <c r="AD197" s="93">
        <f>IF(COUNTA($A197:$D197)=0,"",IF(AC197="未訂此介質／測項門檻",AC197,IF(AC197&lt;&gt;"已核對","標準待核",IF(R197="","未訂管制值",IF(NOT(ISNUMBER(L197)),"單位待核",IF(N197="ND","無法判定（ND無界限）",IF(N197="NA","不適用",IF(Z197&lt;&gt;"OK",Z197,IF(N197="數值",IF(Q197&gt;=R197,"達管制值","未達管制值"),IF(OR(N197="&lt;",N197="&lt;="),IF(OR(Q197&lt;R197,AND(N197="&lt;",Q197=R197)),"未達管制值","無法判定"),IF(OR(N197="&gt;",N197="&gt;="),IF(Q197&gt;=R197,"達管制值","無法判定"),"格式待核")))))))))))</f>
        <v/>
      </c>
      <c r="AE197" s="93">
        <f>IF(COUNTA($A197:$D197)=0,"",IF(AC197="未訂此介質／測項門檻",AC197,IF(AC197&lt;&gt;"已核對","標準待核",IF(S197="","未訂監測值",IF(NOT(ISNUMBER(L197)),"單位待核",IF(N197="ND","無法判定（ND無界限）",IF(N197="NA","不適用",IF(Z197&lt;&gt;"OK",Z197,IF(N197="數值",IF(Q197&gt;=S197,"達監測值","未達監測值"),IF(OR(N197="&lt;",N197="&lt;="),IF(OR(Q197&lt;S197,AND(N197="&lt;",Q197=S197)),"未達監測值","無法判定"),IF(OR(N197="&gt;",N197="&gt;="),IF(Q197&gt;=S197,"達監測值","無法判定"),"格式待核")))))))))))</f>
        <v/>
      </c>
      <c r="AF197" s="93">
        <f>IF(COUNTA($A197:$D197)=0,"",IF(OR(E197="",A197="",B197="",C197=""),"缺必要欄位",IF(Y197&lt;&gt;"OK","樣品資料待補",IF(T197=0,"測項未建或重複",IF(INDEX(DB_04[啟用],T197)&lt;&gt;"是","測項停用",IF(AND(Z197&lt;&gt;"OK",Z197&lt;&gt;"不適用"),Z197,IF(AND(AB197&lt;&gt;"OK",AB197&lt;&gt;"已換算"),"單位待核",IF(AA197&lt;&gt;"OK",AA197,"OK"))))))))</f>
        <v/>
      </c>
      <c r="AG197" s="93">
        <f>IF(COUNTA($A197:$D197)=0,"",IF(N197="ND","ND取0",IF(OR(N197="&lt;",N197="&lt;="),"界限除以2",IF(N197="NA","不適用",IF(OR(N197="&gt;",N197="&gt;="),"保留界限數值","保留原數值")))))</f>
        <v/>
      </c>
      <c r="AH197" s="92">
        <f>IF(O197="","",IFERROR(_xlfn.NUMBERVALUE(O197,".",","),""))</f>
        <v/>
      </c>
      <c r="AI197" s="92">
        <f>IF(H197="","",IFERROR(MATCH(H197,Samples[樣品編號],0),0))</f>
        <v/>
      </c>
    </row>
    <row r="198">
      <c r="A198" s="27" t="inlineStr">
        <is>
          <t>DO</t>
        </is>
      </c>
      <c r="B198" s="28" t="inlineStr">
        <is>
          <t>5.3</t>
        </is>
      </c>
      <c r="C198" s="27" t="inlineStr">
        <is>
          <t>mg/L</t>
        </is>
      </c>
      <c r="D198" s="39" t="inlineStr">
        <is>
          <t>合成資料，非實測；method=field</t>
        </is>
      </c>
      <c r="E198" s="29">
        <f>IF(OR(I198="",I198=0),"",IF(INDEX(Samples[監測點],I198)="","",INDEX(Samples[監測點],I198)))</f>
        <v/>
      </c>
      <c r="F198" s="90">
        <f>IF(OR(I198="",I198=0),"",IF(INDEX(Samples[採樣日期],I198)="","",INDEX(Samples[採樣日期],I198)))</f>
        <v/>
      </c>
      <c r="G198" s="91">
        <f>IF(OR(M198="",M198="NA",M198="N/A"),"",IF(OR(M198="ND",M198="N.D."),0,IFERROR(IF(OR(OR(ISNUMBER(SEARCH("%",O198)),ISNUMBER(SEARCH(" ",O198)),ISNUMBER(SEARCH(",",O198))),OR(SUBSTITUTE(SUBSTITUTE(SUBSTITUTE(SUBSTITUTE(SUBSTITUTE(SUBSTITUTE(SUBSTITUTE(SUBSTITUTE(SUBSTITUTE(SUBSTITUTE(SUBSTITUTE(SUBSTITUTE(SUBSTITUTE(SUBSTITUTE(SUBSTITUTE(SUBSTITUTE(SUBSTITUTE(SUBSTITUTE("x"&amp;M198,"0",""),"1",""),"2",""),"3",""),"4",""),"5",""),"6",""),"7",""),"8",""),"9",""),".",""),"E",""),"+",""),"-",""),"&lt;",""),"&gt;",""),"=","")," ","")&lt;&gt;"x",ISNUMBER(SEARCH("-",SUBSTITUTE(SUBSTITUTE("x"&amp;MID(M198,2,99),"E-","E"),"E+","E"))),ISNUMBER(SEARCH("+",SUBSTITUTE(SUBSTITUTE("x"&amp;MID(M198,2,99),"E-","E"),"E+","E"))))),"",IF(AND(OR(LEFT(M198,1)="&lt;",LEFT(M198,1)="&gt;"),IF(O198="",0,IF(ISNUMBER(AH198),AH198,NA()))&lt;0),"",IF(O198="",0,IF(ISNUMBER(AH198),AH198,NA()))/IF(LEFT(M198,1)="&lt;",2,1))),"")))</f>
        <v/>
      </c>
      <c r="H198" s="57" t="inlineStr">
        <is>
          <t>BH05-W_20260115_01</t>
        </is>
      </c>
      <c r="I198" s="92">
        <f>IF(OR(H198="",AI198=0),0,IF(INDEX(Samples[樣品重複筆數],AI198)=1,AI198,0))</f>
        <v/>
      </c>
      <c r="J198" s="92">
        <f>IF(OR(COUNTA($A198:$D198)=0,I198=0),"",IF(INDEX(Samples[介質],I198)="","",INDEX(Samples[介質],I198)))</f>
        <v/>
      </c>
      <c r="K198" s="92">
        <f>IF(OR(COUNTA($A198:$D198)=0,T198=0),"",IF(INDEX(DB_04[標準單位],T198)="","",INDEX(DB_04[標準單位],T198)))</f>
        <v/>
      </c>
      <c r="L198" s="92">
        <f>IF(COUNTA($A198:$D198)=0,"",IF(OR(C198="",K198=""),"",IF(C198=K198,1,IF(COUNTIFS(DB_06[換算鍵],C198&amp;"|"&amp;K198,DB_06[換算檢查],"OK")=1,INDEX(DB_06[乘數],MATCH(C198&amp;"|"&amp;K198,DB_06[換算鍵],0)),""))))</f>
        <v/>
      </c>
      <c r="M198" s="92">
        <f>UPPER(SUBSTITUTE(SUBSTITUTE(SUBSTITUTE(SUBSTITUTE(TRIM(B198&amp;""),"＜","&lt;"),"＞","&gt;"),"≤","&lt;="),"≥","&gt;="))</f>
        <v/>
      </c>
      <c r="N198" s="92">
        <f>IF(M198="","",IF(OR(M198="ND",M198="N.D."),"ND",IF(OR(M198="NA",M198="N/A",M198="N.A."),"NA",IF(OR(LEFT(M198,2)="&lt;=",LEFT(M198,2)="&gt;="),LEFT(M198,2),IF(OR(LEFT(M198,1)="&lt;",LEFT(M198,1)="&gt;"),LEFT(M198,1),"數值")))))</f>
        <v/>
      </c>
      <c r="O198" s="92">
        <f>IF(OR(N198="",N198="ND",N198="NA"),"",IF(N198="數值",M198,TRIM(MID(M198,LEN(N198)+1,99))))</f>
        <v/>
      </c>
      <c r="P198" s="92">
        <f>IF(O198="","",IFERROR(IF(OR(OR(ISNUMBER(SEARCH("%",O198)),ISNUMBER(SEARCH(" ",O198)),ISNUMBER(SEARCH(",",O198))),OR(SUBSTITUTE(SUBSTITUTE(SUBSTITUTE(SUBSTITUTE(SUBSTITUTE(SUBSTITUTE(SUBSTITUTE(SUBSTITUTE(SUBSTITUTE(SUBSTITUTE(SUBSTITUTE(SUBSTITUTE(SUBSTITUTE(SUBSTITUTE(SUBSTITUTE(SUBSTITUTE(SUBSTITUTE(SUBSTITUTE("x"&amp;O198,"0",""),"1",""),"2",""),"3",""),"4",""),"5",""),"6",""),"7",""),"8",""),"9",""),".",""),"E",""),"+",""),"-",""),"&lt;",""),"&gt;",""),"=","")," ","")&lt;&gt;"x",ISNUMBER(SEARCH("-",SUBSTITUTE(SUBSTITUTE("x"&amp;MID(O198,2,99),"E-","E"),"E+","E"))),ISNUMBER(SEARCH("+",SUBSTITUTE(SUBSTITUTE("x"&amp;MID(O198,2,99),"E-","E"),"E+","E"))))),"",IF(ISNUMBER(AH198),AH198,NA())),""))</f>
        <v/>
      </c>
      <c r="Q198" s="92">
        <f>IF(AND(ISNUMBER(L198),ISNUMBER(P198)),L198*P198,"")</f>
        <v/>
      </c>
      <c r="R198" s="92">
        <f>IF(OR(COUNTA($A198:$D198)=0,U198=0),"",IF(INDEX(DB_05[管制設定值],U198)="","",INDEX(DB_05[管制設定值],U198)))</f>
        <v/>
      </c>
      <c r="S198" s="92">
        <f>IF(OR(COUNTA($A198:$D198)=0,U198=0),"",IF(INDEX(DB_05[監測設定值],U198)="","",INDEX(DB_05[監測設定值],U198)))</f>
        <v/>
      </c>
      <c r="T198" s="92">
        <f>IF(COUNTA($A198:$D198)=0,"",IF(COUNTIFS(DB_04[測項鍵],V198)=1,MATCH(V198,DB_04[測項鍵],0),0))</f>
        <v/>
      </c>
      <c r="U198" s="92">
        <f>IF(COUNTA($A198:$D198)=0,"",IF(COUNTIFS(DB_05[標準鍵],W198)=1,MATCH(W198,DB_05[標準鍵],0),0))</f>
        <v/>
      </c>
      <c r="V198" s="92">
        <f>IF(OR(J198="",A198=""),"",J198&amp;"|"&amp;A198)</f>
        <v/>
      </c>
      <c r="W198" s="92">
        <f>IF(OR('07_QAQC'!$C$3="",V198=""),"",'07_QAQC'!$C$3&amp;"|"&amp;V198)</f>
        <v/>
      </c>
      <c r="X198" s="92">
        <f>IF(OR(H198="",A198=""),"",LEN(H198)&amp;":"&amp;H198&amp;LEN(A198)&amp;":"&amp;A198)</f>
        <v/>
      </c>
      <c r="Y198" s="93">
        <f>IF(COUNTA($A198:$D198)=0,"",IF(I198=0,"樣品未建或重複",IF(INDEX(Samples[樣品檢查],I198)="","OK",INDEX(Samples[樣品檢查],I198))))</f>
        <v/>
      </c>
      <c r="Z198" s="93">
        <f>IF(COUNTA($A198:$D198)=0,"",IF(B198="","缺原始值",IF(OR(B198="-",B198="--"),"無資料",IF(N198="NA","不適用",IF(N198="ND","OK",IF(NOT(ISNUMBER(P198)),"格式待核",IF(AND(N198&lt;&gt;"數值",P198&lt;0),"界限不得為負","OK")))))))</f>
        <v/>
      </c>
      <c r="AA198" s="93">
        <f>IF(COUNTA(A198:D198)=0,"",IF(OR(A198="",H198=""),"缺識別欄位",IF(IF(LEN("="&amp;SUBSTITUTE(SUBSTITUTE(SUBSTITUTE(X198,"~","~~"),"*","~*"),"?","~?"))&lt;=255,COUNTIF(Results[結果識別鍵],"="&amp;SUBSTITUTE(SUBSTITUTE(SUBSTITUTE(X198,"~","~~"),"*","~*"),"?","~?")),COUNTIFS(Results[關聯鍵],"="&amp;SUBSTITUTE(SUBSTITUTE(SUBSTITUTE(H198,"~","~~"),"*","~*"),"?","~?"),Results[分析項目],"="&amp;SUBSTITUTE(SUBSTITUTE(SUBSTITUTE(A198,"~","~~"),"*","~*"),"?","~?")))&gt;1,"同關聯鍵測項重複","OK")))</f>
        <v/>
      </c>
      <c r="AB198" s="93">
        <f>IF(COUNTA($A198:$D198)=0,"",IF(OR(C198="",K198=""),"缺單位",IF(NOT(ISNUMBER(L198)),"單位不相容",IF(L198=1,"OK","已換算"))))</f>
        <v/>
      </c>
      <c r="AC198" s="93">
        <f>IF(COUNTA($A198:$D198)=0,"",IF('07_QAQC'!$C$3="","未選比較版本",IF(U198=0,IF(COUNTIFS(DB_05[標準鍵],W198)&gt;1,"標準鍵重複","未訂此介質／測項門檻"),IF(INDEX(DB_05[版本檢查],U198)&lt;&gt;"OK","標準主檔待核",IF(INDEX(DB_05[標準單位],U198)&lt;&gt;K198,"標準單位不符",IF(INDEX(DB_05[核對狀態],U198)="停用","停用",IF(F198="","缺採樣日期",IF(OR(AND(INDEX(DB_05[生效日],U198)&lt;&gt;"",F198&lt;INDEX(DB_05[生效日],U198)),AND(INDEX(DB_05[失效日],U198)&lt;&gt;"",F198&gt;INDEX(DB_05[失效日],U198))),"日期不適用",INDEX(DB_05[核對狀態],U198)))))))))</f>
        <v/>
      </c>
      <c r="AD198" s="93">
        <f>IF(COUNTA($A198:$D198)=0,"",IF(AC198="未訂此介質／測項門檻",AC198,IF(AC198&lt;&gt;"已核對","標準待核",IF(R198="","未訂管制值",IF(NOT(ISNUMBER(L198)),"單位待核",IF(N198="ND","無法判定（ND無界限）",IF(N198="NA","不適用",IF(Z198&lt;&gt;"OK",Z198,IF(N198="數值",IF(Q198&gt;=R198,"達管制值","未達管制值"),IF(OR(N198="&lt;",N198="&lt;="),IF(OR(Q198&lt;R198,AND(N198="&lt;",Q198=R198)),"未達管制值","無法判定"),IF(OR(N198="&gt;",N198="&gt;="),IF(Q198&gt;=R198,"達管制值","無法判定"),"格式待核")))))))))))</f>
        <v/>
      </c>
      <c r="AE198" s="93">
        <f>IF(COUNTA($A198:$D198)=0,"",IF(AC198="未訂此介質／測項門檻",AC198,IF(AC198&lt;&gt;"已核對","標準待核",IF(S198="","未訂監測值",IF(NOT(ISNUMBER(L198)),"單位待核",IF(N198="ND","無法判定（ND無界限）",IF(N198="NA","不適用",IF(Z198&lt;&gt;"OK",Z198,IF(N198="數值",IF(Q198&gt;=S198,"達監測值","未達監測值"),IF(OR(N198="&lt;",N198="&lt;="),IF(OR(Q198&lt;S198,AND(N198="&lt;",Q198=S198)),"未達監測值","無法判定"),IF(OR(N198="&gt;",N198="&gt;="),IF(Q198&gt;=S198,"達監測值","無法判定"),"格式待核")))))))))))</f>
        <v/>
      </c>
      <c r="AF198" s="93">
        <f>IF(COUNTA($A198:$D198)=0,"",IF(OR(E198="",A198="",B198="",C198=""),"缺必要欄位",IF(Y198&lt;&gt;"OK","樣品資料待補",IF(T198=0,"測項未建或重複",IF(INDEX(DB_04[啟用],T198)&lt;&gt;"是","測項停用",IF(AND(Z198&lt;&gt;"OK",Z198&lt;&gt;"不適用"),Z198,IF(AND(AB198&lt;&gt;"OK",AB198&lt;&gt;"已換算"),"單位待核",IF(AA198&lt;&gt;"OK",AA198,"OK"))))))))</f>
        <v/>
      </c>
      <c r="AG198" s="93">
        <f>IF(COUNTA($A198:$D198)=0,"",IF(N198="ND","ND取0",IF(OR(N198="&lt;",N198="&lt;="),"界限除以2",IF(N198="NA","不適用",IF(OR(N198="&gt;",N198="&gt;="),"保留界限數值","保留原數值")))))</f>
        <v/>
      </c>
      <c r="AH198" s="92">
        <f>IF(O198="","",IFERROR(_xlfn.NUMBERVALUE(O198,".",","),""))</f>
        <v/>
      </c>
      <c r="AI198" s="92">
        <f>IF(H198="","",IFERROR(MATCH(H198,Samples[樣品編號],0),0))</f>
        <v/>
      </c>
    </row>
    <row r="199">
      <c r="A199" s="27" t="inlineStr">
        <is>
          <t>溶氧飽和度</t>
        </is>
      </c>
      <c r="B199" s="28" t="inlineStr">
        <is>
          <t>65</t>
        </is>
      </c>
      <c r="C199" s="27" t="inlineStr">
        <is>
          <t>%</t>
        </is>
      </c>
      <c r="D199" s="39" t="inlineStr">
        <is>
          <t>合成資料，非實測；method=field</t>
        </is>
      </c>
      <c r="E199" s="29">
        <f>IF(OR(I199="",I199=0),"",IF(INDEX(Samples[監測點],I199)="","",INDEX(Samples[監測點],I199)))</f>
        <v/>
      </c>
      <c r="F199" s="90">
        <f>IF(OR(I199="",I199=0),"",IF(INDEX(Samples[採樣日期],I199)="","",INDEX(Samples[採樣日期],I199)))</f>
        <v/>
      </c>
      <c r="G199" s="91">
        <f>IF(OR(M199="",M199="NA",M199="N/A"),"",IF(OR(M199="ND",M199="N.D."),0,IFERROR(IF(OR(OR(ISNUMBER(SEARCH("%",O199)),ISNUMBER(SEARCH(" ",O199)),ISNUMBER(SEARCH(",",O199))),OR(SUBSTITUTE(SUBSTITUTE(SUBSTITUTE(SUBSTITUTE(SUBSTITUTE(SUBSTITUTE(SUBSTITUTE(SUBSTITUTE(SUBSTITUTE(SUBSTITUTE(SUBSTITUTE(SUBSTITUTE(SUBSTITUTE(SUBSTITUTE(SUBSTITUTE(SUBSTITUTE(SUBSTITUTE(SUBSTITUTE("x"&amp;M199,"0",""),"1",""),"2",""),"3",""),"4",""),"5",""),"6",""),"7",""),"8",""),"9",""),".",""),"E",""),"+",""),"-",""),"&lt;",""),"&gt;",""),"=","")," ","")&lt;&gt;"x",ISNUMBER(SEARCH("-",SUBSTITUTE(SUBSTITUTE("x"&amp;MID(M199,2,99),"E-","E"),"E+","E"))),ISNUMBER(SEARCH("+",SUBSTITUTE(SUBSTITUTE("x"&amp;MID(M199,2,99),"E-","E"),"E+","E"))))),"",IF(AND(OR(LEFT(M199,1)="&lt;",LEFT(M199,1)="&gt;"),IF(O199="",0,IF(ISNUMBER(AH199),AH199,NA()))&lt;0),"",IF(O199="",0,IF(ISNUMBER(AH199),AH199,NA()))/IF(LEFT(M199,1)="&lt;",2,1))),"")))</f>
        <v/>
      </c>
      <c r="H199" s="57" t="inlineStr">
        <is>
          <t>BH05-W_20260115_01</t>
        </is>
      </c>
      <c r="I199" s="92">
        <f>IF(OR(H199="",AI199=0),0,IF(INDEX(Samples[樣品重複筆數],AI199)=1,AI199,0))</f>
        <v/>
      </c>
      <c r="J199" s="92">
        <f>IF(OR(COUNTA($A199:$D199)=0,I199=0),"",IF(INDEX(Samples[介質],I199)="","",INDEX(Samples[介質],I199)))</f>
        <v/>
      </c>
      <c r="K199" s="92">
        <f>IF(OR(COUNTA($A199:$D199)=0,T199=0),"",IF(INDEX(DB_04[標準單位],T199)="","",INDEX(DB_04[標準單位],T199)))</f>
        <v/>
      </c>
      <c r="L199" s="92">
        <f>IF(COUNTA($A199:$D199)=0,"",IF(OR(C199="",K199=""),"",IF(C199=K199,1,IF(COUNTIFS(DB_06[換算鍵],C199&amp;"|"&amp;K199,DB_06[換算檢查],"OK")=1,INDEX(DB_06[乘數],MATCH(C199&amp;"|"&amp;K199,DB_06[換算鍵],0)),""))))</f>
        <v/>
      </c>
      <c r="M199" s="92">
        <f>UPPER(SUBSTITUTE(SUBSTITUTE(SUBSTITUTE(SUBSTITUTE(TRIM(B199&amp;""),"＜","&lt;"),"＞","&gt;"),"≤","&lt;="),"≥","&gt;="))</f>
        <v/>
      </c>
      <c r="N199" s="92">
        <f>IF(M199="","",IF(OR(M199="ND",M199="N.D."),"ND",IF(OR(M199="NA",M199="N/A",M199="N.A."),"NA",IF(OR(LEFT(M199,2)="&lt;=",LEFT(M199,2)="&gt;="),LEFT(M199,2),IF(OR(LEFT(M199,1)="&lt;",LEFT(M199,1)="&gt;"),LEFT(M199,1),"數值")))))</f>
        <v/>
      </c>
      <c r="O199" s="92">
        <f>IF(OR(N199="",N199="ND",N199="NA"),"",IF(N199="數值",M199,TRIM(MID(M199,LEN(N199)+1,99))))</f>
        <v/>
      </c>
      <c r="P199" s="92">
        <f>IF(O199="","",IFERROR(IF(OR(OR(ISNUMBER(SEARCH("%",O199)),ISNUMBER(SEARCH(" ",O199)),ISNUMBER(SEARCH(",",O199))),OR(SUBSTITUTE(SUBSTITUTE(SUBSTITUTE(SUBSTITUTE(SUBSTITUTE(SUBSTITUTE(SUBSTITUTE(SUBSTITUTE(SUBSTITUTE(SUBSTITUTE(SUBSTITUTE(SUBSTITUTE(SUBSTITUTE(SUBSTITUTE(SUBSTITUTE(SUBSTITUTE(SUBSTITUTE(SUBSTITUTE("x"&amp;O199,"0",""),"1",""),"2",""),"3",""),"4",""),"5",""),"6",""),"7",""),"8",""),"9",""),".",""),"E",""),"+",""),"-",""),"&lt;",""),"&gt;",""),"=","")," ","")&lt;&gt;"x",ISNUMBER(SEARCH("-",SUBSTITUTE(SUBSTITUTE("x"&amp;MID(O199,2,99),"E-","E"),"E+","E"))),ISNUMBER(SEARCH("+",SUBSTITUTE(SUBSTITUTE("x"&amp;MID(O199,2,99),"E-","E"),"E+","E"))))),"",IF(ISNUMBER(AH199),AH199,NA())),""))</f>
        <v/>
      </c>
      <c r="Q199" s="92">
        <f>IF(AND(ISNUMBER(L199),ISNUMBER(P199)),L199*P199,"")</f>
        <v/>
      </c>
      <c r="R199" s="92">
        <f>IF(OR(COUNTA($A199:$D199)=0,U199=0),"",IF(INDEX(DB_05[管制設定值],U199)="","",INDEX(DB_05[管制設定值],U199)))</f>
        <v/>
      </c>
      <c r="S199" s="92">
        <f>IF(OR(COUNTA($A199:$D199)=0,U199=0),"",IF(INDEX(DB_05[監測設定值],U199)="","",INDEX(DB_05[監測設定值],U199)))</f>
        <v/>
      </c>
      <c r="T199" s="92">
        <f>IF(COUNTA($A199:$D199)=0,"",IF(COUNTIFS(DB_04[測項鍵],V199)=1,MATCH(V199,DB_04[測項鍵],0),0))</f>
        <v/>
      </c>
      <c r="U199" s="92">
        <f>IF(COUNTA($A199:$D199)=0,"",IF(COUNTIFS(DB_05[標準鍵],W199)=1,MATCH(W199,DB_05[標準鍵],0),0))</f>
        <v/>
      </c>
      <c r="V199" s="92">
        <f>IF(OR(J199="",A199=""),"",J199&amp;"|"&amp;A199)</f>
        <v/>
      </c>
      <c r="W199" s="92">
        <f>IF(OR('07_QAQC'!$C$3="",V199=""),"",'07_QAQC'!$C$3&amp;"|"&amp;V199)</f>
        <v/>
      </c>
      <c r="X199" s="92">
        <f>IF(OR(H199="",A199=""),"",LEN(H199)&amp;":"&amp;H199&amp;LEN(A199)&amp;":"&amp;A199)</f>
        <v/>
      </c>
      <c r="Y199" s="93">
        <f>IF(COUNTA($A199:$D199)=0,"",IF(I199=0,"樣品未建或重複",IF(INDEX(Samples[樣品檢查],I199)="","OK",INDEX(Samples[樣品檢查],I199))))</f>
        <v/>
      </c>
      <c r="Z199" s="93">
        <f>IF(COUNTA($A199:$D199)=0,"",IF(B199="","缺原始值",IF(OR(B199="-",B199="--"),"無資料",IF(N199="NA","不適用",IF(N199="ND","OK",IF(NOT(ISNUMBER(P199)),"格式待核",IF(AND(N199&lt;&gt;"數值",P199&lt;0),"界限不得為負","OK")))))))</f>
        <v/>
      </c>
      <c r="AA199" s="93">
        <f>IF(COUNTA(A199:D199)=0,"",IF(OR(A199="",H199=""),"缺識別欄位",IF(IF(LEN("="&amp;SUBSTITUTE(SUBSTITUTE(SUBSTITUTE(X199,"~","~~"),"*","~*"),"?","~?"))&lt;=255,COUNTIF(Results[結果識別鍵],"="&amp;SUBSTITUTE(SUBSTITUTE(SUBSTITUTE(X199,"~","~~"),"*","~*"),"?","~?")),COUNTIFS(Results[關聯鍵],"="&amp;SUBSTITUTE(SUBSTITUTE(SUBSTITUTE(H199,"~","~~"),"*","~*"),"?","~?"),Results[分析項目],"="&amp;SUBSTITUTE(SUBSTITUTE(SUBSTITUTE(A199,"~","~~"),"*","~*"),"?","~?")))&gt;1,"同關聯鍵測項重複","OK")))</f>
        <v/>
      </c>
      <c r="AB199" s="93">
        <f>IF(COUNTA($A199:$D199)=0,"",IF(OR(C199="",K199=""),"缺單位",IF(NOT(ISNUMBER(L199)),"單位不相容",IF(L199=1,"OK","已換算"))))</f>
        <v/>
      </c>
      <c r="AC199" s="93">
        <f>IF(COUNTA($A199:$D199)=0,"",IF('07_QAQC'!$C$3="","未選比較版本",IF(U199=0,IF(COUNTIFS(DB_05[標準鍵],W199)&gt;1,"標準鍵重複","未訂此介質／測項門檻"),IF(INDEX(DB_05[版本檢查],U199)&lt;&gt;"OK","標準主檔待核",IF(INDEX(DB_05[標準單位],U199)&lt;&gt;K199,"標準單位不符",IF(INDEX(DB_05[核對狀態],U199)="停用","停用",IF(F199="","缺採樣日期",IF(OR(AND(INDEX(DB_05[生效日],U199)&lt;&gt;"",F199&lt;INDEX(DB_05[生效日],U199)),AND(INDEX(DB_05[失效日],U199)&lt;&gt;"",F199&gt;INDEX(DB_05[失效日],U199))),"日期不適用",INDEX(DB_05[核對狀態],U199)))))))))</f>
        <v/>
      </c>
      <c r="AD199" s="93">
        <f>IF(COUNTA($A199:$D199)=0,"",IF(AC199="未訂此介質／測項門檻",AC199,IF(AC199&lt;&gt;"已核對","標準待核",IF(R199="","未訂管制值",IF(NOT(ISNUMBER(L199)),"單位待核",IF(N199="ND","無法判定（ND無界限）",IF(N199="NA","不適用",IF(Z199&lt;&gt;"OK",Z199,IF(N199="數值",IF(Q199&gt;=R199,"達管制值","未達管制值"),IF(OR(N199="&lt;",N199="&lt;="),IF(OR(Q199&lt;R199,AND(N199="&lt;",Q199=R199)),"未達管制值","無法判定"),IF(OR(N199="&gt;",N199="&gt;="),IF(Q199&gt;=R199,"達管制值","無法判定"),"格式待核")))))))))))</f>
        <v/>
      </c>
      <c r="AE199" s="93">
        <f>IF(COUNTA($A199:$D199)=0,"",IF(AC199="未訂此介質／測項門檻",AC199,IF(AC199&lt;&gt;"已核對","標準待核",IF(S199="","未訂監測值",IF(NOT(ISNUMBER(L199)),"單位待核",IF(N199="ND","無法判定（ND無界限）",IF(N199="NA","不適用",IF(Z199&lt;&gt;"OK",Z199,IF(N199="數值",IF(Q199&gt;=S199,"達監測值","未達監測值"),IF(OR(N199="&lt;",N199="&lt;="),IF(OR(Q199&lt;S199,AND(N199="&lt;",Q199=S199)),"未達監測值","無法判定"),IF(OR(N199="&gt;",N199="&gt;="),IF(Q199&gt;=S199,"達監測值","無法判定"),"格式待核")))))))))))</f>
        <v/>
      </c>
      <c r="AF199" s="93">
        <f>IF(COUNTA($A199:$D199)=0,"",IF(OR(E199="",A199="",B199="",C199=""),"缺必要欄位",IF(Y199&lt;&gt;"OK","樣品資料待補",IF(T199=0,"測項未建或重複",IF(INDEX(DB_04[啟用],T199)&lt;&gt;"是","測項停用",IF(AND(Z199&lt;&gt;"OK",Z199&lt;&gt;"不適用"),Z199,IF(AND(AB199&lt;&gt;"OK",AB199&lt;&gt;"已換算"),"單位待核",IF(AA199&lt;&gt;"OK",AA199,"OK"))))))))</f>
        <v/>
      </c>
      <c r="AG199" s="93">
        <f>IF(COUNTA($A199:$D199)=0,"",IF(N199="ND","ND取0",IF(OR(N199="&lt;",N199="&lt;="),"界限除以2",IF(N199="NA","不適用",IF(OR(N199="&gt;",N199="&gt;="),"保留界限數值","保留原數值")))))</f>
        <v/>
      </c>
      <c r="AH199" s="92">
        <f>IF(O199="","",IFERROR(_xlfn.NUMBERVALUE(O199,".",","),""))</f>
        <v/>
      </c>
      <c r="AI199" s="92">
        <f>IF(H199="","",IFERROR(MATCH(H199,Samples[樣品編號],0),0))</f>
        <v/>
      </c>
    </row>
    <row r="200">
      <c r="A200" s="27" t="inlineStr">
        <is>
          <t>ORP</t>
        </is>
      </c>
      <c r="B200" s="28" t="inlineStr">
        <is>
          <t>-50</t>
        </is>
      </c>
      <c r="C200" s="27" t="inlineStr">
        <is>
          <t>mV</t>
        </is>
      </c>
      <c r="D200" s="39" t="inlineStr">
        <is>
          <t>合成資料，非實測；method=field; reference_electrode=Ag/AgCl; calibration=verified</t>
        </is>
      </c>
      <c r="E200" s="29">
        <f>IF(OR(I200="",I200=0),"",IF(INDEX(Samples[監測點],I200)="","",INDEX(Samples[監測點],I200)))</f>
        <v/>
      </c>
      <c r="F200" s="90">
        <f>IF(OR(I200="",I200=0),"",IF(INDEX(Samples[採樣日期],I200)="","",INDEX(Samples[採樣日期],I200)))</f>
        <v/>
      </c>
      <c r="G200" s="91">
        <f>IF(OR(M200="",M200="NA",M200="N/A"),"",IF(OR(M200="ND",M200="N.D."),0,IFERROR(IF(OR(OR(ISNUMBER(SEARCH("%",O200)),ISNUMBER(SEARCH(" ",O200)),ISNUMBER(SEARCH(",",O200))),OR(SUBSTITUTE(SUBSTITUTE(SUBSTITUTE(SUBSTITUTE(SUBSTITUTE(SUBSTITUTE(SUBSTITUTE(SUBSTITUTE(SUBSTITUTE(SUBSTITUTE(SUBSTITUTE(SUBSTITUTE(SUBSTITUTE(SUBSTITUTE(SUBSTITUTE(SUBSTITUTE(SUBSTITUTE(SUBSTITUTE("x"&amp;M200,"0",""),"1",""),"2",""),"3",""),"4",""),"5",""),"6",""),"7",""),"8",""),"9",""),".",""),"E",""),"+",""),"-",""),"&lt;",""),"&gt;",""),"=","")," ","")&lt;&gt;"x",ISNUMBER(SEARCH("-",SUBSTITUTE(SUBSTITUTE("x"&amp;MID(M200,2,99),"E-","E"),"E+","E"))),ISNUMBER(SEARCH("+",SUBSTITUTE(SUBSTITUTE("x"&amp;MID(M200,2,99),"E-","E"),"E+","E"))))),"",IF(AND(OR(LEFT(M200,1)="&lt;",LEFT(M200,1)="&gt;"),IF(O200="",0,IF(ISNUMBER(AH200),AH200,NA()))&lt;0),"",IF(O200="",0,IF(ISNUMBER(AH200),AH200,NA()))/IF(LEFT(M200,1)="&lt;",2,1))),"")))</f>
        <v/>
      </c>
      <c r="H200" s="57" t="inlineStr">
        <is>
          <t>BH05-W_20260115_01</t>
        </is>
      </c>
      <c r="I200" s="92">
        <f>IF(OR(H200="",AI200=0),0,IF(INDEX(Samples[樣品重複筆數],AI200)=1,AI200,0))</f>
        <v/>
      </c>
      <c r="J200" s="92">
        <f>IF(OR(COUNTA($A200:$D200)=0,I200=0),"",IF(INDEX(Samples[介質],I200)="","",INDEX(Samples[介質],I200)))</f>
        <v/>
      </c>
      <c r="K200" s="92">
        <f>IF(OR(COUNTA($A200:$D200)=0,T200=0),"",IF(INDEX(DB_04[標準單位],T200)="","",INDEX(DB_04[標準單位],T200)))</f>
        <v/>
      </c>
      <c r="L200" s="92">
        <f>IF(COUNTA($A200:$D200)=0,"",IF(OR(C200="",K200=""),"",IF(C200=K200,1,IF(COUNTIFS(DB_06[換算鍵],C200&amp;"|"&amp;K200,DB_06[換算檢查],"OK")=1,INDEX(DB_06[乘數],MATCH(C200&amp;"|"&amp;K200,DB_06[換算鍵],0)),""))))</f>
        <v/>
      </c>
      <c r="M200" s="92">
        <f>UPPER(SUBSTITUTE(SUBSTITUTE(SUBSTITUTE(SUBSTITUTE(TRIM(B200&amp;""),"＜","&lt;"),"＞","&gt;"),"≤","&lt;="),"≥","&gt;="))</f>
        <v/>
      </c>
      <c r="N200" s="92">
        <f>IF(M200="","",IF(OR(M200="ND",M200="N.D."),"ND",IF(OR(M200="NA",M200="N/A",M200="N.A."),"NA",IF(OR(LEFT(M200,2)="&lt;=",LEFT(M200,2)="&gt;="),LEFT(M200,2),IF(OR(LEFT(M200,1)="&lt;",LEFT(M200,1)="&gt;"),LEFT(M200,1),"數值")))))</f>
        <v/>
      </c>
      <c r="O200" s="92">
        <f>IF(OR(N200="",N200="ND",N200="NA"),"",IF(N200="數值",M200,TRIM(MID(M200,LEN(N200)+1,99))))</f>
        <v/>
      </c>
      <c r="P200" s="92">
        <f>IF(O200="","",IFERROR(IF(OR(OR(ISNUMBER(SEARCH("%",O200)),ISNUMBER(SEARCH(" ",O200)),ISNUMBER(SEARCH(",",O200))),OR(SUBSTITUTE(SUBSTITUTE(SUBSTITUTE(SUBSTITUTE(SUBSTITUTE(SUBSTITUTE(SUBSTITUTE(SUBSTITUTE(SUBSTITUTE(SUBSTITUTE(SUBSTITUTE(SUBSTITUTE(SUBSTITUTE(SUBSTITUTE(SUBSTITUTE(SUBSTITUTE(SUBSTITUTE(SUBSTITUTE("x"&amp;O200,"0",""),"1",""),"2",""),"3",""),"4",""),"5",""),"6",""),"7",""),"8",""),"9",""),".",""),"E",""),"+",""),"-",""),"&lt;",""),"&gt;",""),"=","")," ","")&lt;&gt;"x",ISNUMBER(SEARCH("-",SUBSTITUTE(SUBSTITUTE("x"&amp;MID(O200,2,99),"E-","E"),"E+","E"))),ISNUMBER(SEARCH("+",SUBSTITUTE(SUBSTITUTE("x"&amp;MID(O200,2,99),"E-","E"),"E+","E"))))),"",IF(ISNUMBER(AH200),AH200,NA())),""))</f>
        <v/>
      </c>
      <c r="Q200" s="92">
        <f>IF(AND(ISNUMBER(L200),ISNUMBER(P200)),L200*P200,"")</f>
        <v/>
      </c>
      <c r="R200" s="92">
        <f>IF(OR(COUNTA($A200:$D200)=0,U200=0),"",IF(INDEX(DB_05[管制設定值],U200)="","",INDEX(DB_05[管制設定值],U200)))</f>
        <v/>
      </c>
      <c r="S200" s="92">
        <f>IF(OR(COUNTA($A200:$D200)=0,U200=0),"",IF(INDEX(DB_05[監測設定值],U200)="","",INDEX(DB_05[監測設定值],U200)))</f>
        <v/>
      </c>
      <c r="T200" s="92">
        <f>IF(COUNTA($A200:$D200)=0,"",IF(COUNTIFS(DB_04[測項鍵],V200)=1,MATCH(V200,DB_04[測項鍵],0),0))</f>
        <v/>
      </c>
      <c r="U200" s="92">
        <f>IF(COUNTA($A200:$D200)=0,"",IF(COUNTIFS(DB_05[標準鍵],W200)=1,MATCH(W200,DB_05[標準鍵],0),0))</f>
        <v/>
      </c>
      <c r="V200" s="92">
        <f>IF(OR(J200="",A200=""),"",J200&amp;"|"&amp;A200)</f>
        <v/>
      </c>
      <c r="W200" s="92">
        <f>IF(OR('07_QAQC'!$C$3="",V200=""),"",'07_QAQC'!$C$3&amp;"|"&amp;V200)</f>
        <v/>
      </c>
      <c r="X200" s="92">
        <f>IF(OR(H200="",A200=""),"",LEN(H200)&amp;":"&amp;H200&amp;LEN(A200)&amp;":"&amp;A200)</f>
        <v/>
      </c>
      <c r="Y200" s="93">
        <f>IF(COUNTA($A200:$D200)=0,"",IF(I200=0,"樣品未建或重複",IF(INDEX(Samples[樣品檢查],I200)="","OK",INDEX(Samples[樣品檢查],I200))))</f>
        <v/>
      </c>
      <c r="Z200" s="93">
        <f>IF(COUNTA($A200:$D200)=0,"",IF(B200="","缺原始值",IF(OR(B200="-",B200="--"),"無資料",IF(N200="NA","不適用",IF(N200="ND","OK",IF(NOT(ISNUMBER(P200)),"格式待核",IF(AND(N200&lt;&gt;"數值",P200&lt;0),"界限不得為負","OK")))))))</f>
        <v/>
      </c>
      <c r="AA200" s="93">
        <f>IF(COUNTA(A200:D200)=0,"",IF(OR(A200="",H200=""),"缺識別欄位",IF(IF(LEN("="&amp;SUBSTITUTE(SUBSTITUTE(SUBSTITUTE(X200,"~","~~"),"*","~*"),"?","~?"))&lt;=255,COUNTIF(Results[結果識別鍵],"="&amp;SUBSTITUTE(SUBSTITUTE(SUBSTITUTE(X200,"~","~~"),"*","~*"),"?","~?")),COUNTIFS(Results[關聯鍵],"="&amp;SUBSTITUTE(SUBSTITUTE(SUBSTITUTE(H200,"~","~~"),"*","~*"),"?","~?"),Results[分析項目],"="&amp;SUBSTITUTE(SUBSTITUTE(SUBSTITUTE(A200,"~","~~"),"*","~*"),"?","~?")))&gt;1,"同關聯鍵測項重複","OK")))</f>
        <v/>
      </c>
      <c r="AB200" s="93">
        <f>IF(COUNTA($A200:$D200)=0,"",IF(OR(C200="",K200=""),"缺單位",IF(NOT(ISNUMBER(L200)),"單位不相容",IF(L200=1,"OK","已換算"))))</f>
        <v/>
      </c>
      <c r="AC200" s="93">
        <f>IF(COUNTA($A200:$D200)=0,"",IF('07_QAQC'!$C$3="","未選比較版本",IF(U200=0,IF(COUNTIFS(DB_05[標準鍵],W200)&gt;1,"標準鍵重複","未訂此介質／測項門檻"),IF(INDEX(DB_05[版本檢查],U200)&lt;&gt;"OK","標準主檔待核",IF(INDEX(DB_05[標準單位],U200)&lt;&gt;K200,"標準單位不符",IF(INDEX(DB_05[核對狀態],U200)="停用","停用",IF(F200="","缺採樣日期",IF(OR(AND(INDEX(DB_05[生效日],U200)&lt;&gt;"",F200&lt;INDEX(DB_05[生效日],U200)),AND(INDEX(DB_05[失效日],U200)&lt;&gt;"",F200&gt;INDEX(DB_05[失效日],U200))),"日期不適用",INDEX(DB_05[核對狀態],U200)))))))))</f>
        <v/>
      </c>
      <c r="AD200" s="93">
        <f>IF(COUNTA($A200:$D200)=0,"",IF(AC200="未訂此介質／測項門檻",AC200,IF(AC200&lt;&gt;"已核對","標準待核",IF(R200="","未訂管制值",IF(NOT(ISNUMBER(L200)),"單位待核",IF(N200="ND","無法判定（ND無界限）",IF(N200="NA","不適用",IF(Z200&lt;&gt;"OK",Z200,IF(N200="數值",IF(Q200&gt;=R200,"達管制值","未達管制值"),IF(OR(N200="&lt;",N200="&lt;="),IF(OR(Q200&lt;R200,AND(N200="&lt;",Q200=R200)),"未達管制值","無法判定"),IF(OR(N200="&gt;",N200="&gt;="),IF(Q200&gt;=R200,"達管制值","無法判定"),"格式待核")))))))))))</f>
        <v/>
      </c>
      <c r="AE200" s="93">
        <f>IF(COUNTA($A200:$D200)=0,"",IF(AC200="未訂此介質／測項門檻",AC200,IF(AC200&lt;&gt;"已核對","標準待核",IF(S200="","未訂監測值",IF(NOT(ISNUMBER(L200)),"單位待核",IF(N200="ND","無法判定（ND無界限）",IF(N200="NA","不適用",IF(Z200&lt;&gt;"OK",Z200,IF(N200="數值",IF(Q200&gt;=S200,"達監測值","未達監測值"),IF(OR(N200="&lt;",N200="&lt;="),IF(OR(Q200&lt;S200,AND(N200="&lt;",Q200=S200)),"未達監測值","無法判定"),IF(OR(N200="&gt;",N200="&gt;="),IF(Q200&gt;=S200,"達監測值","無法判定"),"格式待核")))))))))))</f>
        <v/>
      </c>
      <c r="AF200" s="93">
        <f>IF(COUNTA($A200:$D200)=0,"",IF(OR(E200="",A200="",B200="",C200=""),"缺必要欄位",IF(Y200&lt;&gt;"OK","樣品資料待補",IF(T200=0,"測項未建或重複",IF(INDEX(DB_04[啟用],T200)&lt;&gt;"是","測項停用",IF(AND(Z200&lt;&gt;"OK",Z200&lt;&gt;"不適用"),Z200,IF(AND(AB200&lt;&gt;"OK",AB200&lt;&gt;"已換算"),"單位待核",IF(AA200&lt;&gt;"OK",AA200,"OK"))))))))</f>
        <v/>
      </c>
      <c r="AG200" s="93">
        <f>IF(COUNTA($A200:$D200)=0,"",IF(N200="ND","ND取0",IF(OR(N200="&lt;",N200="&lt;="),"界限除以2",IF(N200="NA","不適用",IF(OR(N200="&gt;",N200="&gt;="),"保留界限數值","保留原數值")))))</f>
        <v/>
      </c>
      <c r="AH200" s="92">
        <f>IF(O200="","",IFERROR(_xlfn.NUMBERVALUE(O200,".",","),""))</f>
        <v/>
      </c>
      <c r="AI200" s="92">
        <f>IF(H200="","",IFERROR(MATCH(H200,Samples[樣品編號],0),0))</f>
        <v/>
      </c>
    </row>
    <row r="201">
      <c r="A201" s="27" t="inlineStr">
        <is>
          <t>總有機碳</t>
        </is>
      </c>
      <c r="B201" s="28" t="inlineStr">
        <is>
          <t>3.0</t>
        </is>
      </c>
      <c r="C201" s="27" t="inlineStr">
        <is>
          <t>mg/L</t>
        </is>
      </c>
      <c r="D201" s="39" t="inlineStr">
        <is>
          <t>合成資料，非實測；method=lab</t>
        </is>
      </c>
      <c r="E201" s="29">
        <f>IF(OR(I201="",I201=0),"",IF(INDEX(Samples[監測點],I201)="","",INDEX(Samples[監測點],I201)))</f>
        <v/>
      </c>
      <c r="F201" s="90">
        <f>IF(OR(I201="",I201=0),"",IF(INDEX(Samples[採樣日期],I201)="","",INDEX(Samples[採樣日期],I201)))</f>
        <v/>
      </c>
      <c r="G201" s="91">
        <f>IF(OR(M201="",M201="NA",M201="N/A"),"",IF(OR(M201="ND",M201="N.D."),0,IFERROR(IF(OR(OR(ISNUMBER(SEARCH("%",O201)),ISNUMBER(SEARCH(" ",O201)),ISNUMBER(SEARCH(",",O201))),OR(SUBSTITUTE(SUBSTITUTE(SUBSTITUTE(SUBSTITUTE(SUBSTITUTE(SUBSTITUTE(SUBSTITUTE(SUBSTITUTE(SUBSTITUTE(SUBSTITUTE(SUBSTITUTE(SUBSTITUTE(SUBSTITUTE(SUBSTITUTE(SUBSTITUTE(SUBSTITUTE(SUBSTITUTE(SUBSTITUTE("x"&amp;M201,"0",""),"1",""),"2",""),"3",""),"4",""),"5",""),"6",""),"7",""),"8",""),"9",""),".",""),"E",""),"+",""),"-",""),"&lt;",""),"&gt;",""),"=","")," ","")&lt;&gt;"x",ISNUMBER(SEARCH("-",SUBSTITUTE(SUBSTITUTE("x"&amp;MID(M201,2,99),"E-","E"),"E+","E"))),ISNUMBER(SEARCH("+",SUBSTITUTE(SUBSTITUTE("x"&amp;MID(M201,2,99),"E-","E"),"E+","E"))))),"",IF(AND(OR(LEFT(M201,1)="&lt;",LEFT(M201,1)="&gt;"),IF(O201="",0,IF(ISNUMBER(AH201),AH201,NA()))&lt;0),"",IF(O201="",0,IF(ISNUMBER(AH201),AH201,NA()))/IF(LEFT(M201,1)="&lt;",2,1))),"")))</f>
        <v/>
      </c>
      <c r="H201" s="57" t="inlineStr">
        <is>
          <t>BH05-W_20260115_01</t>
        </is>
      </c>
      <c r="I201" s="92">
        <f>IF(OR(H201="",AI201=0),0,IF(INDEX(Samples[樣品重複筆數],AI201)=1,AI201,0))</f>
        <v/>
      </c>
      <c r="J201" s="92">
        <f>IF(OR(COUNTA($A201:$D201)=0,I201=0),"",IF(INDEX(Samples[介質],I201)="","",INDEX(Samples[介質],I201)))</f>
        <v/>
      </c>
      <c r="K201" s="92">
        <f>IF(OR(COUNTA($A201:$D201)=0,T201=0),"",IF(INDEX(DB_04[標準單位],T201)="","",INDEX(DB_04[標準單位],T201)))</f>
        <v/>
      </c>
      <c r="L201" s="92">
        <f>IF(COUNTA($A201:$D201)=0,"",IF(OR(C201="",K201=""),"",IF(C201=K201,1,IF(COUNTIFS(DB_06[換算鍵],C201&amp;"|"&amp;K201,DB_06[換算檢查],"OK")=1,INDEX(DB_06[乘數],MATCH(C201&amp;"|"&amp;K201,DB_06[換算鍵],0)),""))))</f>
        <v/>
      </c>
      <c r="M201" s="92">
        <f>UPPER(SUBSTITUTE(SUBSTITUTE(SUBSTITUTE(SUBSTITUTE(TRIM(B201&amp;""),"＜","&lt;"),"＞","&gt;"),"≤","&lt;="),"≥","&gt;="))</f>
        <v/>
      </c>
      <c r="N201" s="92">
        <f>IF(M201="","",IF(OR(M201="ND",M201="N.D."),"ND",IF(OR(M201="NA",M201="N/A",M201="N.A."),"NA",IF(OR(LEFT(M201,2)="&lt;=",LEFT(M201,2)="&gt;="),LEFT(M201,2),IF(OR(LEFT(M201,1)="&lt;",LEFT(M201,1)="&gt;"),LEFT(M201,1),"數值")))))</f>
        <v/>
      </c>
      <c r="O201" s="92">
        <f>IF(OR(N201="",N201="ND",N201="NA"),"",IF(N201="數值",M201,TRIM(MID(M201,LEN(N201)+1,99))))</f>
        <v/>
      </c>
      <c r="P201" s="92">
        <f>IF(O201="","",IFERROR(IF(OR(OR(ISNUMBER(SEARCH("%",O201)),ISNUMBER(SEARCH(" ",O201)),ISNUMBER(SEARCH(",",O201))),OR(SUBSTITUTE(SUBSTITUTE(SUBSTITUTE(SUBSTITUTE(SUBSTITUTE(SUBSTITUTE(SUBSTITUTE(SUBSTITUTE(SUBSTITUTE(SUBSTITUTE(SUBSTITUTE(SUBSTITUTE(SUBSTITUTE(SUBSTITUTE(SUBSTITUTE(SUBSTITUTE(SUBSTITUTE(SUBSTITUTE("x"&amp;O201,"0",""),"1",""),"2",""),"3",""),"4",""),"5",""),"6",""),"7",""),"8",""),"9",""),".",""),"E",""),"+",""),"-",""),"&lt;",""),"&gt;",""),"=","")," ","")&lt;&gt;"x",ISNUMBER(SEARCH("-",SUBSTITUTE(SUBSTITUTE("x"&amp;MID(O201,2,99),"E-","E"),"E+","E"))),ISNUMBER(SEARCH("+",SUBSTITUTE(SUBSTITUTE("x"&amp;MID(O201,2,99),"E-","E"),"E+","E"))))),"",IF(ISNUMBER(AH201),AH201,NA())),""))</f>
        <v/>
      </c>
      <c r="Q201" s="92">
        <f>IF(AND(ISNUMBER(L201),ISNUMBER(P201)),L201*P201,"")</f>
        <v/>
      </c>
      <c r="R201" s="92">
        <f>IF(OR(COUNTA($A201:$D201)=0,U201=0),"",IF(INDEX(DB_05[管制設定值],U201)="","",INDEX(DB_05[管制設定值],U201)))</f>
        <v/>
      </c>
      <c r="S201" s="92">
        <f>IF(OR(COUNTA($A201:$D201)=0,U201=0),"",IF(INDEX(DB_05[監測設定值],U201)="","",INDEX(DB_05[監測設定值],U201)))</f>
        <v/>
      </c>
      <c r="T201" s="92">
        <f>IF(COUNTA($A201:$D201)=0,"",IF(COUNTIFS(DB_04[測項鍵],V201)=1,MATCH(V201,DB_04[測項鍵],0),0))</f>
        <v/>
      </c>
      <c r="U201" s="92">
        <f>IF(COUNTA($A201:$D201)=0,"",IF(COUNTIFS(DB_05[標準鍵],W201)=1,MATCH(W201,DB_05[標準鍵],0),0))</f>
        <v/>
      </c>
      <c r="V201" s="92">
        <f>IF(OR(J201="",A201=""),"",J201&amp;"|"&amp;A201)</f>
        <v/>
      </c>
      <c r="W201" s="92">
        <f>IF(OR('07_QAQC'!$C$3="",V201=""),"",'07_QAQC'!$C$3&amp;"|"&amp;V201)</f>
        <v/>
      </c>
      <c r="X201" s="92">
        <f>IF(OR(H201="",A201=""),"",LEN(H201)&amp;":"&amp;H201&amp;LEN(A201)&amp;":"&amp;A201)</f>
        <v/>
      </c>
      <c r="Y201" s="93">
        <f>IF(COUNTA($A201:$D201)=0,"",IF(I201=0,"樣品未建或重複",IF(INDEX(Samples[樣品檢查],I201)="","OK",INDEX(Samples[樣品檢查],I201))))</f>
        <v/>
      </c>
      <c r="Z201" s="93">
        <f>IF(COUNTA($A201:$D201)=0,"",IF(B201="","缺原始值",IF(OR(B201="-",B201="--"),"無資料",IF(N201="NA","不適用",IF(N201="ND","OK",IF(NOT(ISNUMBER(P201)),"格式待核",IF(AND(N201&lt;&gt;"數值",P201&lt;0),"界限不得為負","OK")))))))</f>
        <v/>
      </c>
      <c r="AA201" s="93">
        <f>IF(COUNTA(A201:D201)=0,"",IF(OR(A201="",H201=""),"缺識別欄位",IF(IF(LEN("="&amp;SUBSTITUTE(SUBSTITUTE(SUBSTITUTE(X201,"~","~~"),"*","~*"),"?","~?"))&lt;=255,COUNTIF(Results[結果識別鍵],"="&amp;SUBSTITUTE(SUBSTITUTE(SUBSTITUTE(X201,"~","~~"),"*","~*"),"?","~?")),COUNTIFS(Results[關聯鍵],"="&amp;SUBSTITUTE(SUBSTITUTE(SUBSTITUTE(H201,"~","~~"),"*","~*"),"?","~?"),Results[分析項目],"="&amp;SUBSTITUTE(SUBSTITUTE(SUBSTITUTE(A201,"~","~~"),"*","~*"),"?","~?")))&gt;1,"同關聯鍵測項重複","OK")))</f>
        <v/>
      </c>
      <c r="AB201" s="93">
        <f>IF(COUNTA($A201:$D201)=0,"",IF(OR(C201="",K201=""),"缺單位",IF(NOT(ISNUMBER(L201)),"單位不相容",IF(L201=1,"OK","已換算"))))</f>
        <v/>
      </c>
      <c r="AC201" s="93">
        <f>IF(COUNTA($A201:$D201)=0,"",IF('07_QAQC'!$C$3="","未選比較版本",IF(U201=0,IF(COUNTIFS(DB_05[標準鍵],W201)&gt;1,"標準鍵重複","未訂此介質／測項門檻"),IF(INDEX(DB_05[版本檢查],U201)&lt;&gt;"OK","標準主檔待核",IF(INDEX(DB_05[標準單位],U201)&lt;&gt;K201,"標準單位不符",IF(INDEX(DB_05[核對狀態],U201)="停用","停用",IF(F201="","缺採樣日期",IF(OR(AND(INDEX(DB_05[生效日],U201)&lt;&gt;"",F201&lt;INDEX(DB_05[生效日],U201)),AND(INDEX(DB_05[失效日],U201)&lt;&gt;"",F201&gt;INDEX(DB_05[失效日],U201))),"日期不適用",INDEX(DB_05[核對狀態],U201)))))))))</f>
        <v/>
      </c>
      <c r="AD201" s="93">
        <f>IF(COUNTA($A201:$D201)=0,"",IF(AC201="未訂此介質／測項門檻",AC201,IF(AC201&lt;&gt;"已核對","標準待核",IF(R201="","未訂管制值",IF(NOT(ISNUMBER(L201)),"單位待核",IF(N201="ND","無法判定（ND無界限）",IF(N201="NA","不適用",IF(Z201&lt;&gt;"OK",Z201,IF(N201="數值",IF(Q201&gt;=R201,"達管制值","未達管制值"),IF(OR(N201="&lt;",N201="&lt;="),IF(OR(Q201&lt;R201,AND(N201="&lt;",Q201=R201)),"未達管制值","無法判定"),IF(OR(N201="&gt;",N201="&gt;="),IF(Q201&gt;=R201,"達管制值","無法判定"),"格式待核")))))))))))</f>
        <v/>
      </c>
      <c r="AE201" s="93">
        <f>IF(COUNTA($A201:$D201)=0,"",IF(AC201="未訂此介質／測項門檻",AC201,IF(AC201&lt;&gt;"已核對","標準待核",IF(S201="","未訂監測值",IF(NOT(ISNUMBER(L201)),"單位待核",IF(N201="ND","無法判定（ND無界限）",IF(N201="NA","不適用",IF(Z201&lt;&gt;"OK",Z201,IF(N201="數值",IF(Q201&gt;=S201,"達監測值","未達監測值"),IF(OR(N201="&lt;",N201="&lt;="),IF(OR(Q201&lt;S201,AND(N201="&lt;",Q201=S201)),"未達監測值","無法判定"),IF(OR(N201="&gt;",N201="&gt;="),IF(Q201&gt;=S201,"達監測值","無法判定"),"格式待核")))))))))))</f>
        <v/>
      </c>
      <c r="AF201" s="93">
        <f>IF(COUNTA($A201:$D201)=0,"",IF(OR(E201="",A201="",B201="",C201=""),"缺必要欄位",IF(Y201&lt;&gt;"OK","樣品資料待補",IF(T201=0,"測項未建或重複",IF(INDEX(DB_04[啟用],T201)&lt;&gt;"是","測項停用",IF(AND(Z201&lt;&gt;"OK",Z201&lt;&gt;"不適用"),Z201,IF(AND(AB201&lt;&gt;"OK",AB201&lt;&gt;"已換算"),"單位待核",IF(AA201&lt;&gt;"OK",AA201,"OK"))))))))</f>
        <v/>
      </c>
      <c r="AG201" s="93">
        <f>IF(COUNTA($A201:$D201)=0,"",IF(N201="ND","ND取0",IF(OR(N201="&lt;",N201="&lt;="),"界限除以2",IF(N201="NA","不適用",IF(OR(N201="&gt;",N201="&gt;="),"保留界限數值","保留原數值")))))</f>
        <v/>
      </c>
      <c r="AH201" s="92">
        <f>IF(O201="","",IFERROR(_xlfn.NUMBERVALUE(O201,".",","),""))</f>
        <v/>
      </c>
      <c r="AI201" s="92">
        <f>IF(H201="","",IFERROR(MATCH(H201,Samples[樣品編號],0),0))</f>
        <v/>
      </c>
    </row>
    <row r="202">
      <c r="A202" s="27" t="inlineStr">
        <is>
          <t>鋅</t>
        </is>
      </c>
      <c r="B202" s="28" t="inlineStr">
        <is>
          <t>152</t>
        </is>
      </c>
      <c r="C202" s="27" t="inlineStr">
        <is>
          <t>mg/kg</t>
        </is>
      </c>
      <c r="D202" s="39" t="inlineStr">
        <is>
          <t>合成資料，非實測；method=XRF; basis=dry</t>
        </is>
      </c>
      <c r="E202" s="29">
        <f>IF(OR(I202="",I202=0),"",IF(INDEX(Samples[監測點],I202)="","",INDEX(Samples[監測點],I202)))</f>
        <v/>
      </c>
      <c r="F202" s="90">
        <f>IF(OR(I202="",I202=0),"",IF(INDEX(Samples[採樣日期],I202)="","",INDEX(Samples[採樣日期],I202)))</f>
        <v/>
      </c>
      <c r="G202" s="91">
        <f>IF(OR(M202="",M202="NA",M202="N/A"),"",IF(OR(M202="ND",M202="N.D."),0,IFERROR(IF(OR(OR(ISNUMBER(SEARCH("%",O202)),ISNUMBER(SEARCH(" ",O202)),ISNUMBER(SEARCH(",",O202))),OR(SUBSTITUTE(SUBSTITUTE(SUBSTITUTE(SUBSTITUTE(SUBSTITUTE(SUBSTITUTE(SUBSTITUTE(SUBSTITUTE(SUBSTITUTE(SUBSTITUTE(SUBSTITUTE(SUBSTITUTE(SUBSTITUTE(SUBSTITUTE(SUBSTITUTE(SUBSTITUTE(SUBSTITUTE(SUBSTITUTE("x"&amp;M202,"0",""),"1",""),"2",""),"3",""),"4",""),"5",""),"6",""),"7",""),"8",""),"9",""),".",""),"E",""),"+",""),"-",""),"&lt;",""),"&gt;",""),"=","")," ","")&lt;&gt;"x",ISNUMBER(SEARCH("-",SUBSTITUTE(SUBSTITUTE("x"&amp;MID(M202,2,99),"E-","E"),"E+","E"))),ISNUMBER(SEARCH("+",SUBSTITUTE(SUBSTITUTE("x"&amp;MID(M202,2,99),"E-","E"),"E+","E"))))),"",IF(AND(OR(LEFT(M202,1)="&lt;",LEFT(M202,1)="&gt;"),IF(O202="",0,IF(ISNUMBER(AH202),AH202,NA()))&lt;0),"",IF(O202="",0,IF(ISNUMBER(AH202),AH202,NA()))/IF(LEFT(M202,1)="&lt;",2,1))),"")))</f>
        <v/>
      </c>
      <c r="H202" s="57" t="inlineStr">
        <is>
          <t>BH05-S_20260115_02</t>
        </is>
      </c>
      <c r="I202" s="92">
        <f>IF(OR(H202="",AI202=0),0,IF(INDEX(Samples[樣品重複筆數],AI202)=1,AI202,0))</f>
        <v/>
      </c>
      <c r="J202" s="92">
        <f>IF(OR(COUNTA($A202:$D202)=0,I202=0),"",IF(INDEX(Samples[介質],I202)="","",INDEX(Samples[介質],I202)))</f>
        <v/>
      </c>
      <c r="K202" s="92">
        <f>IF(OR(COUNTA($A202:$D202)=0,T202=0),"",IF(INDEX(DB_04[標準單位],T202)="","",INDEX(DB_04[標準單位],T202)))</f>
        <v/>
      </c>
      <c r="L202" s="92">
        <f>IF(COUNTA($A202:$D202)=0,"",IF(OR(C202="",K202=""),"",IF(C202=K202,1,IF(COUNTIFS(DB_06[換算鍵],C202&amp;"|"&amp;K202,DB_06[換算檢查],"OK")=1,INDEX(DB_06[乘數],MATCH(C202&amp;"|"&amp;K202,DB_06[換算鍵],0)),""))))</f>
        <v/>
      </c>
      <c r="M202" s="92">
        <f>UPPER(SUBSTITUTE(SUBSTITUTE(SUBSTITUTE(SUBSTITUTE(TRIM(B202&amp;""),"＜","&lt;"),"＞","&gt;"),"≤","&lt;="),"≥","&gt;="))</f>
        <v/>
      </c>
      <c r="N202" s="92">
        <f>IF(M202="","",IF(OR(M202="ND",M202="N.D."),"ND",IF(OR(M202="NA",M202="N/A",M202="N.A."),"NA",IF(OR(LEFT(M202,2)="&lt;=",LEFT(M202,2)="&gt;="),LEFT(M202,2),IF(OR(LEFT(M202,1)="&lt;",LEFT(M202,1)="&gt;"),LEFT(M202,1),"數值")))))</f>
        <v/>
      </c>
      <c r="O202" s="92">
        <f>IF(OR(N202="",N202="ND",N202="NA"),"",IF(N202="數值",M202,TRIM(MID(M202,LEN(N202)+1,99))))</f>
        <v/>
      </c>
      <c r="P202" s="92">
        <f>IF(O202="","",IFERROR(IF(OR(OR(ISNUMBER(SEARCH("%",O202)),ISNUMBER(SEARCH(" ",O202)),ISNUMBER(SEARCH(",",O202))),OR(SUBSTITUTE(SUBSTITUTE(SUBSTITUTE(SUBSTITUTE(SUBSTITUTE(SUBSTITUTE(SUBSTITUTE(SUBSTITUTE(SUBSTITUTE(SUBSTITUTE(SUBSTITUTE(SUBSTITUTE(SUBSTITUTE(SUBSTITUTE(SUBSTITUTE(SUBSTITUTE(SUBSTITUTE(SUBSTITUTE("x"&amp;O202,"0",""),"1",""),"2",""),"3",""),"4",""),"5",""),"6",""),"7",""),"8",""),"9",""),".",""),"E",""),"+",""),"-",""),"&lt;",""),"&gt;",""),"=","")," ","")&lt;&gt;"x",ISNUMBER(SEARCH("-",SUBSTITUTE(SUBSTITUTE("x"&amp;MID(O202,2,99),"E-","E"),"E+","E"))),ISNUMBER(SEARCH("+",SUBSTITUTE(SUBSTITUTE("x"&amp;MID(O202,2,99),"E-","E"),"E+","E"))))),"",IF(ISNUMBER(AH202),AH202,NA())),""))</f>
        <v/>
      </c>
      <c r="Q202" s="92">
        <f>IF(AND(ISNUMBER(L202),ISNUMBER(P202)),L202*P202,"")</f>
        <v/>
      </c>
      <c r="R202" s="92">
        <f>IF(OR(COUNTA($A202:$D202)=0,U202=0),"",IF(INDEX(DB_05[管制設定值],U202)="","",INDEX(DB_05[管制設定值],U202)))</f>
        <v/>
      </c>
      <c r="S202" s="92">
        <f>IF(OR(COUNTA($A202:$D202)=0,U202=0),"",IF(INDEX(DB_05[監測設定值],U202)="","",INDEX(DB_05[監測設定值],U202)))</f>
        <v/>
      </c>
      <c r="T202" s="92">
        <f>IF(COUNTA($A202:$D202)=0,"",IF(COUNTIFS(DB_04[測項鍵],V202)=1,MATCH(V202,DB_04[測項鍵],0),0))</f>
        <v/>
      </c>
      <c r="U202" s="92">
        <f>IF(COUNTA($A202:$D202)=0,"",IF(COUNTIFS(DB_05[標準鍵],W202)=1,MATCH(W202,DB_05[標準鍵],0),0))</f>
        <v/>
      </c>
      <c r="V202" s="92">
        <f>IF(OR(J202="",A202=""),"",J202&amp;"|"&amp;A202)</f>
        <v/>
      </c>
      <c r="W202" s="92">
        <f>IF(OR('07_QAQC'!$C$3="",V202=""),"",'07_QAQC'!$C$3&amp;"|"&amp;V202)</f>
        <v/>
      </c>
      <c r="X202" s="92">
        <f>IF(OR(H202="",A202=""),"",LEN(H202)&amp;":"&amp;H202&amp;LEN(A202)&amp;":"&amp;A202)</f>
        <v/>
      </c>
      <c r="Y202" s="93">
        <f>IF(COUNTA($A202:$D202)=0,"",IF(I202=0,"樣品未建或重複",IF(INDEX(Samples[樣品檢查],I202)="","OK",INDEX(Samples[樣品檢查],I202))))</f>
        <v/>
      </c>
      <c r="Z202" s="93">
        <f>IF(COUNTA($A202:$D202)=0,"",IF(B202="","缺原始值",IF(OR(B202="-",B202="--"),"無資料",IF(N202="NA","不適用",IF(N202="ND","OK",IF(NOT(ISNUMBER(P202)),"格式待核",IF(AND(N202&lt;&gt;"數值",P202&lt;0),"界限不得為負","OK")))))))</f>
        <v/>
      </c>
      <c r="AA202" s="93">
        <f>IF(COUNTA(A202:D202)=0,"",IF(OR(A202="",H202=""),"缺識別欄位",IF(IF(LEN("="&amp;SUBSTITUTE(SUBSTITUTE(SUBSTITUTE(X202,"~","~~"),"*","~*"),"?","~?"))&lt;=255,COUNTIF(Results[結果識別鍵],"="&amp;SUBSTITUTE(SUBSTITUTE(SUBSTITUTE(X202,"~","~~"),"*","~*"),"?","~?")),COUNTIFS(Results[關聯鍵],"="&amp;SUBSTITUTE(SUBSTITUTE(SUBSTITUTE(H202,"~","~~"),"*","~*"),"?","~?"),Results[分析項目],"="&amp;SUBSTITUTE(SUBSTITUTE(SUBSTITUTE(A202,"~","~~"),"*","~*"),"?","~?")))&gt;1,"同關聯鍵測項重複","OK")))</f>
        <v/>
      </c>
      <c r="AB202" s="93">
        <f>IF(COUNTA($A202:$D202)=0,"",IF(OR(C202="",K202=""),"缺單位",IF(NOT(ISNUMBER(L202)),"單位不相容",IF(L202=1,"OK","已換算"))))</f>
        <v/>
      </c>
      <c r="AC202" s="93">
        <f>IF(COUNTA($A202:$D202)=0,"",IF('07_QAQC'!$C$3="","未選比較版本",IF(U202=0,IF(COUNTIFS(DB_05[標準鍵],W202)&gt;1,"標準鍵重複","未訂此介質／測項門檻"),IF(INDEX(DB_05[版本檢查],U202)&lt;&gt;"OK","標準主檔待核",IF(INDEX(DB_05[標準單位],U202)&lt;&gt;K202,"標準單位不符",IF(INDEX(DB_05[核對狀態],U202)="停用","停用",IF(F202="","缺採樣日期",IF(OR(AND(INDEX(DB_05[生效日],U202)&lt;&gt;"",F202&lt;INDEX(DB_05[生效日],U202)),AND(INDEX(DB_05[失效日],U202)&lt;&gt;"",F202&gt;INDEX(DB_05[失效日],U202))),"日期不適用",INDEX(DB_05[核對狀態],U202)))))))))</f>
        <v/>
      </c>
      <c r="AD202" s="93">
        <f>IF(COUNTA($A202:$D202)=0,"",IF(AC202="未訂此介質／測項門檻",AC202,IF(AC202&lt;&gt;"已核對","標準待核",IF(R202="","未訂管制值",IF(NOT(ISNUMBER(L202)),"單位待核",IF(N202="ND","無法判定（ND無界限）",IF(N202="NA","不適用",IF(Z202&lt;&gt;"OK",Z202,IF(N202="數值",IF(Q202&gt;=R202,"達管制值","未達管制值"),IF(OR(N202="&lt;",N202="&lt;="),IF(OR(Q202&lt;R202,AND(N202="&lt;",Q202=R202)),"未達管制值","無法判定"),IF(OR(N202="&gt;",N202="&gt;="),IF(Q202&gt;=R202,"達管制值","無法判定"),"格式待核")))))))))))</f>
        <v/>
      </c>
      <c r="AE202" s="93">
        <f>IF(COUNTA($A202:$D202)=0,"",IF(AC202="未訂此介質／測項門檻",AC202,IF(AC202&lt;&gt;"已核對","標準待核",IF(S202="","未訂監測值",IF(NOT(ISNUMBER(L202)),"單位待核",IF(N202="ND","無法判定（ND無界限）",IF(N202="NA","不適用",IF(Z202&lt;&gt;"OK",Z202,IF(N202="數值",IF(Q202&gt;=S202,"達監測值","未達監測值"),IF(OR(N202="&lt;",N202="&lt;="),IF(OR(Q202&lt;S202,AND(N202="&lt;",Q202=S202)),"未達監測值","無法判定"),IF(OR(N202="&gt;",N202="&gt;="),IF(Q202&gt;=S202,"達監測值","無法判定"),"格式待核")))))))))))</f>
        <v/>
      </c>
      <c r="AF202" s="93">
        <f>IF(COUNTA($A202:$D202)=0,"",IF(OR(E202="",A202="",B202="",C202=""),"缺必要欄位",IF(Y202&lt;&gt;"OK","樣品資料待補",IF(T202=0,"測項未建或重複",IF(INDEX(DB_04[啟用],T202)&lt;&gt;"是","測項停用",IF(AND(Z202&lt;&gt;"OK",Z202&lt;&gt;"不適用"),Z202,IF(AND(AB202&lt;&gt;"OK",AB202&lt;&gt;"已換算"),"單位待核",IF(AA202&lt;&gt;"OK",AA202,"OK"))))))))</f>
        <v/>
      </c>
      <c r="AG202" s="93">
        <f>IF(COUNTA($A202:$D202)=0,"",IF(N202="ND","ND取0",IF(OR(N202="&lt;",N202="&lt;="),"界限除以2",IF(N202="NA","不適用",IF(OR(N202="&gt;",N202="&gt;="),"保留界限數值","保留原數值")))))</f>
        <v/>
      </c>
      <c r="AH202" s="92">
        <f>IF(O202="","",IFERROR(_xlfn.NUMBERVALUE(O202,".",","),""))</f>
        <v/>
      </c>
      <c r="AI202" s="92">
        <f>IF(H202="","",IFERROR(MATCH(H202,Samples[樣品編號],0),0))</f>
        <v/>
      </c>
    </row>
    <row r="203">
      <c r="A203" s="27" t="inlineStr">
        <is>
          <t>總有機碳</t>
        </is>
      </c>
      <c r="B203" s="28" t="inlineStr">
        <is>
          <t>0.53</t>
        </is>
      </c>
      <c r="C203" s="27" t="inlineStr">
        <is>
          <t>%</t>
        </is>
      </c>
      <c r="D203" s="39" t="inlineStr">
        <is>
          <t>合成資料，非實測；method=lab; basis=dry</t>
        </is>
      </c>
      <c r="E203" s="29">
        <f>IF(OR(I203="",I203=0),"",IF(INDEX(Samples[監測點],I203)="","",INDEX(Samples[監測點],I203)))</f>
        <v/>
      </c>
      <c r="F203" s="90">
        <f>IF(OR(I203="",I203=0),"",IF(INDEX(Samples[採樣日期],I203)="","",INDEX(Samples[採樣日期],I203)))</f>
        <v/>
      </c>
      <c r="G203" s="91">
        <f>IF(OR(M203="",M203="NA",M203="N/A"),"",IF(OR(M203="ND",M203="N.D."),0,IFERROR(IF(OR(OR(ISNUMBER(SEARCH("%",O203)),ISNUMBER(SEARCH(" ",O203)),ISNUMBER(SEARCH(",",O203))),OR(SUBSTITUTE(SUBSTITUTE(SUBSTITUTE(SUBSTITUTE(SUBSTITUTE(SUBSTITUTE(SUBSTITUTE(SUBSTITUTE(SUBSTITUTE(SUBSTITUTE(SUBSTITUTE(SUBSTITUTE(SUBSTITUTE(SUBSTITUTE(SUBSTITUTE(SUBSTITUTE(SUBSTITUTE(SUBSTITUTE("x"&amp;M203,"0",""),"1",""),"2",""),"3",""),"4",""),"5",""),"6",""),"7",""),"8",""),"9",""),".",""),"E",""),"+",""),"-",""),"&lt;",""),"&gt;",""),"=","")," ","")&lt;&gt;"x",ISNUMBER(SEARCH("-",SUBSTITUTE(SUBSTITUTE("x"&amp;MID(M203,2,99),"E-","E"),"E+","E"))),ISNUMBER(SEARCH("+",SUBSTITUTE(SUBSTITUTE("x"&amp;MID(M203,2,99),"E-","E"),"E+","E"))))),"",IF(AND(OR(LEFT(M203,1)="&lt;",LEFT(M203,1)="&gt;"),IF(O203="",0,IF(ISNUMBER(AH203),AH203,NA()))&lt;0),"",IF(O203="",0,IF(ISNUMBER(AH203),AH203,NA()))/IF(LEFT(M203,1)="&lt;",2,1))),"")))</f>
        <v/>
      </c>
      <c r="H203" s="57" t="inlineStr">
        <is>
          <t>BH05-S_20260115_02</t>
        </is>
      </c>
      <c r="I203" s="92">
        <f>IF(OR(H203="",AI203=0),0,IF(INDEX(Samples[樣品重複筆數],AI203)=1,AI203,0))</f>
        <v/>
      </c>
      <c r="J203" s="92">
        <f>IF(OR(COUNTA($A203:$D203)=0,I203=0),"",IF(INDEX(Samples[介質],I203)="","",INDEX(Samples[介質],I203)))</f>
        <v/>
      </c>
      <c r="K203" s="92">
        <f>IF(OR(COUNTA($A203:$D203)=0,T203=0),"",IF(INDEX(DB_04[標準單位],T203)="","",INDEX(DB_04[標準單位],T203)))</f>
        <v/>
      </c>
      <c r="L203" s="92">
        <f>IF(COUNTA($A203:$D203)=0,"",IF(OR(C203="",K203=""),"",IF(C203=K203,1,IF(COUNTIFS(DB_06[換算鍵],C203&amp;"|"&amp;K203,DB_06[換算檢查],"OK")=1,INDEX(DB_06[乘數],MATCH(C203&amp;"|"&amp;K203,DB_06[換算鍵],0)),""))))</f>
        <v/>
      </c>
      <c r="M203" s="92">
        <f>UPPER(SUBSTITUTE(SUBSTITUTE(SUBSTITUTE(SUBSTITUTE(TRIM(B203&amp;""),"＜","&lt;"),"＞","&gt;"),"≤","&lt;="),"≥","&gt;="))</f>
        <v/>
      </c>
      <c r="N203" s="92">
        <f>IF(M203="","",IF(OR(M203="ND",M203="N.D."),"ND",IF(OR(M203="NA",M203="N/A",M203="N.A."),"NA",IF(OR(LEFT(M203,2)="&lt;=",LEFT(M203,2)="&gt;="),LEFT(M203,2),IF(OR(LEFT(M203,1)="&lt;",LEFT(M203,1)="&gt;"),LEFT(M203,1),"數值")))))</f>
        <v/>
      </c>
      <c r="O203" s="92">
        <f>IF(OR(N203="",N203="ND",N203="NA"),"",IF(N203="數值",M203,TRIM(MID(M203,LEN(N203)+1,99))))</f>
        <v/>
      </c>
      <c r="P203" s="92">
        <f>IF(O203="","",IFERROR(IF(OR(OR(ISNUMBER(SEARCH("%",O203)),ISNUMBER(SEARCH(" ",O203)),ISNUMBER(SEARCH(",",O203))),OR(SUBSTITUTE(SUBSTITUTE(SUBSTITUTE(SUBSTITUTE(SUBSTITUTE(SUBSTITUTE(SUBSTITUTE(SUBSTITUTE(SUBSTITUTE(SUBSTITUTE(SUBSTITUTE(SUBSTITUTE(SUBSTITUTE(SUBSTITUTE(SUBSTITUTE(SUBSTITUTE(SUBSTITUTE(SUBSTITUTE("x"&amp;O203,"0",""),"1",""),"2",""),"3",""),"4",""),"5",""),"6",""),"7",""),"8",""),"9",""),".",""),"E",""),"+",""),"-",""),"&lt;",""),"&gt;",""),"=","")," ","")&lt;&gt;"x",ISNUMBER(SEARCH("-",SUBSTITUTE(SUBSTITUTE("x"&amp;MID(O203,2,99),"E-","E"),"E+","E"))),ISNUMBER(SEARCH("+",SUBSTITUTE(SUBSTITUTE("x"&amp;MID(O203,2,99),"E-","E"),"E+","E"))))),"",IF(ISNUMBER(AH203),AH203,NA())),""))</f>
        <v/>
      </c>
      <c r="Q203" s="92">
        <f>IF(AND(ISNUMBER(L203),ISNUMBER(P203)),L203*P203,"")</f>
        <v/>
      </c>
      <c r="R203" s="92">
        <f>IF(OR(COUNTA($A203:$D203)=0,U203=0),"",IF(INDEX(DB_05[管制設定值],U203)="","",INDEX(DB_05[管制設定值],U203)))</f>
        <v/>
      </c>
      <c r="S203" s="92">
        <f>IF(OR(COUNTA($A203:$D203)=0,U203=0),"",IF(INDEX(DB_05[監測設定值],U203)="","",INDEX(DB_05[監測設定值],U203)))</f>
        <v/>
      </c>
      <c r="T203" s="92">
        <f>IF(COUNTA($A203:$D203)=0,"",IF(COUNTIFS(DB_04[測項鍵],V203)=1,MATCH(V203,DB_04[測項鍵],0),0))</f>
        <v/>
      </c>
      <c r="U203" s="92">
        <f>IF(COUNTA($A203:$D203)=0,"",IF(COUNTIFS(DB_05[標準鍵],W203)=1,MATCH(W203,DB_05[標準鍵],0),0))</f>
        <v/>
      </c>
      <c r="V203" s="92">
        <f>IF(OR(J203="",A203=""),"",J203&amp;"|"&amp;A203)</f>
        <v/>
      </c>
      <c r="W203" s="92">
        <f>IF(OR('07_QAQC'!$C$3="",V203=""),"",'07_QAQC'!$C$3&amp;"|"&amp;V203)</f>
        <v/>
      </c>
      <c r="X203" s="92">
        <f>IF(OR(H203="",A203=""),"",LEN(H203)&amp;":"&amp;H203&amp;LEN(A203)&amp;":"&amp;A203)</f>
        <v/>
      </c>
      <c r="Y203" s="93">
        <f>IF(COUNTA($A203:$D203)=0,"",IF(I203=0,"樣品未建或重複",IF(INDEX(Samples[樣品檢查],I203)="","OK",INDEX(Samples[樣品檢查],I203))))</f>
        <v/>
      </c>
      <c r="Z203" s="93">
        <f>IF(COUNTA($A203:$D203)=0,"",IF(B203="","缺原始值",IF(OR(B203="-",B203="--"),"無資料",IF(N203="NA","不適用",IF(N203="ND","OK",IF(NOT(ISNUMBER(P203)),"格式待核",IF(AND(N203&lt;&gt;"數值",P203&lt;0),"界限不得為負","OK")))))))</f>
        <v/>
      </c>
      <c r="AA203" s="93">
        <f>IF(COUNTA(A203:D203)=0,"",IF(OR(A203="",H203=""),"缺識別欄位",IF(IF(LEN("="&amp;SUBSTITUTE(SUBSTITUTE(SUBSTITUTE(X203,"~","~~"),"*","~*"),"?","~?"))&lt;=255,COUNTIF(Results[結果識別鍵],"="&amp;SUBSTITUTE(SUBSTITUTE(SUBSTITUTE(X203,"~","~~"),"*","~*"),"?","~?")),COUNTIFS(Results[關聯鍵],"="&amp;SUBSTITUTE(SUBSTITUTE(SUBSTITUTE(H203,"~","~~"),"*","~*"),"?","~?"),Results[分析項目],"="&amp;SUBSTITUTE(SUBSTITUTE(SUBSTITUTE(A203,"~","~~"),"*","~*"),"?","~?")))&gt;1,"同關聯鍵測項重複","OK")))</f>
        <v/>
      </c>
      <c r="AB203" s="93">
        <f>IF(COUNTA($A203:$D203)=0,"",IF(OR(C203="",K203=""),"缺單位",IF(NOT(ISNUMBER(L203)),"單位不相容",IF(L203=1,"OK","已換算"))))</f>
        <v/>
      </c>
      <c r="AC203" s="93">
        <f>IF(COUNTA($A203:$D203)=0,"",IF('07_QAQC'!$C$3="","未選比較版本",IF(U203=0,IF(COUNTIFS(DB_05[標準鍵],W203)&gt;1,"標準鍵重複","未訂此介質／測項門檻"),IF(INDEX(DB_05[版本檢查],U203)&lt;&gt;"OK","標準主檔待核",IF(INDEX(DB_05[標準單位],U203)&lt;&gt;K203,"標準單位不符",IF(INDEX(DB_05[核對狀態],U203)="停用","停用",IF(F203="","缺採樣日期",IF(OR(AND(INDEX(DB_05[生效日],U203)&lt;&gt;"",F203&lt;INDEX(DB_05[生效日],U203)),AND(INDEX(DB_05[失效日],U203)&lt;&gt;"",F203&gt;INDEX(DB_05[失效日],U203))),"日期不適用",INDEX(DB_05[核對狀態],U203)))))))))</f>
        <v/>
      </c>
      <c r="AD203" s="93">
        <f>IF(COUNTA($A203:$D203)=0,"",IF(AC203="未訂此介質／測項門檻",AC203,IF(AC203&lt;&gt;"已核對","標準待核",IF(R203="","未訂管制值",IF(NOT(ISNUMBER(L203)),"單位待核",IF(N203="ND","無法判定（ND無界限）",IF(N203="NA","不適用",IF(Z203&lt;&gt;"OK",Z203,IF(N203="數值",IF(Q203&gt;=R203,"達管制值","未達管制值"),IF(OR(N203="&lt;",N203="&lt;="),IF(OR(Q203&lt;R203,AND(N203="&lt;",Q203=R203)),"未達管制值","無法判定"),IF(OR(N203="&gt;",N203="&gt;="),IF(Q203&gt;=R203,"達管制值","無法判定"),"格式待核")))))))))))</f>
        <v/>
      </c>
      <c r="AE203" s="93">
        <f>IF(COUNTA($A203:$D203)=0,"",IF(AC203="未訂此介質／測項門檻",AC203,IF(AC203&lt;&gt;"已核對","標準待核",IF(S203="","未訂監測值",IF(NOT(ISNUMBER(L203)),"單位待核",IF(N203="ND","無法判定（ND無界限）",IF(N203="NA","不適用",IF(Z203&lt;&gt;"OK",Z203,IF(N203="數值",IF(Q203&gt;=S203,"達監測值","未達監測值"),IF(OR(N203="&lt;",N203="&lt;="),IF(OR(Q203&lt;S203,AND(N203="&lt;",Q203=S203)),"未達監測值","無法判定"),IF(OR(N203="&gt;",N203="&gt;="),IF(Q203&gt;=S203,"達監測值","無法判定"),"格式待核")))))))))))</f>
        <v/>
      </c>
      <c r="AF203" s="93">
        <f>IF(COUNTA($A203:$D203)=0,"",IF(OR(E203="",A203="",B203="",C203=""),"缺必要欄位",IF(Y203&lt;&gt;"OK","樣品資料待補",IF(T203=0,"測項未建或重複",IF(INDEX(DB_04[啟用],T203)&lt;&gt;"是","測項停用",IF(AND(Z203&lt;&gt;"OK",Z203&lt;&gt;"不適用"),Z203,IF(AND(AB203&lt;&gt;"OK",AB203&lt;&gt;"已換算"),"單位待核",IF(AA203&lt;&gt;"OK",AA203,"OK"))))))))</f>
        <v/>
      </c>
      <c r="AG203" s="93">
        <f>IF(COUNTA($A203:$D203)=0,"",IF(N203="ND","ND取0",IF(OR(N203="&lt;",N203="&lt;="),"界限除以2",IF(N203="NA","不適用",IF(OR(N203="&gt;",N203="&gt;="),"保留界限數值","保留原數值")))))</f>
        <v/>
      </c>
      <c r="AH203" s="92">
        <f>IF(O203="","",IFERROR(_xlfn.NUMBERVALUE(O203,".",","),""))</f>
        <v/>
      </c>
      <c r="AI203" s="92">
        <f>IF(H203="","",IFERROR(MATCH(H203,Samples[樣品編號],0),0))</f>
        <v/>
      </c>
    </row>
    <row r="204">
      <c r="A204" s="27" t="inlineStr">
        <is>
          <t>pH</t>
        </is>
      </c>
      <c r="B204" s="28" t="inlineStr">
        <is>
          <t>6.89</t>
        </is>
      </c>
      <c r="C204" s="27" t="inlineStr">
        <is>
          <t>無因次</t>
        </is>
      </c>
      <c r="D204" s="39" t="inlineStr">
        <is>
          <t>合成資料，非實測；method=field</t>
        </is>
      </c>
      <c r="E204" s="29">
        <f>IF(OR(I204="",I204=0),"",IF(INDEX(Samples[監測點],I204)="","",INDEX(Samples[監測點],I204)))</f>
        <v/>
      </c>
      <c r="F204" s="90">
        <f>IF(OR(I204="",I204=0),"",IF(INDEX(Samples[採樣日期],I204)="","",INDEX(Samples[採樣日期],I204)))</f>
        <v/>
      </c>
      <c r="G204" s="91">
        <f>IF(OR(M204="",M204="NA",M204="N/A"),"",IF(OR(M204="ND",M204="N.D."),0,IFERROR(IF(OR(OR(ISNUMBER(SEARCH("%",O204)),ISNUMBER(SEARCH(" ",O204)),ISNUMBER(SEARCH(",",O204))),OR(SUBSTITUTE(SUBSTITUTE(SUBSTITUTE(SUBSTITUTE(SUBSTITUTE(SUBSTITUTE(SUBSTITUTE(SUBSTITUTE(SUBSTITUTE(SUBSTITUTE(SUBSTITUTE(SUBSTITUTE(SUBSTITUTE(SUBSTITUTE(SUBSTITUTE(SUBSTITUTE(SUBSTITUTE(SUBSTITUTE("x"&amp;M204,"0",""),"1",""),"2",""),"3",""),"4",""),"5",""),"6",""),"7",""),"8",""),"9",""),".",""),"E",""),"+",""),"-",""),"&lt;",""),"&gt;",""),"=","")," ","")&lt;&gt;"x",ISNUMBER(SEARCH("-",SUBSTITUTE(SUBSTITUTE("x"&amp;MID(M204,2,99),"E-","E"),"E+","E"))),ISNUMBER(SEARCH("+",SUBSTITUTE(SUBSTITUTE("x"&amp;MID(M204,2,99),"E-","E"),"E+","E"))))),"",IF(AND(OR(LEFT(M204,1)="&lt;",LEFT(M204,1)="&gt;"),IF(O204="",0,IF(ISNUMBER(AH204),AH204,NA()))&lt;0),"",IF(O204="",0,IF(ISNUMBER(AH204),AH204,NA()))/IF(LEFT(M204,1)="&lt;",2,1))),"")))</f>
        <v/>
      </c>
      <c r="H204" s="57" t="inlineStr">
        <is>
          <t>BH05-W_20260115_02</t>
        </is>
      </c>
      <c r="I204" s="92">
        <f>IF(OR(H204="",AI204=0),0,IF(INDEX(Samples[樣品重複筆數],AI204)=1,AI204,0))</f>
        <v/>
      </c>
      <c r="J204" s="92">
        <f>IF(OR(COUNTA($A204:$D204)=0,I204=0),"",IF(INDEX(Samples[介質],I204)="","",INDEX(Samples[介質],I204)))</f>
        <v/>
      </c>
      <c r="K204" s="92">
        <f>IF(OR(COUNTA($A204:$D204)=0,T204=0),"",IF(INDEX(DB_04[標準單位],T204)="","",INDEX(DB_04[標準單位],T204)))</f>
        <v/>
      </c>
      <c r="L204" s="92">
        <f>IF(COUNTA($A204:$D204)=0,"",IF(OR(C204="",K204=""),"",IF(C204=K204,1,IF(COUNTIFS(DB_06[換算鍵],C204&amp;"|"&amp;K204,DB_06[換算檢查],"OK")=1,INDEX(DB_06[乘數],MATCH(C204&amp;"|"&amp;K204,DB_06[換算鍵],0)),""))))</f>
        <v/>
      </c>
      <c r="M204" s="92">
        <f>UPPER(SUBSTITUTE(SUBSTITUTE(SUBSTITUTE(SUBSTITUTE(TRIM(B204&amp;""),"＜","&lt;"),"＞","&gt;"),"≤","&lt;="),"≥","&gt;="))</f>
        <v/>
      </c>
      <c r="N204" s="92">
        <f>IF(M204="","",IF(OR(M204="ND",M204="N.D."),"ND",IF(OR(M204="NA",M204="N/A",M204="N.A."),"NA",IF(OR(LEFT(M204,2)="&lt;=",LEFT(M204,2)="&gt;="),LEFT(M204,2),IF(OR(LEFT(M204,1)="&lt;",LEFT(M204,1)="&gt;"),LEFT(M204,1),"數值")))))</f>
        <v/>
      </c>
      <c r="O204" s="92">
        <f>IF(OR(N204="",N204="ND",N204="NA"),"",IF(N204="數值",M204,TRIM(MID(M204,LEN(N204)+1,99))))</f>
        <v/>
      </c>
      <c r="P204" s="92">
        <f>IF(O204="","",IFERROR(IF(OR(OR(ISNUMBER(SEARCH("%",O204)),ISNUMBER(SEARCH(" ",O204)),ISNUMBER(SEARCH(",",O204))),OR(SUBSTITUTE(SUBSTITUTE(SUBSTITUTE(SUBSTITUTE(SUBSTITUTE(SUBSTITUTE(SUBSTITUTE(SUBSTITUTE(SUBSTITUTE(SUBSTITUTE(SUBSTITUTE(SUBSTITUTE(SUBSTITUTE(SUBSTITUTE(SUBSTITUTE(SUBSTITUTE(SUBSTITUTE(SUBSTITUTE("x"&amp;O204,"0",""),"1",""),"2",""),"3",""),"4",""),"5",""),"6",""),"7",""),"8",""),"9",""),".",""),"E",""),"+",""),"-",""),"&lt;",""),"&gt;",""),"=","")," ","")&lt;&gt;"x",ISNUMBER(SEARCH("-",SUBSTITUTE(SUBSTITUTE("x"&amp;MID(O204,2,99),"E-","E"),"E+","E"))),ISNUMBER(SEARCH("+",SUBSTITUTE(SUBSTITUTE("x"&amp;MID(O204,2,99),"E-","E"),"E+","E"))))),"",IF(ISNUMBER(AH204),AH204,NA())),""))</f>
        <v/>
      </c>
      <c r="Q204" s="92">
        <f>IF(AND(ISNUMBER(L204),ISNUMBER(P204)),L204*P204,"")</f>
        <v/>
      </c>
      <c r="R204" s="92">
        <f>IF(OR(COUNTA($A204:$D204)=0,U204=0),"",IF(INDEX(DB_05[管制設定值],U204)="","",INDEX(DB_05[管制設定值],U204)))</f>
        <v/>
      </c>
      <c r="S204" s="92">
        <f>IF(OR(COUNTA($A204:$D204)=0,U204=0),"",IF(INDEX(DB_05[監測設定值],U204)="","",INDEX(DB_05[監測設定值],U204)))</f>
        <v/>
      </c>
      <c r="T204" s="92">
        <f>IF(COUNTA($A204:$D204)=0,"",IF(COUNTIFS(DB_04[測項鍵],V204)=1,MATCH(V204,DB_04[測項鍵],0),0))</f>
        <v/>
      </c>
      <c r="U204" s="92">
        <f>IF(COUNTA($A204:$D204)=0,"",IF(COUNTIFS(DB_05[標準鍵],W204)=1,MATCH(W204,DB_05[標準鍵],0),0))</f>
        <v/>
      </c>
      <c r="V204" s="92">
        <f>IF(OR(J204="",A204=""),"",J204&amp;"|"&amp;A204)</f>
        <v/>
      </c>
      <c r="W204" s="92">
        <f>IF(OR('07_QAQC'!$C$3="",V204=""),"",'07_QAQC'!$C$3&amp;"|"&amp;V204)</f>
        <v/>
      </c>
      <c r="X204" s="92">
        <f>IF(OR(H204="",A204=""),"",LEN(H204)&amp;":"&amp;H204&amp;LEN(A204)&amp;":"&amp;A204)</f>
        <v/>
      </c>
      <c r="Y204" s="93">
        <f>IF(COUNTA($A204:$D204)=0,"",IF(I204=0,"樣品未建或重複",IF(INDEX(Samples[樣品檢查],I204)="","OK",INDEX(Samples[樣品檢查],I204))))</f>
        <v/>
      </c>
      <c r="Z204" s="93">
        <f>IF(COUNTA($A204:$D204)=0,"",IF(B204="","缺原始值",IF(OR(B204="-",B204="--"),"無資料",IF(N204="NA","不適用",IF(N204="ND","OK",IF(NOT(ISNUMBER(P204)),"格式待核",IF(AND(N204&lt;&gt;"數值",P204&lt;0),"界限不得為負","OK")))))))</f>
        <v/>
      </c>
      <c r="AA204" s="93">
        <f>IF(COUNTA(A204:D204)=0,"",IF(OR(A204="",H204=""),"缺識別欄位",IF(IF(LEN("="&amp;SUBSTITUTE(SUBSTITUTE(SUBSTITUTE(X204,"~","~~"),"*","~*"),"?","~?"))&lt;=255,COUNTIF(Results[結果識別鍵],"="&amp;SUBSTITUTE(SUBSTITUTE(SUBSTITUTE(X204,"~","~~"),"*","~*"),"?","~?")),COUNTIFS(Results[關聯鍵],"="&amp;SUBSTITUTE(SUBSTITUTE(SUBSTITUTE(H204,"~","~~"),"*","~*"),"?","~?"),Results[分析項目],"="&amp;SUBSTITUTE(SUBSTITUTE(SUBSTITUTE(A204,"~","~~"),"*","~*"),"?","~?")))&gt;1,"同關聯鍵測項重複","OK")))</f>
        <v/>
      </c>
      <c r="AB204" s="93">
        <f>IF(COUNTA($A204:$D204)=0,"",IF(OR(C204="",K204=""),"缺單位",IF(NOT(ISNUMBER(L204)),"單位不相容",IF(L204=1,"OK","已換算"))))</f>
        <v/>
      </c>
      <c r="AC204" s="93">
        <f>IF(COUNTA($A204:$D204)=0,"",IF('07_QAQC'!$C$3="","未選比較版本",IF(U204=0,IF(COUNTIFS(DB_05[標準鍵],W204)&gt;1,"標準鍵重複","未訂此介質／測項門檻"),IF(INDEX(DB_05[版本檢查],U204)&lt;&gt;"OK","標準主檔待核",IF(INDEX(DB_05[標準單位],U204)&lt;&gt;K204,"標準單位不符",IF(INDEX(DB_05[核對狀態],U204)="停用","停用",IF(F204="","缺採樣日期",IF(OR(AND(INDEX(DB_05[生效日],U204)&lt;&gt;"",F204&lt;INDEX(DB_05[生效日],U204)),AND(INDEX(DB_05[失效日],U204)&lt;&gt;"",F204&gt;INDEX(DB_05[失效日],U204))),"日期不適用",INDEX(DB_05[核對狀態],U204)))))))))</f>
        <v/>
      </c>
      <c r="AD204" s="93">
        <f>IF(COUNTA($A204:$D204)=0,"",IF(AC204="未訂此介質／測項門檻",AC204,IF(AC204&lt;&gt;"已核對","標準待核",IF(R204="","未訂管制值",IF(NOT(ISNUMBER(L204)),"單位待核",IF(N204="ND","無法判定（ND無界限）",IF(N204="NA","不適用",IF(Z204&lt;&gt;"OK",Z204,IF(N204="數值",IF(Q204&gt;=R204,"達管制值","未達管制值"),IF(OR(N204="&lt;",N204="&lt;="),IF(OR(Q204&lt;R204,AND(N204="&lt;",Q204=R204)),"未達管制值","無法判定"),IF(OR(N204="&gt;",N204="&gt;="),IF(Q204&gt;=R204,"達管制值","無法判定"),"格式待核")))))))))))</f>
        <v/>
      </c>
      <c r="AE204" s="93">
        <f>IF(COUNTA($A204:$D204)=0,"",IF(AC204="未訂此介質／測項門檻",AC204,IF(AC204&lt;&gt;"已核對","標準待核",IF(S204="","未訂監測值",IF(NOT(ISNUMBER(L204)),"單位待核",IF(N204="ND","無法判定（ND無界限）",IF(N204="NA","不適用",IF(Z204&lt;&gt;"OK",Z204,IF(N204="數值",IF(Q204&gt;=S204,"達監測值","未達監測值"),IF(OR(N204="&lt;",N204="&lt;="),IF(OR(Q204&lt;S204,AND(N204="&lt;",Q204=S204)),"未達監測值","無法判定"),IF(OR(N204="&gt;",N204="&gt;="),IF(Q204&gt;=S204,"達監測值","無法判定"),"格式待核")))))))))))</f>
        <v/>
      </c>
      <c r="AF204" s="93">
        <f>IF(COUNTA($A204:$D204)=0,"",IF(OR(E204="",A204="",B204="",C204=""),"缺必要欄位",IF(Y204&lt;&gt;"OK","樣品資料待補",IF(T204=0,"測項未建或重複",IF(INDEX(DB_04[啟用],T204)&lt;&gt;"是","測項停用",IF(AND(Z204&lt;&gt;"OK",Z204&lt;&gt;"不適用"),Z204,IF(AND(AB204&lt;&gt;"OK",AB204&lt;&gt;"已換算"),"單位待核",IF(AA204&lt;&gt;"OK",AA204,"OK"))))))))</f>
        <v/>
      </c>
      <c r="AG204" s="93">
        <f>IF(COUNTA($A204:$D204)=0,"",IF(N204="ND","ND取0",IF(OR(N204="&lt;",N204="&lt;="),"界限除以2",IF(N204="NA","不適用",IF(OR(N204="&gt;",N204="&gt;="),"保留界限數值","保留原數值")))))</f>
        <v/>
      </c>
      <c r="AH204" s="92">
        <f>IF(O204="","",IFERROR(_xlfn.NUMBERVALUE(O204,".",","),""))</f>
        <v/>
      </c>
      <c r="AI204" s="92">
        <f>IF(H204="","",IFERROR(MATCH(H204,Samples[樣品編號],0),0))</f>
        <v/>
      </c>
    </row>
    <row r="205">
      <c r="A205" s="27" t="inlineStr">
        <is>
          <t>EC</t>
        </is>
      </c>
      <c r="B205" s="28" t="inlineStr">
        <is>
          <t>0.65</t>
        </is>
      </c>
      <c r="C205" s="27" t="inlineStr">
        <is>
          <t>mS/cm</t>
        </is>
      </c>
      <c r="D205" s="39" t="inlineStr">
        <is>
          <t>合成資料，非實測；method=field; temperature=25; temperature_compensated=25C; reference_temperature=25</t>
        </is>
      </c>
      <c r="E205" s="29">
        <f>IF(OR(I205="",I205=0),"",IF(INDEX(Samples[監測點],I205)="","",INDEX(Samples[監測點],I205)))</f>
        <v/>
      </c>
      <c r="F205" s="90">
        <f>IF(OR(I205="",I205=0),"",IF(INDEX(Samples[採樣日期],I205)="","",INDEX(Samples[採樣日期],I205)))</f>
        <v/>
      </c>
      <c r="G205" s="91">
        <f>IF(OR(M205="",M205="NA",M205="N/A"),"",IF(OR(M205="ND",M205="N.D."),0,IFERROR(IF(OR(OR(ISNUMBER(SEARCH("%",O205)),ISNUMBER(SEARCH(" ",O205)),ISNUMBER(SEARCH(",",O205))),OR(SUBSTITUTE(SUBSTITUTE(SUBSTITUTE(SUBSTITUTE(SUBSTITUTE(SUBSTITUTE(SUBSTITUTE(SUBSTITUTE(SUBSTITUTE(SUBSTITUTE(SUBSTITUTE(SUBSTITUTE(SUBSTITUTE(SUBSTITUTE(SUBSTITUTE(SUBSTITUTE(SUBSTITUTE(SUBSTITUTE("x"&amp;M205,"0",""),"1",""),"2",""),"3",""),"4",""),"5",""),"6",""),"7",""),"8",""),"9",""),".",""),"E",""),"+",""),"-",""),"&lt;",""),"&gt;",""),"=","")," ","")&lt;&gt;"x",ISNUMBER(SEARCH("-",SUBSTITUTE(SUBSTITUTE("x"&amp;MID(M205,2,99),"E-","E"),"E+","E"))),ISNUMBER(SEARCH("+",SUBSTITUTE(SUBSTITUTE("x"&amp;MID(M205,2,99),"E-","E"),"E+","E"))))),"",IF(AND(OR(LEFT(M205,1)="&lt;",LEFT(M205,1)="&gt;"),IF(O205="",0,IF(ISNUMBER(AH205),AH205,NA()))&lt;0),"",IF(O205="",0,IF(ISNUMBER(AH205),AH205,NA()))/IF(LEFT(M205,1)="&lt;",2,1))),"")))</f>
        <v/>
      </c>
      <c r="H205" s="57" t="inlineStr">
        <is>
          <t>BH05-W_20260115_02</t>
        </is>
      </c>
      <c r="I205" s="92">
        <f>IF(OR(H205="",AI205=0),0,IF(INDEX(Samples[樣品重複筆數],AI205)=1,AI205,0))</f>
        <v/>
      </c>
      <c r="J205" s="92">
        <f>IF(OR(COUNTA($A205:$D205)=0,I205=0),"",IF(INDEX(Samples[介質],I205)="","",INDEX(Samples[介質],I205)))</f>
        <v/>
      </c>
      <c r="K205" s="92">
        <f>IF(OR(COUNTA($A205:$D205)=0,T205=0),"",IF(INDEX(DB_04[標準單位],T205)="","",INDEX(DB_04[標準單位],T205)))</f>
        <v/>
      </c>
      <c r="L205" s="92">
        <f>IF(COUNTA($A205:$D205)=0,"",IF(OR(C205="",K205=""),"",IF(C205=K205,1,IF(COUNTIFS(DB_06[換算鍵],C205&amp;"|"&amp;K205,DB_06[換算檢查],"OK")=1,INDEX(DB_06[乘數],MATCH(C205&amp;"|"&amp;K205,DB_06[換算鍵],0)),""))))</f>
        <v/>
      </c>
      <c r="M205" s="92">
        <f>UPPER(SUBSTITUTE(SUBSTITUTE(SUBSTITUTE(SUBSTITUTE(TRIM(B205&amp;""),"＜","&lt;"),"＞","&gt;"),"≤","&lt;="),"≥","&gt;="))</f>
        <v/>
      </c>
      <c r="N205" s="92">
        <f>IF(M205="","",IF(OR(M205="ND",M205="N.D."),"ND",IF(OR(M205="NA",M205="N/A",M205="N.A."),"NA",IF(OR(LEFT(M205,2)="&lt;=",LEFT(M205,2)="&gt;="),LEFT(M205,2),IF(OR(LEFT(M205,1)="&lt;",LEFT(M205,1)="&gt;"),LEFT(M205,1),"數值")))))</f>
        <v/>
      </c>
      <c r="O205" s="92">
        <f>IF(OR(N205="",N205="ND",N205="NA"),"",IF(N205="數值",M205,TRIM(MID(M205,LEN(N205)+1,99))))</f>
        <v/>
      </c>
      <c r="P205" s="92">
        <f>IF(O205="","",IFERROR(IF(OR(OR(ISNUMBER(SEARCH("%",O205)),ISNUMBER(SEARCH(" ",O205)),ISNUMBER(SEARCH(",",O205))),OR(SUBSTITUTE(SUBSTITUTE(SUBSTITUTE(SUBSTITUTE(SUBSTITUTE(SUBSTITUTE(SUBSTITUTE(SUBSTITUTE(SUBSTITUTE(SUBSTITUTE(SUBSTITUTE(SUBSTITUTE(SUBSTITUTE(SUBSTITUTE(SUBSTITUTE(SUBSTITUTE(SUBSTITUTE(SUBSTITUTE("x"&amp;O205,"0",""),"1",""),"2",""),"3",""),"4",""),"5",""),"6",""),"7",""),"8",""),"9",""),".",""),"E",""),"+",""),"-",""),"&lt;",""),"&gt;",""),"=","")," ","")&lt;&gt;"x",ISNUMBER(SEARCH("-",SUBSTITUTE(SUBSTITUTE("x"&amp;MID(O205,2,99),"E-","E"),"E+","E"))),ISNUMBER(SEARCH("+",SUBSTITUTE(SUBSTITUTE("x"&amp;MID(O205,2,99),"E-","E"),"E+","E"))))),"",IF(ISNUMBER(AH205),AH205,NA())),""))</f>
        <v/>
      </c>
      <c r="Q205" s="92">
        <f>IF(AND(ISNUMBER(L205),ISNUMBER(P205)),L205*P205,"")</f>
        <v/>
      </c>
      <c r="R205" s="92">
        <f>IF(OR(COUNTA($A205:$D205)=0,U205=0),"",IF(INDEX(DB_05[管制設定值],U205)="","",INDEX(DB_05[管制設定值],U205)))</f>
        <v/>
      </c>
      <c r="S205" s="92">
        <f>IF(OR(COUNTA($A205:$D205)=0,U205=0),"",IF(INDEX(DB_05[監測設定值],U205)="","",INDEX(DB_05[監測設定值],U205)))</f>
        <v/>
      </c>
      <c r="T205" s="92">
        <f>IF(COUNTA($A205:$D205)=0,"",IF(COUNTIFS(DB_04[測項鍵],V205)=1,MATCH(V205,DB_04[測項鍵],0),0))</f>
        <v/>
      </c>
      <c r="U205" s="92">
        <f>IF(COUNTA($A205:$D205)=0,"",IF(COUNTIFS(DB_05[標準鍵],W205)=1,MATCH(W205,DB_05[標準鍵],0),0))</f>
        <v/>
      </c>
      <c r="V205" s="92">
        <f>IF(OR(J205="",A205=""),"",J205&amp;"|"&amp;A205)</f>
        <v/>
      </c>
      <c r="W205" s="92">
        <f>IF(OR('07_QAQC'!$C$3="",V205=""),"",'07_QAQC'!$C$3&amp;"|"&amp;V205)</f>
        <v/>
      </c>
      <c r="X205" s="92">
        <f>IF(OR(H205="",A205=""),"",LEN(H205)&amp;":"&amp;H205&amp;LEN(A205)&amp;":"&amp;A205)</f>
        <v/>
      </c>
      <c r="Y205" s="93">
        <f>IF(COUNTA($A205:$D205)=0,"",IF(I205=0,"樣品未建或重複",IF(INDEX(Samples[樣品檢查],I205)="","OK",INDEX(Samples[樣品檢查],I205))))</f>
        <v/>
      </c>
      <c r="Z205" s="93">
        <f>IF(COUNTA($A205:$D205)=0,"",IF(B205="","缺原始值",IF(OR(B205="-",B205="--"),"無資料",IF(N205="NA","不適用",IF(N205="ND","OK",IF(NOT(ISNUMBER(P205)),"格式待核",IF(AND(N205&lt;&gt;"數值",P205&lt;0),"界限不得為負","OK")))))))</f>
        <v/>
      </c>
      <c r="AA205" s="93">
        <f>IF(COUNTA(A205:D205)=0,"",IF(OR(A205="",H205=""),"缺識別欄位",IF(IF(LEN("="&amp;SUBSTITUTE(SUBSTITUTE(SUBSTITUTE(X205,"~","~~"),"*","~*"),"?","~?"))&lt;=255,COUNTIF(Results[結果識別鍵],"="&amp;SUBSTITUTE(SUBSTITUTE(SUBSTITUTE(X205,"~","~~"),"*","~*"),"?","~?")),COUNTIFS(Results[關聯鍵],"="&amp;SUBSTITUTE(SUBSTITUTE(SUBSTITUTE(H205,"~","~~"),"*","~*"),"?","~?"),Results[分析項目],"="&amp;SUBSTITUTE(SUBSTITUTE(SUBSTITUTE(A205,"~","~~"),"*","~*"),"?","~?")))&gt;1,"同關聯鍵測項重複","OK")))</f>
        <v/>
      </c>
      <c r="AB205" s="93">
        <f>IF(COUNTA($A205:$D205)=0,"",IF(OR(C205="",K205=""),"缺單位",IF(NOT(ISNUMBER(L205)),"單位不相容",IF(L205=1,"OK","已換算"))))</f>
        <v/>
      </c>
      <c r="AC205" s="93">
        <f>IF(COUNTA($A205:$D205)=0,"",IF('07_QAQC'!$C$3="","未選比較版本",IF(U205=0,IF(COUNTIFS(DB_05[標準鍵],W205)&gt;1,"標準鍵重複","未訂此介質／測項門檻"),IF(INDEX(DB_05[版本檢查],U205)&lt;&gt;"OK","標準主檔待核",IF(INDEX(DB_05[標準單位],U205)&lt;&gt;K205,"標準單位不符",IF(INDEX(DB_05[核對狀態],U205)="停用","停用",IF(F205="","缺採樣日期",IF(OR(AND(INDEX(DB_05[生效日],U205)&lt;&gt;"",F205&lt;INDEX(DB_05[生效日],U205)),AND(INDEX(DB_05[失效日],U205)&lt;&gt;"",F205&gt;INDEX(DB_05[失效日],U205))),"日期不適用",INDEX(DB_05[核對狀態],U205)))))))))</f>
        <v/>
      </c>
      <c r="AD205" s="93">
        <f>IF(COUNTA($A205:$D205)=0,"",IF(AC205="未訂此介質／測項門檻",AC205,IF(AC205&lt;&gt;"已核對","標準待核",IF(R205="","未訂管制值",IF(NOT(ISNUMBER(L205)),"單位待核",IF(N205="ND","無法判定（ND無界限）",IF(N205="NA","不適用",IF(Z205&lt;&gt;"OK",Z205,IF(N205="數值",IF(Q205&gt;=R205,"達管制值","未達管制值"),IF(OR(N205="&lt;",N205="&lt;="),IF(OR(Q205&lt;R205,AND(N205="&lt;",Q205=R205)),"未達管制值","無法判定"),IF(OR(N205="&gt;",N205="&gt;="),IF(Q205&gt;=R205,"達管制值","無法判定"),"格式待核")))))))))))</f>
        <v/>
      </c>
      <c r="AE205" s="93">
        <f>IF(COUNTA($A205:$D205)=0,"",IF(AC205="未訂此介質／測項門檻",AC205,IF(AC205&lt;&gt;"已核對","標準待核",IF(S205="","未訂監測值",IF(NOT(ISNUMBER(L205)),"單位待核",IF(N205="ND","無法判定（ND無界限）",IF(N205="NA","不適用",IF(Z205&lt;&gt;"OK",Z205,IF(N205="數值",IF(Q205&gt;=S205,"達監測值","未達監測值"),IF(OR(N205="&lt;",N205="&lt;="),IF(OR(Q205&lt;S205,AND(N205="&lt;",Q205=S205)),"未達監測值","無法判定"),IF(OR(N205="&gt;",N205="&gt;="),IF(Q205&gt;=S205,"達監測值","無法判定"),"格式待核")))))))))))</f>
        <v/>
      </c>
      <c r="AF205" s="93">
        <f>IF(COUNTA($A205:$D205)=0,"",IF(OR(E205="",A205="",B205="",C205=""),"缺必要欄位",IF(Y205&lt;&gt;"OK","樣品資料待補",IF(T205=0,"測項未建或重複",IF(INDEX(DB_04[啟用],T205)&lt;&gt;"是","測項停用",IF(AND(Z205&lt;&gt;"OK",Z205&lt;&gt;"不適用"),Z205,IF(AND(AB205&lt;&gt;"OK",AB205&lt;&gt;"已換算"),"單位待核",IF(AA205&lt;&gt;"OK",AA205,"OK"))))))))</f>
        <v/>
      </c>
      <c r="AG205" s="93">
        <f>IF(COUNTA($A205:$D205)=0,"",IF(N205="ND","ND取0",IF(OR(N205="&lt;",N205="&lt;="),"界限除以2",IF(N205="NA","不適用",IF(OR(N205="&gt;",N205="&gt;="),"保留界限數值","保留原數值")))))</f>
        <v/>
      </c>
      <c r="AH205" s="92">
        <f>IF(O205="","",IFERROR(_xlfn.NUMBERVALUE(O205,".",","),""))</f>
        <v/>
      </c>
      <c r="AI205" s="92">
        <f>IF(H205="","",IFERROR(MATCH(H205,Samples[樣品編號],0),0))</f>
        <v/>
      </c>
    </row>
    <row r="206">
      <c r="A206" s="27" t="inlineStr">
        <is>
          <t>DO</t>
        </is>
      </c>
      <c r="B206" s="28" t="inlineStr">
        <is>
          <t>4.5</t>
        </is>
      </c>
      <c r="C206" s="27" t="inlineStr">
        <is>
          <t>mg/L</t>
        </is>
      </c>
      <c r="D206" s="39" t="inlineStr">
        <is>
          <t>合成資料，非實測；method=field</t>
        </is>
      </c>
      <c r="E206" s="29">
        <f>IF(OR(I206="",I206=0),"",IF(INDEX(Samples[監測點],I206)="","",INDEX(Samples[監測點],I206)))</f>
        <v/>
      </c>
      <c r="F206" s="90">
        <f>IF(OR(I206="",I206=0),"",IF(INDEX(Samples[採樣日期],I206)="","",INDEX(Samples[採樣日期],I206)))</f>
        <v/>
      </c>
      <c r="G206" s="91">
        <f>IF(OR(M206="",M206="NA",M206="N/A"),"",IF(OR(M206="ND",M206="N.D."),0,IFERROR(IF(OR(OR(ISNUMBER(SEARCH("%",O206)),ISNUMBER(SEARCH(" ",O206)),ISNUMBER(SEARCH(",",O206))),OR(SUBSTITUTE(SUBSTITUTE(SUBSTITUTE(SUBSTITUTE(SUBSTITUTE(SUBSTITUTE(SUBSTITUTE(SUBSTITUTE(SUBSTITUTE(SUBSTITUTE(SUBSTITUTE(SUBSTITUTE(SUBSTITUTE(SUBSTITUTE(SUBSTITUTE(SUBSTITUTE(SUBSTITUTE(SUBSTITUTE("x"&amp;M206,"0",""),"1",""),"2",""),"3",""),"4",""),"5",""),"6",""),"7",""),"8",""),"9",""),".",""),"E",""),"+",""),"-",""),"&lt;",""),"&gt;",""),"=","")," ","")&lt;&gt;"x",ISNUMBER(SEARCH("-",SUBSTITUTE(SUBSTITUTE("x"&amp;MID(M206,2,99),"E-","E"),"E+","E"))),ISNUMBER(SEARCH("+",SUBSTITUTE(SUBSTITUTE("x"&amp;MID(M206,2,99),"E-","E"),"E+","E"))))),"",IF(AND(OR(LEFT(M206,1)="&lt;",LEFT(M206,1)="&gt;"),IF(O206="",0,IF(ISNUMBER(AH206),AH206,NA()))&lt;0),"",IF(O206="",0,IF(ISNUMBER(AH206),AH206,NA()))/IF(LEFT(M206,1)="&lt;",2,1))),"")))</f>
        <v/>
      </c>
      <c r="H206" s="57" t="inlineStr">
        <is>
          <t>BH05-W_20260115_02</t>
        </is>
      </c>
      <c r="I206" s="92">
        <f>IF(OR(H206="",AI206=0),0,IF(INDEX(Samples[樣品重複筆數],AI206)=1,AI206,0))</f>
        <v/>
      </c>
      <c r="J206" s="92">
        <f>IF(OR(COUNTA($A206:$D206)=0,I206=0),"",IF(INDEX(Samples[介質],I206)="","",INDEX(Samples[介質],I206)))</f>
        <v/>
      </c>
      <c r="K206" s="92">
        <f>IF(OR(COUNTA($A206:$D206)=0,T206=0),"",IF(INDEX(DB_04[標準單位],T206)="","",INDEX(DB_04[標準單位],T206)))</f>
        <v/>
      </c>
      <c r="L206" s="92">
        <f>IF(COUNTA($A206:$D206)=0,"",IF(OR(C206="",K206=""),"",IF(C206=K206,1,IF(COUNTIFS(DB_06[換算鍵],C206&amp;"|"&amp;K206,DB_06[換算檢查],"OK")=1,INDEX(DB_06[乘數],MATCH(C206&amp;"|"&amp;K206,DB_06[換算鍵],0)),""))))</f>
        <v/>
      </c>
      <c r="M206" s="92">
        <f>UPPER(SUBSTITUTE(SUBSTITUTE(SUBSTITUTE(SUBSTITUTE(TRIM(B206&amp;""),"＜","&lt;"),"＞","&gt;"),"≤","&lt;="),"≥","&gt;="))</f>
        <v/>
      </c>
      <c r="N206" s="92">
        <f>IF(M206="","",IF(OR(M206="ND",M206="N.D."),"ND",IF(OR(M206="NA",M206="N/A",M206="N.A."),"NA",IF(OR(LEFT(M206,2)="&lt;=",LEFT(M206,2)="&gt;="),LEFT(M206,2),IF(OR(LEFT(M206,1)="&lt;",LEFT(M206,1)="&gt;"),LEFT(M206,1),"數值")))))</f>
        <v/>
      </c>
      <c r="O206" s="92">
        <f>IF(OR(N206="",N206="ND",N206="NA"),"",IF(N206="數值",M206,TRIM(MID(M206,LEN(N206)+1,99))))</f>
        <v/>
      </c>
      <c r="P206" s="92">
        <f>IF(O206="","",IFERROR(IF(OR(OR(ISNUMBER(SEARCH("%",O206)),ISNUMBER(SEARCH(" ",O206)),ISNUMBER(SEARCH(",",O206))),OR(SUBSTITUTE(SUBSTITUTE(SUBSTITUTE(SUBSTITUTE(SUBSTITUTE(SUBSTITUTE(SUBSTITUTE(SUBSTITUTE(SUBSTITUTE(SUBSTITUTE(SUBSTITUTE(SUBSTITUTE(SUBSTITUTE(SUBSTITUTE(SUBSTITUTE(SUBSTITUTE(SUBSTITUTE(SUBSTITUTE("x"&amp;O206,"0",""),"1",""),"2",""),"3",""),"4",""),"5",""),"6",""),"7",""),"8",""),"9",""),".",""),"E",""),"+",""),"-",""),"&lt;",""),"&gt;",""),"=","")," ","")&lt;&gt;"x",ISNUMBER(SEARCH("-",SUBSTITUTE(SUBSTITUTE("x"&amp;MID(O206,2,99),"E-","E"),"E+","E"))),ISNUMBER(SEARCH("+",SUBSTITUTE(SUBSTITUTE("x"&amp;MID(O206,2,99),"E-","E"),"E+","E"))))),"",IF(ISNUMBER(AH206),AH206,NA())),""))</f>
        <v/>
      </c>
      <c r="Q206" s="92">
        <f>IF(AND(ISNUMBER(L206),ISNUMBER(P206)),L206*P206,"")</f>
        <v/>
      </c>
      <c r="R206" s="92">
        <f>IF(OR(COUNTA($A206:$D206)=0,U206=0),"",IF(INDEX(DB_05[管制設定值],U206)="","",INDEX(DB_05[管制設定值],U206)))</f>
        <v/>
      </c>
      <c r="S206" s="92">
        <f>IF(OR(COUNTA($A206:$D206)=0,U206=0),"",IF(INDEX(DB_05[監測設定值],U206)="","",INDEX(DB_05[監測設定值],U206)))</f>
        <v/>
      </c>
      <c r="T206" s="92">
        <f>IF(COUNTA($A206:$D206)=0,"",IF(COUNTIFS(DB_04[測項鍵],V206)=1,MATCH(V206,DB_04[測項鍵],0),0))</f>
        <v/>
      </c>
      <c r="U206" s="92">
        <f>IF(COUNTA($A206:$D206)=0,"",IF(COUNTIFS(DB_05[標準鍵],W206)=1,MATCH(W206,DB_05[標準鍵],0),0))</f>
        <v/>
      </c>
      <c r="V206" s="92">
        <f>IF(OR(J206="",A206=""),"",J206&amp;"|"&amp;A206)</f>
        <v/>
      </c>
      <c r="W206" s="92">
        <f>IF(OR('07_QAQC'!$C$3="",V206=""),"",'07_QAQC'!$C$3&amp;"|"&amp;V206)</f>
        <v/>
      </c>
      <c r="X206" s="92">
        <f>IF(OR(H206="",A206=""),"",LEN(H206)&amp;":"&amp;H206&amp;LEN(A206)&amp;":"&amp;A206)</f>
        <v/>
      </c>
      <c r="Y206" s="93">
        <f>IF(COUNTA($A206:$D206)=0,"",IF(I206=0,"樣品未建或重複",IF(INDEX(Samples[樣品檢查],I206)="","OK",INDEX(Samples[樣品檢查],I206))))</f>
        <v/>
      </c>
      <c r="Z206" s="93">
        <f>IF(COUNTA($A206:$D206)=0,"",IF(B206="","缺原始值",IF(OR(B206="-",B206="--"),"無資料",IF(N206="NA","不適用",IF(N206="ND","OK",IF(NOT(ISNUMBER(P206)),"格式待核",IF(AND(N206&lt;&gt;"數值",P206&lt;0),"界限不得為負","OK")))))))</f>
        <v/>
      </c>
      <c r="AA206" s="93">
        <f>IF(COUNTA(A206:D206)=0,"",IF(OR(A206="",H206=""),"缺識別欄位",IF(IF(LEN("="&amp;SUBSTITUTE(SUBSTITUTE(SUBSTITUTE(X206,"~","~~"),"*","~*"),"?","~?"))&lt;=255,COUNTIF(Results[結果識別鍵],"="&amp;SUBSTITUTE(SUBSTITUTE(SUBSTITUTE(X206,"~","~~"),"*","~*"),"?","~?")),COUNTIFS(Results[關聯鍵],"="&amp;SUBSTITUTE(SUBSTITUTE(SUBSTITUTE(H206,"~","~~"),"*","~*"),"?","~?"),Results[分析項目],"="&amp;SUBSTITUTE(SUBSTITUTE(SUBSTITUTE(A206,"~","~~"),"*","~*"),"?","~?")))&gt;1,"同關聯鍵測項重複","OK")))</f>
        <v/>
      </c>
      <c r="AB206" s="93">
        <f>IF(COUNTA($A206:$D206)=0,"",IF(OR(C206="",K206=""),"缺單位",IF(NOT(ISNUMBER(L206)),"單位不相容",IF(L206=1,"OK","已換算"))))</f>
        <v/>
      </c>
      <c r="AC206" s="93">
        <f>IF(COUNTA($A206:$D206)=0,"",IF('07_QAQC'!$C$3="","未選比較版本",IF(U206=0,IF(COUNTIFS(DB_05[標準鍵],W206)&gt;1,"標準鍵重複","未訂此介質／測項門檻"),IF(INDEX(DB_05[版本檢查],U206)&lt;&gt;"OK","標準主檔待核",IF(INDEX(DB_05[標準單位],U206)&lt;&gt;K206,"標準單位不符",IF(INDEX(DB_05[核對狀態],U206)="停用","停用",IF(F206="","缺採樣日期",IF(OR(AND(INDEX(DB_05[生效日],U206)&lt;&gt;"",F206&lt;INDEX(DB_05[生效日],U206)),AND(INDEX(DB_05[失效日],U206)&lt;&gt;"",F206&gt;INDEX(DB_05[失效日],U206))),"日期不適用",INDEX(DB_05[核對狀態],U206)))))))))</f>
        <v/>
      </c>
      <c r="AD206" s="93">
        <f>IF(COUNTA($A206:$D206)=0,"",IF(AC206="未訂此介質／測項門檻",AC206,IF(AC206&lt;&gt;"已核對","標準待核",IF(R206="","未訂管制值",IF(NOT(ISNUMBER(L206)),"單位待核",IF(N206="ND","無法判定（ND無界限）",IF(N206="NA","不適用",IF(Z206&lt;&gt;"OK",Z206,IF(N206="數值",IF(Q206&gt;=R206,"達管制值","未達管制值"),IF(OR(N206="&lt;",N206="&lt;="),IF(OR(Q206&lt;R206,AND(N206="&lt;",Q206=R206)),"未達管制值","無法判定"),IF(OR(N206="&gt;",N206="&gt;="),IF(Q206&gt;=R206,"達管制值","無法判定"),"格式待核")))))))))))</f>
        <v/>
      </c>
      <c r="AE206" s="93">
        <f>IF(COUNTA($A206:$D206)=0,"",IF(AC206="未訂此介質／測項門檻",AC206,IF(AC206&lt;&gt;"已核對","標準待核",IF(S206="","未訂監測值",IF(NOT(ISNUMBER(L206)),"單位待核",IF(N206="ND","無法判定（ND無界限）",IF(N206="NA","不適用",IF(Z206&lt;&gt;"OK",Z206,IF(N206="數值",IF(Q206&gt;=S206,"達監測值","未達監測值"),IF(OR(N206="&lt;",N206="&lt;="),IF(OR(Q206&lt;S206,AND(N206="&lt;",Q206=S206)),"未達監測值","無法判定"),IF(OR(N206="&gt;",N206="&gt;="),IF(Q206&gt;=S206,"達監測值","無法判定"),"格式待核")))))))))))</f>
        <v/>
      </c>
      <c r="AF206" s="93">
        <f>IF(COUNTA($A206:$D206)=0,"",IF(OR(E206="",A206="",B206="",C206=""),"缺必要欄位",IF(Y206&lt;&gt;"OK","樣品資料待補",IF(T206=0,"測項未建或重複",IF(INDEX(DB_04[啟用],T206)&lt;&gt;"是","測項停用",IF(AND(Z206&lt;&gt;"OK",Z206&lt;&gt;"不適用"),Z206,IF(AND(AB206&lt;&gt;"OK",AB206&lt;&gt;"已換算"),"單位待核",IF(AA206&lt;&gt;"OK",AA206,"OK"))))))))</f>
        <v/>
      </c>
      <c r="AG206" s="93">
        <f>IF(COUNTA($A206:$D206)=0,"",IF(N206="ND","ND取0",IF(OR(N206="&lt;",N206="&lt;="),"界限除以2",IF(N206="NA","不適用",IF(OR(N206="&gt;",N206="&gt;="),"保留界限數值","保留原數值")))))</f>
        <v/>
      </c>
      <c r="AH206" s="92">
        <f>IF(O206="","",IFERROR(_xlfn.NUMBERVALUE(O206,".",","),""))</f>
        <v/>
      </c>
      <c r="AI206" s="92">
        <f>IF(H206="","",IFERROR(MATCH(H206,Samples[樣品編號],0),0))</f>
        <v/>
      </c>
    </row>
    <row r="207">
      <c r="A207" s="27" t="inlineStr">
        <is>
          <t>溶氧飽和度</t>
        </is>
      </c>
      <c r="B207" s="28" t="inlineStr">
        <is>
          <t>57</t>
        </is>
      </c>
      <c r="C207" s="27" t="inlineStr">
        <is>
          <t>%</t>
        </is>
      </c>
      <c r="D207" s="39" t="inlineStr">
        <is>
          <t>合成資料，非實測；method=field</t>
        </is>
      </c>
      <c r="E207" s="29">
        <f>IF(OR(I207="",I207=0),"",IF(INDEX(Samples[監測點],I207)="","",INDEX(Samples[監測點],I207)))</f>
        <v/>
      </c>
      <c r="F207" s="90">
        <f>IF(OR(I207="",I207=0),"",IF(INDEX(Samples[採樣日期],I207)="","",INDEX(Samples[採樣日期],I207)))</f>
        <v/>
      </c>
      <c r="G207" s="91">
        <f>IF(OR(M207="",M207="NA",M207="N/A"),"",IF(OR(M207="ND",M207="N.D."),0,IFERROR(IF(OR(OR(ISNUMBER(SEARCH("%",O207)),ISNUMBER(SEARCH(" ",O207)),ISNUMBER(SEARCH(",",O207))),OR(SUBSTITUTE(SUBSTITUTE(SUBSTITUTE(SUBSTITUTE(SUBSTITUTE(SUBSTITUTE(SUBSTITUTE(SUBSTITUTE(SUBSTITUTE(SUBSTITUTE(SUBSTITUTE(SUBSTITUTE(SUBSTITUTE(SUBSTITUTE(SUBSTITUTE(SUBSTITUTE(SUBSTITUTE(SUBSTITUTE("x"&amp;M207,"0",""),"1",""),"2",""),"3",""),"4",""),"5",""),"6",""),"7",""),"8",""),"9",""),".",""),"E",""),"+",""),"-",""),"&lt;",""),"&gt;",""),"=","")," ","")&lt;&gt;"x",ISNUMBER(SEARCH("-",SUBSTITUTE(SUBSTITUTE("x"&amp;MID(M207,2,99),"E-","E"),"E+","E"))),ISNUMBER(SEARCH("+",SUBSTITUTE(SUBSTITUTE("x"&amp;MID(M207,2,99),"E-","E"),"E+","E"))))),"",IF(AND(OR(LEFT(M207,1)="&lt;",LEFT(M207,1)="&gt;"),IF(O207="",0,IF(ISNUMBER(AH207),AH207,NA()))&lt;0),"",IF(O207="",0,IF(ISNUMBER(AH207),AH207,NA()))/IF(LEFT(M207,1)="&lt;",2,1))),"")))</f>
        <v/>
      </c>
      <c r="H207" s="57" t="inlineStr">
        <is>
          <t>BH05-W_20260115_02</t>
        </is>
      </c>
      <c r="I207" s="92">
        <f>IF(OR(H207="",AI207=0),0,IF(INDEX(Samples[樣品重複筆數],AI207)=1,AI207,0))</f>
        <v/>
      </c>
      <c r="J207" s="92">
        <f>IF(OR(COUNTA($A207:$D207)=0,I207=0),"",IF(INDEX(Samples[介質],I207)="","",INDEX(Samples[介質],I207)))</f>
        <v/>
      </c>
      <c r="K207" s="92">
        <f>IF(OR(COUNTA($A207:$D207)=0,T207=0),"",IF(INDEX(DB_04[標準單位],T207)="","",INDEX(DB_04[標準單位],T207)))</f>
        <v/>
      </c>
      <c r="L207" s="92">
        <f>IF(COUNTA($A207:$D207)=0,"",IF(OR(C207="",K207=""),"",IF(C207=K207,1,IF(COUNTIFS(DB_06[換算鍵],C207&amp;"|"&amp;K207,DB_06[換算檢查],"OK")=1,INDEX(DB_06[乘數],MATCH(C207&amp;"|"&amp;K207,DB_06[換算鍵],0)),""))))</f>
        <v/>
      </c>
      <c r="M207" s="92">
        <f>UPPER(SUBSTITUTE(SUBSTITUTE(SUBSTITUTE(SUBSTITUTE(TRIM(B207&amp;""),"＜","&lt;"),"＞","&gt;"),"≤","&lt;="),"≥","&gt;="))</f>
        <v/>
      </c>
      <c r="N207" s="92">
        <f>IF(M207="","",IF(OR(M207="ND",M207="N.D."),"ND",IF(OR(M207="NA",M207="N/A",M207="N.A."),"NA",IF(OR(LEFT(M207,2)="&lt;=",LEFT(M207,2)="&gt;="),LEFT(M207,2),IF(OR(LEFT(M207,1)="&lt;",LEFT(M207,1)="&gt;"),LEFT(M207,1),"數值")))))</f>
        <v/>
      </c>
      <c r="O207" s="92">
        <f>IF(OR(N207="",N207="ND",N207="NA"),"",IF(N207="數值",M207,TRIM(MID(M207,LEN(N207)+1,99))))</f>
        <v/>
      </c>
      <c r="P207" s="92">
        <f>IF(O207="","",IFERROR(IF(OR(OR(ISNUMBER(SEARCH("%",O207)),ISNUMBER(SEARCH(" ",O207)),ISNUMBER(SEARCH(",",O207))),OR(SUBSTITUTE(SUBSTITUTE(SUBSTITUTE(SUBSTITUTE(SUBSTITUTE(SUBSTITUTE(SUBSTITUTE(SUBSTITUTE(SUBSTITUTE(SUBSTITUTE(SUBSTITUTE(SUBSTITUTE(SUBSTITUTE(SUBSTITUTE(SUBSTITUTE(SUBSTITUTE(SUBSTITUTE(SUBSTITUTE("x"&amp;O207,"0",""),"1",""),"2",""),"3",""),"4",""),"5",""),"6",""),"7",""),"8",""),"9",""),".",""),"E",""),"+",""),"-",""),"&lt;",""),"&gt;",""),"=","")," ","")&lt;&gt;"x",ISNUMBER(SEARCH("-",SUBSTITUTE(SUBSTITUTE("x"&amp;MID(O207,2,99),"E-","E"),"E+","E"))),ISNUMBER(SEARCH("+",SUBSTITUTE(SUBSTITUTE("x"&amp;MID(O207,2,99),"E-","E"),"E+","E"))))),"",IF(ISNUMBER(AH207),AH207,NA())),""))</f>
        <v/>
      </c>
      <c r="Q207" s="92">
        <f>IF(AND(ISNUMBER(L207),ISNUMBER(P207)),L207*P207,"")</f>
        <v/>
      </c>
      <c r="R207" s="92">
        <f>IF(OR(COUNTA($A207:$D207)=0,U207=0),"",IF(INDEX(DB_05[管制設定值],U207)="","",INDEX(DB_05[管制設定值],U207)))</f>
        <v/>
      </c>
      <c r="S207" s="92">
        <f>IF(OR(COUNTA($A207:$D207)=0,U207=0),"",IF(INDEX(DB_05[監測設定值],U207)="","",INDEX(DB_05[監測設定值],U207)))</f>
        <v/>
      </c>
      <c r="T207" s="92">
        <f>IF(COUNTA($A207:$D207)=0,"",IF(COUNTIFS(DB_04[測項鍵],V207)=1,MATCH(V207,DB_04[測項鍵],0),0))</f>
        <v/>
      </c>
      <c r="U207" s="92">
        <f>IF(COUNTA($A207:$D207)=0,"",IF(COUNTIFS(DB_05[標準鍵],W207)=1,MATCH(W207,DB_05[標準鍵],0),0))</f>
        <v/>
      </c>
      <c r="V207" s="92">
        <f>IF(OR(J207="",A207=""),"",J207&amp;"|"&amp;A207)</f>
        <v/>
      </c>
      <c r="W207" s="92">
        <f>IF(OR('07_QAQC'!$C$3="",V207=""),"",'07_QAQC'!$C$3&amp;"|"&amp;V207)</f>
        <v/>
      </c>
      <c r="X207" s="92">
        <f>IF(OR(H207="",A207=""),"",LEN(H207)&amp;":"&amp;H207&amp;LEN(A207)&amp;":"&amp;A207)</f>
        <v/>
      </c>
      <c r="Y207" s="93">
        <f>IF(COUNTA($A207:$D207)=0,"",IF(I207=0,"樣品未建或重複",IF(INDEX(Samples[樣品檢查],I207)="","OK",INDEX(Samples[樣品檢查],I207))))</f>
        <v/>
      </c>
      <c r="Z207" s="93">
        <f>IF(COUNTA($A207:$D207)=0,"",IF(B207="","缺原始值",IF(OR(B207="-",B207="--"),"無資料",IF(N207="NA","不適用",IF(N207="ND","OK",IF(NOT(ISNUMBER(P207)),"格式待核",IF(AND(N207&lt;&gt;"數值",P207&lt;0),"界限不得為負","OK")))))))</f>
        <v/>
      </c>
      <c r="AA207" s="93">
        <f>IF(COUNTA(A207:D207)=0,"",IF(OR(A207="",H207=""),"缺識別欄位",IF(IF(LEN("="&amp;SUBSTITUTE(SUBSTITUTE(SUBSTITUTE(X207,"~","~~"),"*","~*"),"?","~?"))&lt;=255,COUNTIF(Results[結果識別鍵],"="&amp;SUBSTITUTE(SUBSTITUTE(SUBSTITUTE(X207,"~","~~"),"*","~*"),"?","~?")),COUNTIFS(Results[關聯鍵],"="&amp;SUBSTITUTE(SUBSTITUTE(SUBSTITUTE(H207,"~","~~"),"*","~*"),"?","~?"),Results[分析項目],"="&amp;SUBSTITUTE(SUBSTITUTE(SUBSTITUTE(A207,"~","~~"),"*","~*"),"?","~?")))&gt;1,"同關聯鍵測項重複","OK")))</f>
        <v/>
      </c>
      <c r="AB207" s="93">
        <f>IF(COUNTA($A207:$D207)=0,"",IF(OR(C207="",K207=""),"缺單位",IF(NOT(ISNUMBER(L207)),"單位不相容",IF(L207=1,"OK","已換算"))))</f>
        <v/>
      </c>
      <c r="AC207" s="93">
        <f>IF(COUNTA($A207:$D207)=0,"",IF('07_QAQC'!$C$3="","未選比較版本",IF(U207=0,IF(COUNTIFS(DB_05[標準鍵],W207)&gt;1,"標準鍵重複","未訂此介質／測項門檻"),IF(INDEX(DB_05[版本檢查],U207)&lt;&gt;"OK","標準主檔待核",IF(INDEX(DB_05[標準單位],U207)&lt;&gt;K207,"標準單位不符",IF(INDEX(DB_05[核對狀態],U207)="停用","停用",IF(F207="","缺採樣日期",IF(OR(AND(INDEX(DB_05[生效日],U207)&lt;&gt;"",F207&lt;INDEX(DB_05[生效日],U207)),AND(INDEX(DB_05[失效日],U207)&lt;&gt;"",F207&gt;INDEX(DB_05[失效日],U207))),"日期不適用",INDEX(DB_05[核對狀態],U207)))))))))</f>
        <v/>
      </c>
      <c r="AD207" s="93">
        <f>IF(COUNTA($A207:$D207)=0,"",IF(AC207="未訂此介質／測項門檻",AC207,IF(AC207&lt;&gt;"已核對","標準待核",IF(R207="","未訂管制值",IF(NOT(ISNUMBER(L207)),"單位待核",IF(N207="ND","無法判定（ND無界限）",IF(N207="NA","不適用",IF(Z207&lt;&gt;"OK",Z207,IF(N207="數值",IF(Q207&gt;=R207,"達管制值","未達管制值"),IF(OR(N207="&lt;",N207="&lt;="),IF(OR(Q207&lt;R207,AND(N207="&lt;",Q207=R207)),"未達管制值","無法判定"),IF(OR(N207="&gt;",N207="&gt;="),IF(Q207&gt;=R207,"達管制值","無法判定"),"格式待核")))))))))))</f>
        <v/>
      </c>
      <c r="AE207" s="93">
        <f>IF(COUNTA($A207:$D207)=0,"",IF(AC207="未訂此介質／測項門檻",AC207,IF(AC207&lt;&gt;"已核對","標準待核",IF(S207="","未訂監測值",IF(NOT(ISNUMBER(L207)),"單位待核",IF(N207="ND","無法判定（ND無界限）",IF(N207="NA","不適用",IF(Z207&lt;&gt;"OK",Z207,IF(N207="數值",IF(Q207&gt;=S207,"達監測值","未達監測值"),IF(OR(N207="&lt;",N207="&lt;="),IF(OR(Q207&lt;S207,AND(N207="&lt;",Q207=S207)),"未達監測值","無法判定"),IF(OR(N207="&gt;",N207="&gt;="),IF(Q207&gt;=S207,"達監測值","無法判定"),"格式待核")))))))))))</f>
        <v/>
      </c>
      <c r="AF207" s="93">
        <f>IF(COUNTA($A207:$D207)=0,"",IF(OR(E207="",A207="",B207="",C207=""),"缺必要欄位",IF(Y207&lt;&gt;"OK","樣品資料待補",IF(T207=0,"測項未建或重複",IF(INDEX(DB_04[啟用],T207)&lt;&gt;"是","測項停用",IF(AND(Z207&lt;&gt;"OK",Z207&lt;&gt;"不適用"),Z207,IF(AND(AB207&lt;&gt;"OK",AB207&lt;&gt;"已換算"),"單位待核",IF(AA207&lt;&gt;"OK",AA207,"OK"))))))))</f>
        <v/>
      </c>
      <c r="AG207" s="93">
        <f>IF(COUNTA($A207:$D207)=0,"",IF(N207="ND","ND取0",IF(OR(N207="&lt;",N207="&lt;="),"界限除以2",IF(N207="NA","不適用",IF(OR(N207="&gt;",N207="&gt;="),"保留界限數值","保留原數值")))))</f>
        <v/>
      </c>
      <c r="AH207" s="92">
        <f>IF(O207="","",IFERROR(_xlfn.NUMBERVALUE(O207,".",","),""))</f>
        <v/>
      </c>
      <c r="AI207" s="92">
        <f>IF(H207="","",IFERROR(MATCH(H207,Samples[樣品編號],0),0))</f>
        <v/>
      </c>
    </row>
    <row r="208">
      <c r="A208" s="27" t="inlineStr">
        <is>
          <t>ORP</t>
        </is>
      </c>
      <c r="B208" s="28" t="inlineStr">
        <is>
          <t>-85</t>
        </is>
      </c>
      <c r="C208" s="27" t="inlineStr">
        <is>
          <t>mV</t>
        </is>
      </c>
      <c r="D208" s="39" t="inlineStr">
        <is>
          <t>合成資料，非實測；method=field; reference_electrode=Ag/AgCl; calibration=verified</t>
        </is>
      </c>
      <c r="E208" s="29">
        <f>IF(OR(I208="",I208=0),"",IF(INDEX(Samples[監測點],I208)="","",INDEX(Samples[監測點],I208)))</f>
        <v/>
      </c>
      <c r="F208" s="90">
        <f>IF(OR(I208="",I208=0),"",IF(INDEX(Samples[採樣日期],I208)="","",INDEX(Samples[採樣日期],I208)))</f>
        <v/>
      </c>
      <c r="G208" s="91">
        <f>IF(OR(M208="",M208="NA",M208="N/A"),"",IF(OR(M208="ND",M208="N.D."),0,IFERROR(IF(OR(OR(ISNUMBER(SEARCH("%",O208)),ISNUMBER(SEARCH(" ",O208)),ISNUMBER(SEARCH(",",O208))),OR(SUBSTITUTE(SUBSTITUTE(SUBSTITUTE(SUBSTITUTE(SUBSTITUTE(SUBSTITUTE(SUBSTITUTE(SUBSTITUTE(SUBSTITUTE(SUBSTITUTE(SUBSTITUTE(SUBSTITUTE(SUBSTITUTE(SUBSTITUTE(SUBSTITUTE(SUBSTITUTE(SUBSTITUTE(SUBSTITUTE("x"&amp;M208,"0",""),"1",""),"2",""),"3",""),"4",""),"5",""),"6",""),"7",""),"8",""),"9",""),".",""),"E",""),"+",""),"-",""),"&lt;",""),"&gt;",""),"=","")," ","")&lt;&gt;"x",ISNUMBER(SEARCH("-",SUBSTITUTE(SUBSTITUTE("x"&amp;MID(M208,2,99),"E-","E"),"E+","E"))),ISNUMBER(SEARCH("+",SUBSTITUTE(SUBSTITUTE("x"&amp;MID(M208,2,99),"E-","E"),"E+","E"))))),"",IF(AND(OR(LEFT(M208,1)="&lt;",LEFT(M208,1)="&gt;"),IF(O208="",0,IF(ISNUMBER(AH208),AH208,NA()))&lt;0),"",IF(O208="",0,IF(ISNUMBER(AH208),AH208,NA()))/IF(LEFT(M208,1)="&lt;",2,1))),"")))</f>
        <v/>
      </c>
      <c r="H208" s="57" t="inlineStr">
        <is>
          <t>BH05-W_20260115_02</t>
        </is>
      </c>
      <c r="I208" s="92">
        <f>IF(OR(H208="",AI208=0),0,IF(INDEX(Samples[樣品重複筆數],AI208)=1,AI208,0))</f>
        <v/>
      </c>
      <c r="J208" s="92">
        <f>IF(OR(COUNTA($A208:$D208)=0,I208=0),"",IF(INDEX(Samples[介質],I208)="","",INDEX(Samples[介質],I208)))</f>
        <v/>
      </c>
      <c r="K208" s="92">
        <f>IF(OR(COUNTA($A208:$D208)=0,T208=0),"",IF(INDEX(DB_04[標準單位],T208)="","",INDEX(DB_04[標準單位],T208)))</f>
        <v/>
      </c>
      <c r="L208" s="92">
        <f>IF(COUNTA($A208:$D208)=0,"",IF(OR(C208="",K208=""),"",IF(C208=K208,1,IF(COUNTIFS(DB_06[換算鍵],C208&amp;"|"&amp;K208,DB_06[換算檢查],"OK")=1,INDEX(DB_06[乘數],MATCH(C208&amp;"|"&amp;K208,DB_06[換算鍵],0)),""))))</f>
        <v/>
      </c>
      <c r="M208" s="92">
        <f>UPPER(SUBSTITUTE(SUBSTITUTE(SUBSTITUTE(SUBSTITUTE(TRIM(B208&amp;""),"＜","&lt;"),"＞","&gt;"),"≤","&lt;="),"≥","&gt;="))</f>
        <v/>
      </c>
      <c r="N208" s="92">
        <f>IF(M208="","",IF(OR(M208="ND",M208="N.D."),"ND",IF(OR(M208="NA",M208="N/A",M208="N.A."),"NA",IF(OR(LEFT(M208,2)="&lt;=",LEFT(M208,2)="&gt;="),LEFT(M208,2),IF(OR(LEFT(M208,1)="&lt;",LEFT(M208,1)="&gt;"),LEFT(M208,1),"數值")))))</f>
        <v/>
      </c>
      <c r="O208" s="92">
        <f>IF(OR(N208="",N208="ND",N208="NA"),"",IF(N208="數值",M208,TRIM(MID(M208,LEN(N208)+1,99))))</f>
        <v/>
      </c>
      <c r="P208" s="92">
        <f>IF(O208="","",IFERROR(IF(OR(OR(ISNUMBER(SEARCH("%",O208)),ISNUMBER(SEARCH(" ",O208)),ISNUMBER(SEARCH(",",O208))),OR(SUBSTITUTE(SUBSTITUTE(SUBSTITUTE(SUBSTITUTE(SUBSTITUTE(SUBSTITUTE(SUBSTITUTE(SUBSTITUTE(SUBSTITUTE(SUBSTITUTE(SUBSTITUTE(SUBSTITUTE(SUBSTITUTE(SUBSTITUTE(SUBSTITUTE(SUBSTITUTE(SUBSTITUTE(SUBSTITUTE("x"&amp;O208,"0",""),"1",""),"2",""),"3",""),"4",""),"5",""),"6",""),"7",""),"8",""),"9",""),".",""),"E",""),"+",""),"-",""),"&lt;",""),"&gt;",""),"=","")," ","")&lt;&gt;"x",ISNUMBER(SEARCH("-",SUBSTITUTE(SUBSTITUTE("x"&amp;MID(O208,2,99),"E-","E"),"E+","E"))),ISNUMBER(SEARCH("+",SUBSTITUTE(SUBSTITUTE("x"&amp;MID(O208,2,99),"E-","E"),"E+","E"))))),"",IF(ISNUMBER(AH208),AH208,NA())),""))</f>
        <v/>
      </c>
      <c r="Q208" s="92">
        <f>IF(AND(ISNUMBER(L208),ISNUMBER(P208)),L208*P208,"")</f>
        <v/>
      </c>
      <c r="R208" s="92">
        <f>IF(OR(COUNTA($A208:$D208)=0,U208=0),"",IF(INDEX(DB_05[管制設定值],U208)="","",INDEX(DB_05[管制設定值],U208)))</f>
        <v/>
      </c>
      <c r="S208" s="92">
        <f>IF(OR(COUNTA($A208:$D208)=0,U208=0),"",IF(INDEX(DB_05[監測設定值],U208)="","",INDEX(DB_05[監測設定值],U208)))</f>
        <v/>
      </c>
      <c r="T208" s="92">
        <f>IF(COUNTA($A208:$D208)=0,"",IF(COUNTIFS(DB_04[測項鍵],V208)=1,MATCH(V208,DB_04[測項鍵],0),0))</f>
        <v/>
      </c>
      <c r="U208" s="92">
        <f>IF(COUNTA($A208:$D208)=0,"",IF(COUNTIFS(DB_05[標準鍵],W208)=1,MATCH(W208,DB_05[標準鍵],0),0))</f>
        <v/>
      </c>
      <c r="V208" s="92">
        <f>IF(OR(J208="",A208=""),"",J208&amp;"|"&amp;A208)</f>
        <v/>
      </c>
      <c r="W208" s="92">
        <f>IF(OR('07_QAQC'!$C$3="",V208=""),"",'07_QAQC'!$C$3&amp;"|"&amp;V208)</f>
        <v/>
      </c>
      <c r="X208" s="92">
        <f>IF(OR(H208="",A208=""),"",LEN(H208)&amp;":"&amp;H208&amp;LEN(A208)&amp;":"&amp;A208)</f>
        <v/>
      </c>
      <c r="Y208" s="93">
        <f>IF(COUNTA($A208:$D208)=0,"",IF(I208=0,"樣品未建或重複",IF(INDEX(Samples[樣品檢查],I208)="","OK",INDEX(Samples[樣品檢查],I208))))</f>
        <v/>
      </c>
      <c r="Z208" s="93">
        <f>IF(COUNTA($A208:$D208)=0,"",IF(B208="","缺原始值",IF(OR(B208="-",B208="--"),"無資料",IF(N208="NA","不適用",IF(N208="ND","OK",IF(NOT(ISNUMBER(P208)),"格式待核",IF(AND(N208&lt;&gt;"數值",P208&lt;0),"界限不得為負","OK")))))))</f>
        <v/>
      </c>
      <c r="AA208" s="93">
        <f>IF(COUNTA(A208:D208)=0,"",IF(OR(A208="",H208=""),"缺識別欄位",IF(IF(LEN("="&amp;SUBSTITUTE(SUBSTITUTE(SUBSTITUTE(X208,"~","~~"),"*","~*"),"?","~?"))&lt;=255,COUNTIF(Results[結果識別鍵],"="&amp;SUBSTITUTE(SUBSTITUTE(SUBSTITUTE(X208,"~","~~"),"*","~*"),"?","~?")),COUNTIFS(Results[關聯鍵],"="&amp;SUBSTITUTE(SUBSTITUTE(SUBSTITUTE(H208,"~","~~"),"*","~*"),"?","~?"),Results[分析項目],"="&amp;SUBSTITUTE(SUBSTITUTE(SUBSTITUTE(A208,"~","~~"),"*","~*"),"?","~?")))&gt;1,"同關聯鍵測項重複","OK")))</f>
        <v/>
      </c>
      <c r="AB208" s="93">
        <f>IF(COUNTA($A208:$D208)=0,"",IF(OR(C208="",K208=""),"缺單位",IF(NOT(ISNUMBER(L208)),"單位不相容",IF(L208=1,"OK","已換算"))))</f>
        <v/>
      </c>
      <c r="AC208" s="93">
        <f>IF(COUNTA($A208:$D208)=0,"",IF('07_QAQC'!$C$3="","未選比較版本",IF(U208=0,IF(COUNTIFS(DB_05[標準鍵],W208)&gt;1,"標準鍵重複","未訂此介質／測項門檻"),IF(INDEX(DB_05[版本檢查],U208)&lt;&gt;"OK","標準主檔待核",IF(INDEX(DB_05[標準單位],U208)&lt;&gt;K208,"標準單位不符",IF(INDEX(DB_05[核對狀態],U208)="停用","停用",IF(F208="","缺採樣日期",IF(OR(AND(INDEX(DB_05[生效日],U208)&lt;&gt;"",F208&lt;INDEX(DB_05[生效日],U208)),AND(INDEX(DB_05[失效日],U208)&lt;&gt;"",F208&gt;INDEX(DB_05[失效日],U208))),"日期不適用",INDEX(DB_05[核對狀態],U208)))))))))</f>
        <v/>
      </c>
      <c r="AD208" s="93">
        <f>IF(COUNTA($A208:$D208)=0,"",IF(AC208="未訂此介質／測項門檻",AC208,IF(AC208&lt;&gt;"已核對","標準待核",IF(R208="","未訂管制值",IF(NOT(ISNUMBER(L208)),"單位待核",IF(N208="ND","無法判定（ND無界限）",IF(N208="NA","不適用",IF(Z208&lt;&gt;"OK",Z208,IF(N208="數值",IF(Q208&gt;=R208,"達管制值","未達管制值"),IF(OR(N208="&lt;",N208="&lt;="),IF(OR(Q208&lt;R208,AND(N208="&lt;",Q208=R208)),"未達管制值","無法判定"),IF(OR(N208="&gt;",N208="&gt;="),IF(Q208&gt;=R208,"達管制值","無法判定"),"格式待核")))))))))))</f>
        <v/>
      </c>
      <c r="AE208" s="93">
        <f>IF(COUNTA($A208:$D208)=0,"",IF(AC208="未訂此介質／測項門檻",AC208,IF(AC208&lt;&gt;"已核對","標準待核",IF(S208="","未訂監測值",IF(NOT(ISNUMBER(L208)),"單位待核",IF(N208="ND","無法判定（ND無界限）",IF(N208="NA","不適用",IF(Z208&lt;&gt;"OK",Z208,IF(N208="數值",IF(Q208&gt;=S208,"達監測值","未達監測值"),IF(OR(N208="&lt;",N208="&lt;="),IF(OR(Q208&lt;S208,AND(N208="&lt;",Q208=S208)),"未達監測值","無法判定"),IF(OR(N208="&gt;",N208="&gt;="),IF(Q208&gt;=S208,"達監測值","無法判定"),"格式待核")))))))))))</f>
        <v/>
      </c>
      <c r="AF208" s="93">
        <f>IF(COUNTA($A208:$D208)=0,"",IF(OR(E208="",A208="",B208="",C208=""),"缺必要欄位",IF(Y208&lt;&gt;"OK","樣品資料待補",IF(T208=0,"測項未建或重複",IF(INDEX(DB_04[啟用],T208)&lt;&gt;"是","測項停用",IF(AND(Z208&lt;&gt;"OK",Z208&lt;&gt;"不適用"),Z208,IF(AND(AB208&lt;&gt;"OK",AB208&lt;&gt;"已換算"),"單位待核",IF(AA208&lt;&gt;"OK",AA208,"OK"))))))))</f>
        <v/>
      </c>
      <c r="AG208" s="93">
        <f>IF(COUNTA($A208:$D208)=0,"",IF(N208="ND","ND取0",IF(OR(N208="&lt;",N208="&lt;="),"界限除以2",IF(N208="NA","不適用",IF(OR(N208="&gt;",N208="&gt;="),"保留界限數值","保留原數值")))))</f>
        <v/>
      </c>
      <c r="AH208" s="92">
        <f>IF(O208="","",IFERROR(_xlfn.NUMBERVALUE(O208,".",","),""))</f>
        <v/>
      </c>
      <c r="AI208" s="92">
        <f>IF(H208="","",IFERROR(MATCH(H208,Samples[樣品編號],0),0))</f>
        <v/>
      </c>
    </row>
    <row r="209">
      <c r="A209" s="27" t="inlineStr">
        <is>
          <t>總有機碳</t>
        </is>
      </c>
      <c r="B209" s="28" t="inlineStr">
        <is>
          <t>3.3</t>
        </is>
      </c>
      <c r="C209" s="27" t="inlineStr">
        <is>
          <t>mg/L</t>
        </is>
      </c>
      <c r="D209" s="39" t="inlineStr">
        <is>
          <t>合成資料，非實測；method=lab</t>
        </is>
      </c>
      <c r="E209" s="29">
        <f>IF(OR(I209="",I209=0),"",IF(INDEX(Samples[監測點],I209)="","",INDEX(Samples[監測點],I209)))</f>
        <v/>
      </c>
      <c r="F209" s="90">
        <f>IF(OR(I209="",I209=0),"",IF(INDEX(Samples[採樣日期],I209)="","",INDEX(Samples[採樣日期],I209)))</f>
        <v/>
      </c>
      <c r="G209" s="91">
        <f>IF(OR(M209="",M209="NA",M209="N/A"),"",IF(OR(M209="ND",M209="N.D."),0,IFERROR(IF(OR(OR(ISNUMBER(SEARCH("%",O209)),ISNUMBER(SEARCH(" ",O209)),ISNUMBER(SEARCH(",",O209))),OR(SUBSTITUTE(SUBSTITUTE(SUBSTITUTE(SUBSTITUTE(SUBSTITUTE(SUBSTITUTE(SUBSTITUTE(SUBSTITUTE(SUBSTITUTE(SUBSTITUTE(SUBSTITUTE(SUBSTITUTE(SUBSTITUTE(SUBSTITUTE(SUBSTITUTE(SUBSTITUTE(SUBSTITUTE(SUBSTITUTE("x"&amp;M209,"0",""),"1",""),"2",""),"3",""),"4",""),"5",""),"6",""),"7",""),"8",""),"9",""),".",""),"E",""),"+",""),"-",""),"&lt;",""),"&gt;",""),"=","")," ","")&lt;&gt;"x",ISNUMBER(SEARCH("-",SUBSTITUTE(SUBSTITUTE("x"&amp;MID(M209,2,99),"E-","E"),"E+","E"))),ISNUMBER(SEARCH("+",SUBSTITUTE(SUBSTITUTE("x"&amp;MID(M209,2,99),"E-","E"),"E+","E"))))),"",IF(AND(OR(LEFT(M209,1)="&lt;",LEFT(M209,1)="&gt;"),IF(O209="",0,IF(ISNUMBER(AH209),AH209,NA()))&lt;0),"",IF(O209="",0,IF(ISNUMBER(AH209),AH209,NA()))/IF(LEFT(M209,1)="&lt;",2,1))),"")))</f>
        <v/>
      </c>
      <c r="H209" s="57" t="inlineStr">
        <is>
          <t>BH05-W_20260115_02</t>
        </is>
      </c>
      <c r="I209" s="92">
        <f>IF(OR(H209="",AI209=0),0,IF(INDEX(Samples[樣品重複筆數],AI209)=1,AI209,0))</f>
        <v/>
      </c>
      <c r="J209" s="92">
        <f>IF(OR(COUNTA($A209:$D209)=0,I209=0),"",IF(INDEX(Samples[介質],I209)="","",INDEX(Samples[介質],I209)))</f>
        <v/>
      </c>
      <c r="K209" s="92">
        <f>IF(OR(COUNTA($A209:$D209)=0,T209=0),"",IF(INDEX(DB_04[標準單位],T209)="","",INDEX(DB_04[標準單位],T209)))</f>
        <v/>
      </c>
      <c r="L209" s="92">
        <f>IF(COUNTA($A209:$D209)=0,"",IF(OR(C209="",K209=""),"",IF(C209=K209,1,IF(COUNTIFS(DB_06[換算鍵],C209&amp;"|"&amp;K209,DB_06[換算檢查],"OK")=1,INDEX(DB_06[乘數],MATCH(C209&amp;"|"&amp;K209,DB_06[換算鍵],0)),""))))</f>
        <v/>
      </c>
      <c r="M209" s="92">
        <f>UPPER(SUBSTITUTE(SUBSTITUTE(SUBSTITUTE(SUBSTITUTE(TRIM(B209&amp;""),"＜","&lt;"),"＞","&gt;"),"≤","&lt;="),"≥","&gt;="))</f>
        <v/>
      </c>
      <c r="N209" s="92">
        <f>IF(M209="","",IF(OR(M209="ND",M209="N.D."),"ND",IF(OR(M209="NA",M209="N/A",M209="N.A."),"NA",IF(OR(LEFT(M209,2)="&lt;=",LEFT(M209,2)="&gt;="),LEFT(M209,2),IF(OR(LEFT(M209,1)="&lt;",LEFT(M209,1)="&gt;"),LEFT(M209,1),"數值")))))</f>
        <v/>
      </c>
      <c r="O209" s="92">
        <f>IF(OR(N209="",N209="ND",N209="NA"),"",IF(N209="數值",M209,TRIM(MID(M209,LEN(N209)+1,99))))</f>
        <v/>
      </c>
      <c r="P209" s="92">
        <f>IF(O209="","",IFERROR(IF(OR(OR(ISNUMBER(SEARCH("%",O209)),ISNUMBER(SEARCH(" ",O209)),ISNUMBER(SEARCH(",",O209))),OR(SUBSTITUTE(SUBSTITUTE(SUBSTITUTE(SUBSTITUTE(SUBSTITUTE(SUBSTITUTE(SUBSTITUTE(SUBSTITUTE(SUBSTITUTE(SUBSTITUTE(SUBSTITUTE(SUBSTITUTE(SUBSTITUTE(SUBSTITUTE(SUBSTITUTE(SUBSTITUTE(SUBSTITUTE(SUBSTITUTE("x"&amp;O209,"0",""),"1",""),"2",""),"3",""),"4",""),"5",""),"6",""),"7",""),"8",""),"9",""),".",""),"E",""),"+",""),"-",""),"&lt;",""),"&gt;",""),"=","")," ","")&lt;&gt;"x",ISNUMBER(SEARCH("-",SUBSTITUTE(SUBSTITUTE("x"&amp;MID(O209,2,99),"E-","E"),"E+","E"))),ISNUMBER(SEARCH("+",SUBSTITUTE(SUBSTITUTE("x"&amp;MID(O209,2,99),"E-","E"),"E+","E"))))),"",IF(ISNUMBER(AH209),AH209,NA())),""))</f>
        <v/>
      </c>
      <c r="Q209" s="92">
        <f>IF(AND(ISNUMBER(L209),ISNUMBER(P209)),L209*P209,"")</f>
        <v/>
      </c>
      <c r="R209" s="92">
        <f>IF(OR(COUNTA($A209:$D209)=0,U209=0),"",IF(INDEX(DB_05[管制設定值],U209)="","",INDEX(DB_05[管制設定值],U209)))</f>
        <v/>
      </c>
      <c r="S209" s="92">
        <f>IF(OR(COUNTA($A209:$D209)=0,U209=0),"",IF(INDEX(DB_05[監測設定值],U209)="","",INDEX(DB_05[監測設定值],U209)))</f>
        <v/>
      </c>
      <c r="T209" s="92">
        <f>IF(COUNTA($A209:$D209)=0,"",IF(COUNTIFS(DB_04[測項鍵],V209)=1,MATCH(V209,DB_04[測項鍵],0),0))</f>
        <v/>
      </c>
      <c r="U209" s="92">
        <f>IF(COUNTA($A209:$D209)=0,"",IF(COUNTIFS(DB_05[標準鍵],W209)=1,MATCH(W209,DB_05[標準鍵],0),0))</f>
        <v/>
      </c>
      <c r="V209" s="92">
        <f>IF(OR(J209="",A209=""),"",J209&amp;"|"&amp;A209)</f>
        <v/>
      </c>
      <c r="W209" s="92">
        <f>IF(OR('07_QAQC'!$C$3="",V209=""),"",'07_QAQC'!$C$3&amp;"|"&amp;V209)</f>
        <v/>
      </c>
      <c r="X209" s="92">
        <f>IF(OR(H209="",A209=""),"",LEN(H209)&amp;":"&amp;H209&amp;LEN(A209)&amp;":"&amp;A209)</f>
        <v/>
      </c>
      <c r="Y209" s="93">
        <f>IF(COUNTA($A209:$D209)=0,"",IF(I209=0,"樣品未建或重複",IF(INDEX(Samples[樣品檢查],I209)="","OK",INDEX(Samples[樣品檢查],I209))))</f>
        <v/>
      </c>
      <c r="Z209" s="93">
        <f>IF(COUNTA($A209:$D209)=0,"",IF(B209="","缺原始值",IF(OR(B209="-",B209="--"),"無資料",IF(N209="NA","不適用",IF(N209="ND","OK",IF(NOT(ISNUMBER(P209)),"格式待核",IF(AND(N209&lt;&gt;"數值",P209&lt;0),"界限不得為負","OK")))))))</f>
        <v/>
      </c>
      <c r="AA209" s="93">
        <f>IF(COUNTA(A209:D209)=0,"",IF(OR(A209="",H209=""),"缺識別欄位",IF(IF(LEN("="&amp;SUBSTITUTE(SUBSTITUTE(SUBSTITUTE(X209,"~","~~"),"*","~*"),"?","~?"))&lt;=255,COUNTIF(Results[結果識別鍵],"="&amp;SUBSTITUTE(SUBSTITUTE(SUBSTITUTE(X209,"~","~~"),"*","~*"),"?","~?")),COUNTIFS(Results[關聯鍵],"="&amp;SUBSTITUTE(SUBSTITUTE(SUBSTITUTE(H209,"~","~~"),"*","~*"),"?","~?"),Results[分析項目],"="&amp;SUBSTITUTE(SUBSTITUTE(SUBSTITUTE(A209,"~","~~"),"*","~*"),"?","~?")))&gt;1,"同關聯鍵測項重複","OK")))</f>
        <v/>
      </c>
      <c r="AB209" s="93">
        <f>IF(COUNTA($A209:$D209)=0,"",IF(OR(C209="",K209=""),"缺單位",IF(NOT(ISNUMBER(L209)),"單位不相容",IF(L209=1,"OK","已換算"))))</f>
        <v/>
      </c>
      <c r="AC209" s="93">
        <f>IF(COUNTA($A209:$D209)=0,"",IF('07_QAQC'!$C$3="","未選比較版本",IF(U209=0,IF(COUNTIFS(DB_05[標準鍵],W209)&gt;1,"標準鍵重複","未訂此介質／測項門檻"),IF(INDEX(DB_05[版本檢查],U209)&lt;&gt;"OK","標準主檔待核",IF(INDEX(DB_05[標準單位],U209)&lt;&gt;K209,"標準單位不符",IF(INDEX(DB_05[核對狀態],U209)="停用","停用",IF(F209="","缺採樣日期",IF(OR(AND(INDEX(DB_05[生效日],U209)&lt;&gt;"",F209&lt;INDEX(DB_05[生效日],U209)),AND(INDEX(DB_05[失效日],U209)&lt;&gt;"",F209&gt;INDEX(DB_05[失效日],U209))),"日期不適用",INDEX(DB_05[核對狀態],U209)))))))))</f>
        <v/>
      </c>
      <c r="AD209" s="93">
        <f>IF(COUNTA($A209:$D209)=0,"",IF(AC209="未訂此介質／測項門檻",AC209,IF(AC209&lt;&gt;"已核對","標準待核",IF(R209="","未訂管制值",IF(NOT(ISNUMBER(L209)),"單位待核",IF(N209="ND","無法判定（ND無界限）",IF(N209="NA","不適用",IF(Z209&lt;&gt;"OK",Z209,IF(N209="數值",IF(Q209&gt;=R209,"達管制值","未達管制值"),IF(OR(N209="&lt;",N209="&lt;="),IF(OR(Q209&lt;R209,AND(N209="&lt;",Q209=R209)),"未達管制值","無法判定"),IF(OR(N209="&gt;",N209="&gt;="),IF(Q209&gt;=R209,"達管制值","無法判定"),"格式待核")))))))))))</f>
        <v/>
      </c>
      <c r="AE209" s="93">
        <f>IF(COUNTA($A209:$D209)=0,"",IF(AC209="未訂此介質／測項門檻",AC209,IF(AC209&lt;&gt;"已核對","標準待核",IF(S209="","未訂監測值",IF(NOT(ISNUMBER(L209)),"單位待核",IF(N209="ND","無法判定（ND無界限）",IF(N209="NA","不適用",IF(Z209&lt;&gt;"OK",Z209,IF(N209="數值",IF(Q209&gt;=S209,"達監測值","未達監測值"),IF(OR(N209="&lt;",N209="&lt;="),IF(OR(Q209&lt;S209,AND(N209="&lt;",Q209=S209)),"未達監測值","無法判定"),IF(OR(N209="&gt;",N209="&gt;="),IF(Q209&gt;=S209,"達監測值","無法判定"),"格式待核")))))))))))</f>
        <v/>
      </c>
      <c r="AF209" s="93">
        <f>IF(COUNTA($A209:$D209)=0,"",IF(OR(E209="",A209="",B209="",C209=""),"缺必要欄位",IF(Y209&lt;&gt;"OK","樣品資料待補",IF(T209=0,"測項未建或重複",IF(INDEX(DB_04[啟用],T209)&lt;&gt;"是","測項停用",IF(AND(Z209&lt;&gt;"OK",Z209&lt;&gt;"不適用"),Z209,IF(AND(AB209&lt;&gt;"OK",AB209&lt;&gt;"已換算"),"單位待核",IF(AA209&lt;&gt;"OK",AA209,"OK"))))))))</f>
        <v/>
      </c>
      <c r="AG209" s="93">
        <f>IF(COUNTA($A209:$D209)=0,"",IF(N209="ND","ND取0",IF(OR(N209="&lt;",N209="&lt;="),"界限除以2",IF(N209="NA","不適用",IF(OR(N209="&gt;",N209="&gt;="),"保留界限數值","保留原數值")))))</f>
        <v/>
      </c>
      <c r="AH209" s="92">
        <f>IF(O209="","",IFERROR(_xlfn.NUMBERVALUE(O209,".",","),""))</f>
        <v/>
      </c>
      <c r="AI209" s="92">
        <f>IF(H209="","",IFERROR(MATCH(H209,Samples[樣品編號],0),0))</f>
        <v/>
      </c>
    </row>
    <row r="210">
      <c r="A210" s="27" t="inlineStr">
        <is>
          <t>鋅</t>
        </is>
      </c>
      <c r="B210" s="28" t="inlineStr">
        <is>
          <t>174</t>
        </is>
      </c>
      <c r="C210" s="27" t="inlineStr">
        <is>
          <t>mg/kg</t>
        </is>
      </c>
      <c r="D210" s="39" t="inlineStr">
        <is>
          <t>合成資料，非實測；method=XRF; basis=dry</t>
        </is>
      </c>
      <c r="E210" s="29">
        <f>IF(OR(I210="",I210=0),"",IF(INDEX(Samples[監測點],I210)="","",INDEX(Samples[監測點],I210)))</f>
        <v/>
      </c>
      <c r="F210" s="90">
        <f>IF(OR(I210="",I210=0),"",IF(INDEX(Samples[採樣日期],I210)="","",INDEX(Samples[採樣日期],I210)))</f>
        <v/>
      </c>
      <c r="G210" s="91">
        <f>IF(OR(M210="",M210="NA",M210="N/A"),"",IF(OR(M210="ND",M210="N.D."),0,IFERROR(IF(OR(OR(ISNUMBER(SEARCH("%",O210)),ISNUMBER(SEARCH(" ",O210)),ISNUMBER(SEARCH(",",O210))),OR(SUBSTITUTE(SUBSTITUTE(SUBSTITUTE(SUBSTITUTE(SUBSTITUTE(SUBSTITUTE(SUBSTITUTE(SUBSTITUTE(SUBSTITUTE(SUBSTITUTE(SUBSTITUTE(SUBSTITUTE(SUBSTITUTE(SUBSTITUTE(SUBSTITUTE(SUBSTITUTE(SUBSTITUTE(SUBSTITUTE("x"&amp;M210,"0",""),"1",""),"2",""),"3",""),"4",""),"5",""),"6",""),"7",""),"8",""),"9",""),".",""),"E",""),"+",""),"-",""),"&lt;",""),"&gt;",""),"=","")," ","")&lt;&gt;"x",ISNUMBER(SEARCH("-",SUBSTITUTE(SUBSTITUTE("x"&amp;MID(M210,2,99),"E-","E"),"E+","E"))),ISNUMBER(SEARCH("+",SUBSTITUTE(SUBSTITUTE("x"&amp;MID(M210,2,99),"E-","E"),"E+","E"))))),"",IF(AND(OR(LEFT(M210,1)="&lt;",LEFT(M210,1)="&gt;"),IF(O210="",0,IF(ISNUMBER(AH210),AH210,NA()))&lt;0),"",IF(O210="",0,IF(ISNUMBER(AH210),AH210,NA()))/IF(LEFT(M210,1)="&lt;",2,1))),"")))</f>
        <v/>
      </c>
      <c r="H210" s="57" t="inlineStr">
        <is>
          <t>BH05-S_20260115_03</t>
        </is>
      </c>
      <c r="I210" s="92">
        <f>IF(OR(H210="",AI210=0),0,IF(INDEX(Samples[樣品重複筆數],AI210)=1,AI210,0))</f>
        <v/>
      </c>
      <c r="J210" s="92">
        <f>IF(OR(COUNTA($A210:$D210)=0,I210=0),"",IF(INDEX(Samples[介質],I210)="","",INDEX(Samples[介質],I210)))</f>
        <v/>
      </c>
      <c r="K210" s="92">
        <f>IF(OR(COUNTA($A210:$D210)=0,T210=0),"",IF(INDEX(DB_04[標準單位],T210)="","",INDEX(DB_04[標準單位],T210)))</f>
        <v/>
      </c>
      <c r="L210" s="92">
        <f>IF(COUNTA($A210:$D210)=0,"",IF(OR(C210="",K210=""),"",IF(C210=K210,1,IF(COUNTIFS(DB_06[換算鍵],C210&amp;"|"&amp;K210,DB_06[換算檢查],"OK")=1,INDEX(DB_06[乘數],MATCH(C210&amp;"|"&amp;K210,DB_06[換算鍵],0)),""))))</f>
        <v/>
      </c>
      <c r="M210" s="92">
        <f>UPPER(SUBSTITUTE(SUBSTITUTE(SUBSTITUTE(SUBSTITUTE(TRIM(B210&amp;""),"＜","&lt;"),"＞","&gt;"),"≤","&lt;="),"≥","&gt;="))</f>
        <v/>
      </c>
      <c r="N210" s="92">
        <f>IF(M210="","",IF(OR(M210="ND",M210="N.D."),"ND",IF(OR(M210="NA",M210="N/A",M210="N.A."),"NA",IF(OR(LEFT(M210,2)="&lt;=",LEFT(M210,2)="&gt;="),LEFT(M210,2),IF(OR(LEFT(M210,1)="&lt;",LEFT(M210,1)="&gt;"),LEFT(M210,1),"數值")))))</f>
        <v/>
      </c>
      <c r="O210" s="92">
        <f>IF(OR(N210="",N210="ND",N210="NA"),"",IF(N210="數值",M210,TRIM(MID(M210,LEN(N210)+1,99))))</f>
        <v/>
      </c>
      <c r="P210" s="92">
        <f>IF(O210="","",IFERROR(IF(OR(OR(ISNUMBER(SEARCH("%",O210)),ISNUMBER(SEARCH(" ",O210)),ISNUMBER(SEARCH(",",O210))),OR(SUBSTITUTE(SUBSTITUTE(SUBSTITUTE(SUBSTITUTE(SUBSTITUTE(SUBSTITUTE(SUBSTITUTE(SUBSTITUTE(SUBSTITUTE(SUBSTITUTE(SUBSTITUTE(SUBSTITUTE(SUBSTITUTE(SUBSTITUTE(SUBSTITUTE(SUBSTITUTE(SUBSTITUTE(SUBSTITUTE("x"&amp;O210,"0",""),"1",""),"2",""),"3",""),"4",""),"5",""),"6",""),"7",""),"8",""),"9",""),".",""),"E",""),"+",""),"-",""),"&lt;",""),"&gt;",""),"=","")," ","")&lt;&gt;"x",ISNUMBER(SEARCH("-",SUBSTITUTE(SUBSTITUTE("x"&amp;MID(O210,2,99),"E-","E"),"E+","E"))),ISNUMBER(SEARCH("+",SUBSTITUTE(SUBSTITUTE("x"&amp;MID(O210,2,99),"E-","E"),"E+","E"))))),"",IF(ISNUMBER(AH210),AH210,NA())),""))</f>
        <v/>
      </c>
      <c r="Q210" s="92">
        <f>IF(AND(ISNUMBER(L210),ISNUMBER(P210)),L210*P210,"")</f>
        <v/>
      </c>
      <c r="R210" s="92">
        <f>IF(OR(COUNTA($A210:$D210)=0,U210=0),"",IF(INDEX(DB_05[管制設定值],U210)="","",INDEX(DB_05[管制設定值],U210)))</f>
        <v/>
      </c>
      <c r="S210" s="92">
        <f>IF(OR(COUNTA($A210:$D210)=0,U210=0),"",IF(INDEX(DB_05[監測設定值],U210)="","",INDEX(DB_05[監測設定值],U210)))</f>
        <v/>
      </c>
      <c r="T210" s="92">
        <f>IF(COUNTA($A210:$D210)=0,"",IF(COUNTIFS(DB_04[測項鍵],V210)=1,MATCH(V210,DB_04[測項鍵],0),0))</f>
        <v/>
      </c>
      <c r="U210" s="92">
        <f>IF(COUNTA($A210:$D210)=0,"",IF(COUNTIFS(DB_05[標準鍵],W210)=1,MATCH(W210,DB_05[標準鍵],0),0))</f>
        <v/>
      </c>
      <c r="V210" s="92">
        <f>IF(OR(J210="",A210=""),"",J210&amp;"|"&amp;A210)</f>
        <v/>
      </c>
      <c r="W210" s="92">
        <f>IF(OR('07_QAQC'!$C$3="",V210=""),"",'07_QAQC'!$C$3&amp;"|"&amp;V210)</f>
        <v/>
      </c>
      <c r="X210" s="92">
        <f>IF(OR(H210="",A210=""),"",LEN(H210)&amp;":"&amp;H210&amp;LEN(A210)&amp;":"&amp;A210)</f>
        <v/>
      </c>
      <c r="Y210" s="93">
        <f>IF(COUNTA($A210:$D210)=0,"",IF(I210=0,"樣品未建或重複",IF(INDEX(Samples[樣品檢查],I210)="","OK",INDEX(Samples[樣品檢查],I210))))</f>
        <v/>
      </c>
      <c r="Z210" s="93">
        <f>IF(COUNTA($A210:$D210)=0,"",IF(B210="","缺原始值",IF(OR(B210="-",B210="--"),"無資料",IF(N210="NA","不適用",IF(N210="ND","OK",IF(NOT(ISNUMBER(P210)),"格式待核",IF(AND(N210&lt;&gt;"數值",P210&lt;0),"界限不得為負","OK")))))))</f>
        <v/>
      </c>
      <c r="AA210" s="93">
        <f>IF(COUNTA(A210:D210)=0,"",IF(OR(A210="",H210=""),"缺識別欄位",IF(IF(LEN("="&amp;SUBSTITUTE(SUBSTITUTE(SUBSTITUTE(X210,"~","~~"),"*","~*"),"?","~?"))&lt;=255,COUNTIF(Results[結果識別鍵],"="&amp;SUBSTITUTE(SUBSTITUTE(SUBSTITUTE(X210,"~","~~"),"*","~*"),"?","~?")),COUNTIFS(Results[關聯鍵],"="&amp;SUBSTITUTE(SUBSTITUTE(SUBSTITUTE(H210,"~","~~"),"*","~*"),"?","~?"),Results[分析項目],"="&amp;SUBSTITUTE(SUBSTITUTE(SUBSTITUTE(A210,"~","~~"),"*","~*"),"?","~?")))&gt;1,"同關聯鍵測項重複","OK")))</f>
        <v/>
      </c>
      <c r="AB210" s="93">
        <f>IF(COUNTA($A210:$D210)=0,"",IF(OR(C210="",K210=""),"缺單位",IF(NOT(ISNUMBER(L210)),"單位不相容",IF(L210=1,"OK","已換算"))))</f>
        <v/>
      </c>
      <c r="AC210" s="93">
        <f>IF(COUNTA($A210:$D210)=0,"",IF('07_QAQC'!$C$3="","未選比較版本",IF(U210=0,IF(COUNTIFS(DB_05[標準鍵],W210)&gt;1,"標準鍵重複","未訂此介質／測項門檻"),IF(INDEX(DB_05[版本檢查],U210)&lt;&gt;"OK","標準主檔待核",IF(INDEX(DB_05[標準單位],U210)&lt;&gt;K210,"標準單位不符",IF(INDEX(DB_05[核對狀態],U210)="停用","停用",IF(F210="","缺採樣日期",IF(OR(AND(INDEX(DB_05[生效日],U210)&lt;&gt;"",F210&lt;INDEX(DB_05[生效日],U210)),AND(INDEX(DB_05[失效日],U210)&lt;&gt;"",F210&gt;INDEX(DB_05[失效日],U210))),"日期不適用",INDEX(DB_05[核對狀態],U210)))))))))</f>
        <v/>
      </c>
      <c r="AD210" s="93">
        <f>IF(COUNTA($A210:$D210)=0,"",IF(AC210="未訂此介質／測項門檻",AC210,IF(AC210&lt;&gt;"已核對","標準待核",IF(R210="","未訂管制值",IF(NOT(ISNUMBER(L210)),"單位待核",IF(N210="ND","無法判定（ND無界限）",IF(N210="NA","不適用",IF(Z210&lt;&gt;"OK",Z210,IF(N210="數值",IF(Q210&gt;=R210,"達管制值","未達管制值"),IF(OR(N210="&lt;",N210="&lt;="),IF(OR(Q210&lt;R210,AND(N210="&lt;",Q210=R210)),"未達管制值","無法判定"),IF(OR(N210="&gt;",N210="&gt;="),IF(Q210&gt;=R210,"達管制值","無法判定"),"格式待核")))))))))))</f>
        <v/>
      </c>
      <c r="AE210" s="93">
        <f>IF(COUNTA($A210:$D210)=0,"",IF(AC210="未訂此介質／測項門檻",AC210,IF(AC210&lt;&gt;"已核對","標準待核",IF(S210="","未訂監測值",IF(NOT(ISNUMBER(L210)),"單位待核",IF(N210="ND","無法判定（ND無界限）",IF(N210="NA","不適用",IF(Z210&lt;&gt;"OK",Z210,IF(N210="數值",IF(Q210&gt;=S210,"達監測值","未達監測值"),IF(OR(N210="&lt;",N210="&lt;="),IF(OR(Q210&lt;S210,AND(N210="&lt;",Q210=S210)),"未達監測值","無法判定"),IF(OR(N210="&gt;",N210="&gt;="),IF(Q210&gt;=S210,"達監測值","無法判定"),"格式待核")))))))))))</f>
        <v/>
      </c>
      <c r="AF210" s="93">
        <f>IF(COUNTA($A210:$D210)=0,"",IF(OR(E210="",A210="",B210="",C210=""),"缺必要欄位",IF(Y210&lt;&gt;"OK","樣品資料待補",IF(T210=0,"測項未建或重複",IF(INDEX(DB_04[啟用],T210)&lt;&gt;"是","測項停用",IF(AND(Z210&lt;&gt;"OK",Z210&lt;&gt;"不適用"),Z210,IF(AND(AB210&lt;&gt;"OK",AB210&lt;&gt;"已換算"),"單位待核",IF(AA210&lt;&gt;"OK",AA210,"OK"))))))))</f>
        <v/>
      </c>
      <c r="AG210" s="93">
        <f>IF(COUNTA($A210:$D210)=0,"",IF(N210="ND","ND取0",IF(OR(N210="&lt;",N210="&lt;="),"界限除以2",IF(N210="NA","不適用",IF(OR(N210="&gt;",N210="&gt;="),"保留界限數值","保留原數值")))))</f>
        <v/>
      </c>
      <c r="AH210" s="92">
        <f>IF(O210="","",IFERROR(_xlfn.NUMBERVALUE(O210,".",","),""))</f>
        <v/>
      </c>
      <c r="AI210" s="92">
        <f>IF(H210="","",IFERROR(MATCH(H210,Samples[樣品編號],0),0))</f>
        <v/>
      </c>
    </row>
    <row r="211">
      <c r="A211" s="27" t="inlineStr">
        <is>
          <t>總有機碳</t>
        </is>
      </c>
      <c r="B211" s="28" t="inlineStr">
        <is>
          <t>0.56</t>
        </is>
      </c>
      <c r="C211" s="27" t="inlineStr">
        <is>
          <t>%</t>
        </is>
      </c>
      <c r="D211" s="39" t="inlineStr">
        <is>
          <t>合成資料，非實測；method=lab; basis=dry</t>
        </is>
      </c>
      <c r="E211" s="29">
        <f>IF(OR(I211="",I211=0),"",IF(INDEX(Samples[監測點],I211)="","",INDEX(Samples[監測點],I211)))</f>
        <v/>
      </c>
      <c r="F211" s="90">
        <f>IF(OR(I211="",I211=0),"",IF(INDEX(Samples[採樣日期],I211)="","",INDEX(Samples[採樣日期],I211)))</f>
        <v/>
      </c>
      <c r="G211" s="91">
        <f>IF(OR(M211="",M211="NA",M211="N/A"),"",IF(OR(M211="ND",M211="N.D."),0,IFERROR(IF(OR(OR(ISNUMBER(SEARCH("%",O211)),ISNUMBER(SEARCH(" ",O211)),ISNUMBER(SEARCH(",",O211))),OR(SUBSTITUTE(SUBSTITUTE(SUBSTITUTE(SUBSTITUTE(SUBSTITUTE(SUBSTITUTE(SUBSTITUTE(SUBSTITUTE(SUBSTITUTE(SUBSTITUTE(SUBSTITUTE(SUBSTITUTE(SUBSTITUTE(SUBSTITUTE(SUBSTITUTE(SUBSTITUTE(SUBSTITUTE(SUBSTITUTE("x"&amp;M211,"0",""),"1",""),"2",""),"3",""),"4",""),"5",""),"6",""),"7",""),"8",""),"9",""),".",""),"E",""),"+",""),"-",""),"&lt;",""),"&gt;",""),"=","")," ","")&lt;&gt;"x",ISNUMBER(SEARCH("-",SUBSTITUTE(SUBSTITUTE("x"&amp;MID(M211,2,99),"E-","E"),"E+","E"))),ISNUMBER(SEARCH("+",SUBSTITUTE(SUBSTITUTE("x"&amp;MID(M211,2,99),"E-","E"),"E+","E"))))),"",IF(AND(OR(LEFT(M211,1)="&lt;",LEFT(M211,1)="&gt;"),IF(O211="",0,IF(ISNUMBER(AH211),AH211,NA()))&lt;0),"",IF(O211="",0,IF(ISNUMBER(AH211),AH211,NA()))/IF(LEFT(M211,1)="&lt;",2,1))),"")))</f>
        <v/>
      </c>
      <c r="H211" s="57" t="inlineStr">
        <is>
          <t>BH05-S_20260115_03</t>
        </is>
      </c>
      <c r="I211" s="92">
        <f>IF(OR(H211="",AI211=0),0,IF(INDEX(Samples[樣品重複筆數],AI211)=1,AI211,0))</f>
        <v/>
      </c>
      <c r="J211" s="92">
        <f>IF(OR(COUNTA($A211:$D211)=0,I211=0),"",IF(INDEX(Samples[介質],I211)="","",INDEX(Samples[介質],I211)))</f>
        <v/>
      </c>
      <c r="K211" s="92">
        <f>IF(OR(COUNTA($A211:$D211)=0,T211=0),"",IF(INDEX(DB_04[標準單位],T211)="","",INDEX(DB_04[標準單位],T211)))</f>
        <v/>
      </c>
      <c r="L211" s="92">
        <f>IF(COUNTA($A211:$D211)=0,"",IF(OR(C211="",K211=""),"",IF(C211=K211,1,IF(COUNTIFS(DB_06[換算鍵],C211&amp;"|"&amp;K211,DB_06[換算檢查],"OK")=1,INDEX(DB_06[乘數],MATCH(C211&amp;"|"&amp;K211,DB_06[換算鍵],0)),""))))</f>
        <v/>
      </c>
      <c r="M211" s="92">
        <f>UPPER(SUBSTITUTE(SUBSTITUTE(SUBSTITUTE(SUBSTITUTE(TRIM(B211&amp;""),"＜","&lt;"),"＞","&gt;"),"≤","&lt;="),"≥","&gt;="))</f>
        <v/>
      </c>
      <c r="N211" s="92">
        <f>IF(M211="","",IF(OR(M211="ND",M211="N.D."),"ND",IF(OR(M211="NA",M211="N/A",M211="N.A."),"NA",IF(OR(LEFT(M211,2)="&lt;=",LEFT(M211,2)="&gt;="),LEFT(M211,2),IF(OR(LEFT(M211,1)="&lt;",LEFT(M211,1)="&gt;"),LEFT(M211,1),"數值")))))</f>
        <v/>
      </c>
      <c r="O211" s="92">
        <f>IF(OR(N211="",N211="ND",N211="NA"),"",IF(N211="數值",M211,TRIM(MID(M211,LEN(N211)+1,99))))</f>
        <v/>
      </c>
      <c r="P211" s="92">
        <f>IF(O211="","",IFERROR(IF(OR(OR(ISNUMBER(SEARCH("%",O211)),ISNUMBER(SEARCH(" ",O211)),ISNUMBER(SEARCH(",",O211))),OR(SUBSTITUTE(SUBSTITUTE(SUBSTITUTE(SUBSTITUTE(SUBSTITUTE(SUBSTITUTE(SUBSTITUTE(SUBSTITUTE(SUBSTITUTE(SUBSTITUTE(SUBSTITUTE(SUBSTITUTE(SUBSTITUTE(SUBSTITUTE(SUBSTITUTE(SUBSTITUTE(SUBSTITUTE(SUBSTITUTE("x"&amp;O211,"0",""),"1",""),"2",""),"3",""),"4",""),"5",""),"6",""),"7",""),"8",""),"9",""),".",""),"E",""),"+",""),"-",""),"&lt;",""),"&gt;",""),"=","")," ","")&lt;&gt;"x",ISNUMBER(SEARCH("-",SUBSTITUTE(SUBSTITUTE("x"&amp;MID(O211,2,99),"E-","E"),"E+","E"))),ISNUMBER(SEARCH("+",SUBSTITUTE(SUBSTITUTE("x"&amp;MID(O211,2,99),"E-","E"),"E+","E"))))),"",IF(ISNUMBER(AH211),AH211,NA())),""))</f>
        <v/>
      </c>
      <c r="Q211" s="92">
        <f>IF(AND(ISNUMBER(L211),ISNUMBER(P211)),L211*P211,"")</f>
        <v/>
      </c>
      <c r="R211" s="92">
        <f>IF(OR(COUNTA($A211:$D211)=0,U211=0),"",IF(INDEX(DB_05[管制設定值],U211)="","",INDEX(DB_05[管制設定值],U211)))</f>
        <v/>
      </c>
      <c r="S211" s="92">
        <f>IF(OR(COUNTA($A211:$D211)=0,U211=0),"",IF(INDEX(DB_05[監測設定值],U211)="","",INDEX(DB_05[監測設定值],U211)))</f>
        <v/>
      </c>
      <c r="T211" s="92">
        <f>IF(COUNTA($A211:$D211)=0,"",IF(COUNTIFS(DB_04[測項鍵],V211)=1,MATCH(V211,DB_04[測項鍵],0),0))</f>
        <v/>
      </c>
      <c r="U211" s="92">
        <f>IF(COUNTA($A211:$D211)=0,"",IF(COUNTIFS(DB_05[標準鍵],W211)=1,MATCH(W211,DB_05[標準鍵],0),0))</f>
        <v/>
      </c>
      <c r="V211" s="92">
        <f>IF(OR(J211="",A211=""),"",J211&amp;"|"&amp;A211)</f>
        <v/>
      </c>
      <c r="W211" s="92">
        <f>IF(OR('07_QAQC'!$C$3="",V211=""),"",'07_QAQC'!$C$3&amp;"|"&amp;V211)</f>
        <v/>
      </c>
      <c r="X211" s="92">
        <f>IF(OR(H211="",A211=""),"",LEN(H211)&amp;":"&amp;H211&amp;LEN(A211)&amp;":"&amp;A211)</f>
        <v/>
      </c>
      <c r="Y211" s="93">
        <f>IF(COUNTA($A211:$D211)=0,"",IF(I211=0,"樣品未建或重複",IF(INDEX(Samples[樣品檢查],I211)="","OK",INDEX(Samples[樣品檢查],I211))))</f>
        <v/>
      </c>
      <c r="Z211" s="93">
        <f>IF(COUNTA($A211:$D211)=0,"",IF(B211="","缺原始值",IF(OR(B211="-",B211="--"),"無資料",IF(N211="NA","不適用",IF(N211="ND","OK",IF(NOT(ISNUMBER(P211)),"格式待核",IF(AND(N211&lt;&gt;"數值",P211&lt;0),"界限不得為負","OK")))))))</f>
        <v/>
      </c>
      <c r="AA211" s="93">
        <f>IF(COUNTA(A211:D211)=0,"",IF(OR(A211="",H211=""),"缺識別欄位",IF(IF(LEN("="&amp;SUBSTITUTE(SUBSTITUTE(SUBSTITUTE(X211,"~","~~"),"*","~*"),"?","~?"))&lt;=255,COUNTIF(Results[結果識別鍵],"="&amp;SUBSTITUTE(SUBSTITUTE(SUBSTITUTE(X211,"~","~~"),"*","~*"),"?","~?")),COUNTIFS(Results[關聯鍵],"="&amp;SUBSTITUTE(SUBSTITUTE(SUBSTITUTE(H211,"~","~~"),"*","~*"),"?","~?"),Results[分析項目],"="&amp;SUBSTITUTE(SUBSTITUTE(SUBSTITUTE(A211,"~","~~"),"*","~*"),"?","~?")))&gt;1,"同關聯鍵測項重複","OK")))</f>
        <v/>
      </c>
      <c r="AB211" s="93">
        <f>IF(COUNTA($A211:$D211)=0,"",IF(OR(C211="",K211=""),"缺單位",IF(NOT(ISNUMBER(L211)),"單位不相容",IF(L211=1,"OK","已換算"))))</f>
        <v/>
      </c>
      <c r="AC211" s="93">
        <f>IF(COUNTA($A211:$D211)=0,"",IF('07_QAQC'!$C$3="","未選比較版本",IF(U211=0,IF(COUNTIFS(DB_05[標準鍵],W211)&gt;1,"標準鍵重複","未訂此介質／測項門檻"),IF(INDEX(DB_05[版本檢查],U211)&lt;&gt;"OK","標準主檔待核",IF(INDEX(DB_05[標準單位],U211)&lt;&gt;K211,"標準單位不符",IF(INDEX(DB_05[核對狀態],U211)="停用","停用",IF(F211="","缺採樣日期",IF(OR(AND(INDEX(DB_05[生效日],U211)&lt;&gt;"",F211&lt;INDEX(DB_05[生效日],U211)),AND(INDEX(DB_05[失效日],U211)&lt;&gt;"",F211&gt;INDEX(DB_05[失效日],U211))),"日期不適用",INDEX(DB_05[核對狀態],U211)))))))))</f>
        <v/>
      </c>
      <c r="AD211" s="93">
        <f>IF(COUNTA($A211:$D211)=0,"",IF(AC211="未訂此介質／測項門檻",AC211,IF(AC211&lt;&gt;"已核對","標準待核",IF(R211="","未訂管制值",IF(NOT(ISNUMBER(L211)),"單位待核",IF(N211="ND","無法判定（ND無界限）",IF(N211="NA","不適用",IF(Z211&lt;&gt;"OK",Z211,IF(N211="數值",IF(Q211&gt;=R211,"達管制值","未達管制值"),IF(OR(N211="&lt;",N211="&lt;="),IF(OR(Q211&lt;R211,AND(N211="&lt;",Q211=R211)),"未達管制值","無法判定"),IF(OR(N211="&gt;",N211="&gt;="),IF(Q211&gt;=R211,"達管制值","無法判定"),"格式待核")))))))))))</f>
        <v/>
      </c>
      <c r="AE211" s="93">
        <f>IF(COUNTA($A211:$D211)=0,"",IF(AC211="未訂此介質／測項門檻",AC211,IF(AC211&lt;&gt;"已核對","標準待核",IF(S211="","未訂監測值",IF(NOT(ISNUMBER(L211)),"單位待核",IF(N211="ND","無法判定（ND無界限）",IF(N211="NA","不適用",IF(Z211&lt;&gt;"OK",Z211,IF(N211="數值",IF(Q211&gt;=S211,"達監測值","未達監測值"),IF(OR(N211="&lt;",N211="&lt;="),IF(OR(Q211&lt;S211,AND(N211="&lt;",Q211=S211)),"未達監測值","無法判定"),IF(OR(N211="&gt;",N211="&gt;="),IF(Q211&gt;=S211,"達監測值","無法判定"),"格式待核")))))))))))</f>
        <v/>
      </c>
      <c r="AF211" s="93">
        <f>IF(COUNTA($A211:$D211)=0,"",IF(OR(E211="",A211="",B211="",C211=""),"缺必要欄位",IF(Y211&lt;&gt;"OK","樣品資料待補",IF(T211=0,"測項未建或重複",IF(INDEX(DB_04[啟用],T211)&lt;&gt;"是","測項停用",IF(AND(Z211&lt;&gt;"OK",Z211&lt;&gt;"不適用"),Z211,IF(AND(AB211&lt;&gt;"OK",AB211&lt;&gt;"已換算"),"單位待核",IF(AA211&lt;&gt;"OK",AA211,"OK"))))))))</f>
        <v/>
      </c>
      <c r="AG211" s="93">
        <f>IF(COUNTA($A211:$D211)=0,"",IF(N211="ND","ND取0",IF(OR(N211="&lt;",N211="&lt;="),"界限除以2",IF(N211="NA","不適用",IF(OR(N211="&gt;",N211="&gt;="),"保留界限數值","保留原數值")))))</f>
        <v/>
      </c>
      <c r="AH211" s="92">
        <f>IF(O211="","",IFERROR(_xlfn.NUMBERVALUE(O211,".",","),""))</f>
        <v/>
      </c>
      <c r="AI211" s="92">
        <f>IF(H211="","",IFERROR(MATCH(H211,Samples[樣品編號],0),0))</f>
        <v/>
      </c>
    </row>
    <row r="212">
      <c r="A212" s="27" t="inlineStr">
        <is>
          <t>pH</t>
        </is>
      </c>
      <c r="B212" s="28" t="inlineStr">
        <is>
          <t>6.93</t>
        </is>
      </c>
      <c r="C212" s="27" t="inlineStr">
        <is>
          <t>無因次</t>
        </is>
      </c>
      <c r="D212" s="39" t="inlineStr">
        <is>
          <t>合成資料，非實測；method=field</t>
        </is>
      </c>
      <c r="E212" s="29">
        <f>IF(OR(I212="",I212=0),"",IF(INDEX(Samples[監測點],I212)="","",INDEX(Samples[監測點],I212)))</f>
        <v/>
      </c>
      <c r="F212" s="90">
        <f>IF(OR(I212="",I212=0),"",IF(INDEX(Samples[採樣日期],I212)="","",INDEX(Samples[採樣日期],I212)))</f>
        <v/>
      </c>
      <c r="G212" s="91">
        <f>IF(OR(M212="",M212="NA",M212="N/A"),"",IF(OR(M212="ND",M212="N.D."),0,IFERROR(IF(OR(OR(ISNUMBER(SEARCH("%",O212)),ISNUMBER(SEARCH(" ",O212)),ISNUMBER(SEARCH(",",O212))),OR(SUBSTITUTE(SUBSTITUTE(SUBSTITUTE(SUBSTITUTE(SUBSTITUTE(SUBSTITUTE(SUBSTITUTE(SUBSTITUTE(SUBSTITUTE(SUBSTITUTE(SUBSTITUTE(SUBSTITUTE(SUBSTITUTE(SUBSTITUTE(SUBSTITUTE(SUBSTITUTE(SUBSTITUTE(SUBSTITUTE("x"&amp;M212,"0",""),"1",""),"2",""),"3",""),"4",""),"5",""),"6",""),"7",""),"8",""),"9",""),".",""),"E",""),"+",""),"-",""),"&lt;",""),"&gt;",""),"=","")," ","")&lt;&gt;"x",ISNUMBER(SEARCH("-",SUBSTITUTE(SUBSTITUTE("x"&amp;MID(M212,2,99),"E-","E"),"E+","E"))),ISNUMBER(SEARCH("+",SUBSTITUTE(SUBSTITUTE("x"&amp;MID(M212,2,99),"E-","E"),"E+","E"))))),"",IF(AND(OR(LEFT(M212,1)="&lt;",LEFT(M212,1)="&gt;"),IF(O212="",0,IF(ISNUMBER(AH212),AH212,NA()))&lt;0),"",IF(O212="",0,IF(ISNUMBER(AH212),AH212,NA()))/IF(LEFT(M212,1)="&lt;",2,1))),"")))</f>
        <v/>
      </c>
      <c r="H212" s="57" t="inlineStr">
        <is>
          <t>BH05-W_20260115_03</t>
        </is>
      </c>
      <c r="I212" s="92">
        <f>IF(OR(H212="",AI212=0),0,IF(INDEX(Samples[樣品重複筆數],AI212)=1,AI212,0))</f>
        <v/>
      </c>
      <c r="J212" s="92">
        <f>IF(OR(COUNTA($A212:$D212)=0,I212=0),"",IF(INDEX(Samples[介質],I212)="","",INDEX(Samples[介質],I212)))</f>
        <v/>
      </c>
      <c r="K212" s="92">
        <f>IF(OR(COUNTA($A212:$D212)=0,T212=0),"",IF(INDEX(DB_04[標準單位],T212)="","",INDEX(DB_04[標準單位],T212)))</f>
        <v/>
      </c>
      <c r="L212" s="92">
        <f>IF(COUNTA($A212:$D212)=0,"",IF(OR(C212="",K212=""),"",IF(C212=K212,1,IF(COUNTIFS(DB_06[換算鍵],C212&amp;"|"&amp;K212,DB_06[換算檢查],"OK")=1,INDEX(DB_06[乘數],MATCH(C212&amp;"|"&amp;K212,DB_06[換算鍵],0)),""))))</f>
        <v/>
      </c>
      <c r="M212" s="92">
        <f>UPPER(SUBSTITUTE(SUBSTITUTE(SUBSTITUTE(SUBSTITUTE(TRIM(B212&amp;""),"＜","&lt;"),"＞","&gt;"),"≤","&lt;="),"≥","&gt;="))</f>
        <v/>
      </c>
      <c r="N212" s="92">
        <f>IF(M212="","",IF(OR(M212="ND",M212="N.D."),"ND",IF(OR(M212="NA",M212="N/A",M212="N.A."),"NA",IF(OR(LEFT(M212,2)="&lt;=",LEFT(M212,2)="&gt;="),LEFT(M212,2),IF(OR(LEFT(M212,1)="&lt;",LEFT(M212,1)="&gt;"),LEFT(M212,1),"數值")))))</f>
        <v/>
      </c>
      <c r="O212" s="92">
        <f>IF(OR(N212="",N212="ND",N212="NA"),"",IF(N212="數值",M212,TRIM(MID(M212,LEN(N212)+1,99))))</f>
        <v/>
      </c>
      <c r="P212" s="92">
        <f>IF(O212="","",IFERROR(IF(OR(OR(ISNUMBER(SEARCH("%",O212)),ISNUMBER(SEARCH(" ",O212)),ISNUMBER(SEARCH(",",O212))),OR(SUBSTITUTE(SUBSTITUTE(SUBSTITUTE(SUBSTITUTE(SUBSTITUTE(SUBSTITUTE(SUBSTITUTE(SUBSTITUTE(SUBSTITUTE(SUBSTITUTE(SUBSTITUTE(SUBSTITUTE(SUBSTITUTE(SUBSTITUTE(SUBSTITUTE(SUBSTITUTE(SUBSTITUTE(SUBSTITUTE("x"&amp;O212,"0",""),"1",""),"2",""),"3",""),"4",""),"5",""),"6",""),"7",""),"8",""),"9",""),".",""),"E",""),"+",""),"-",""),"&lt;",""),"&gt;",""),"=","")," ","")&lt;&gt;"x",ISNUMBER(SEARCH("-",SUBSTITUTE(SUBSTITUTE("x"&amp;MID(O212,2,99),"E-","E"),"E+","E"))),ISNUMBER(SEARCH("+",SUBSTITUTE(SUBSTITUTE("x"&amp;MID(O212,2,99),"E-","E"),"E+","E"))))),"",IF(ISNUMBER(AH212),AH212,NA())),""))</f>
        <v/>
      </c>
      <c r="Q212" s="92">
        <f>IF(AND(ISNUMBER(L212),ISNUMBER(P212)),L212*P212,"")</f>
        <v/>
      </c>
      <c r="R212" s="92">
        <f>IF(OR(COUNTA($A212:$D212)=0,U212=0),"",IF(INDEX(DB_05[管制設定值],U212)="","",INDEX(DB_05[管制設定值],U212)))</f>
        <v/>
      </c>
      <c r="S212" s="92">
        <f>IF(OR(COUNTA($A212:$D212)=0,U212=0),"",IF(INDEX(DB_05[監測設定值],U212)="","",INDEX(DB_05[監測設定值],U212)))</f>
        <v/>
      </c>
      <c r="T212" s="92">
        <f>IF(COUNTA($A212:$D212)=0,"",IF(COUNTIFS(DB_04[測項鍵],V212)=1,MATCH(V212,DB_04[測項鍵],0),0))</f>
        <v/>
      </c>
      <c r="U212" s="92">
        <f>IF(COUNTA($A212:$D212)=0,"",IF(COUNTIFS(DB_05[標準鍵],W212)=1,MATCH(W212,DB_05[標準鍵],0),0))</f>
        <v/>
      </c>
      <c r="V212" s="92">
        <f>IF(OR(J212="",A212=""),"",J212&amp;"|"&amp;A212)</f>
        <v/>
      </c>
      <c r="W212" s="92">
        <f>IF(OR('07_QAQC'!$C$3="",V212=""),"",'07_QAQC'!$C$3&amp;"|"&amp;V212)</f>
        <v/>
      </c>
      <c r="X212" s="92">
        <f>IF(OR(H212="",A212=""),"",LEN(H212)&amp;":"&amp;H212&amp;LEN(A212)&amp;":"&amp;A212)</f>
        <v/>
      </c>
      <c r="Y212" s="93">
        <f>IF(COUNTA($A212:$D212)=0,"",IF(I212=0,"樣品未建或重複",IF(INDEX(Samples[樣品檢查],I212)="","OK",INDEX(Samples[樣品檢查],I212))))</f>
        <v/>
      </c>
      <c r="Z212" s="93">
        <f>IF(COUNTA($A212:$D212)=0,"",IF(B212="","缺原始值",IF(OR(B212="-",B212="--"),"無資料",IF(N212="NA","不適用",IF(N212="ND","OK",IF(NOT(ISNUMBER(P212)),"格式待核",IF(AND(N212&lt;&gt;"數值",P212&lt;0),"界限不得為負","OK")))))))</f>
        <v/>
      </c>
      <c r="AA212" s="93">
        <f>IF(COUNTA(A212:D212)=0,"",IF(OR(A212="",H212=""),"缺識別欄位",IF(IF(LEN("="&amp;SUBSTITUTE(SUBSTITUTE(SUBSTITUTE(X212,"~","~~"),"*","~*"),"?","~?"))&lt;=255,COUNTIF(Results[結果識別鍵],"="&amp;SUBSTITUTE(SUBSTITUTE(SUBSTITUTE(X212,"~","~~"),"*","~*"),"?","~?")),COUNTIFS(Results[關聯鍵],"="&amp;SUBSTITUTE(SUBSTITUTE(SUBSTITUTE(H212,"~","~~"),"*","~*"),"?","~?"),Results[分析項目],"="&amp;SUBSTITUTE(SUBSTITUTE(SUBSTITUTE(A212,"~","~~"),"*","~*"),"?","~?")))&gt;1,"同關聯鍵測項重複","OK")))</f>
        <v/>
      </c>
      <c r="AB212" s="93">
        <f>IF(COUNTA($A212:$D212)=0,"",IF(OR(C212="",K212=""),"缺單位",IF(NOT(ISNUMBER(L212)),"單位不相容",IF(L212=1,"OK","已換算"))))</f>
        <v/>
      </c>
      <c r="AC212" s="93">
        <f>IF(COUNTA($A212:$D212)=0,"",IF('07_QAQC'!$C$3="","未選比較版本",IF(U212=0,IF(COUNTIFS(DB_05[標準鍵],W212)&gt;1,"標準鍵重複","未訂此介質／測項門檻"),IF(INDEX(DB_05[版本檢查],U212)&lt;&gt;"OK","標準主檔待核",IF(INDEX(DB_05[標準單位],U212)&lt;&gt;K212,"標準單位不符",IF(INDEX(DB_05[核對狀態],U212)="停用","停用",IF(F212="","缺採樣日期",IF(OR(AND(INDEX(DB_05[生效日],U212)&lt;&gt;"",F212&lt;INDEX(DB_05[生效日],U212)),AND(INDEX(DB_05[失效日],U212)&lt;&gt;"",F212&gt;INDEX(DB_05[失效日],U212))),"日期不適用",INDEX(DB_05[核對狀態],U212)))))))))</f>
        <v/>
      </c>
      <c r="AD212" s="93">
        <f>IF(COUNTA($A212:$D212)=0,"",IF(AC212="未訂此介質／測項門檻",AC212,IF(AC212&lt;&gt;"已核對","標準待核",IF(R212="","未訂管制值",IF(NOT(ISNUMBER(L212)),"單位待核",IF(N212="ND","無法判定（ND無界限）",IF(N212="NA","不適用",IF(Z212&lt;&gt;"OK",Z212,IF(N212="數值",IF(Q212&gt;=R212,"達管制值","未達管制值"),IF(OR(N212="&lt;",N212="&lt;="),IF(OR(Q212&lt;R212,AND(N212="&lt;",Q212=R212)),"未達管制值","無法判定"),IF(OR(N212="&gt;",N212="&gt;="),IF(Q212&gt;=R212,"達管制值","無法判定"),"格式待核")))))))))))</f>
        <v/>
      </c>
      <c r="AE212" s="93">
        <f>IF(COUNTA($A212:$D212)=0,"",IF(AC212="未訂此介質／測項門檻",AC212,IF(AC212&lt;&gt;"已核對","標準待核",IF(S212="","未訂監測值",IF(NOT(ISNUMBER(L212)),"單位待核",IF(N212="ND","無法判定（ND無界限）",IF(N212="NA","不適用",IF(Z212&lt;&gt;"OK",Z212,IF(N212="數值",IF(Q212&gt;=S212,"達監測值","未達監測值"),IF(OR(N212="&lt;",N212="&lt;="),IF(OR(Q212&lt;S212,AND(N212="&lt;",Q212=S212)),"未達監測值","無法判定"),IF(OR(N212="&gt;",N212="&gt;="),IF(Q212&gt;=S212,"達監測值","無法判定"),"格式待核")))))))))))</f>
        <v/>
      </c>
      <c r="AF212" s="93">
        <f>IF(COUNTA($A212:$D212)=0,"",IF(OR(E212="",A212="",B212="",C212=""),"缺必要欄位",IF(Y212&lt;&gt;"OK","樣品資料待補",IF(T212=0,"測項未建或重複",IF(INDEX(DB_04[啟用],T212)&lt;&gt;"是","測項停用",IF(AND(Z212&lt;&gt;"OK",Z212&lt;&gt;"不適用"),Z212,IF(AND(AB212&lt;&gt;"OK",AB212&lt;&gt;"已換算"),"單位待核",IF(AA212&lt;&gt;"OK",AA212,"OK"))))))))</f>
        <v/>
      </c>
      <c r="AG212" s="93">
        <f>IF(COUNTA($A212:$D212)=0,"",IF(N212="ND","ND取0",IF(OR(N212="&lt;",N212="&lt;="),"界限除以2",IF(N212="NA","不適用",IF(OR(N212="&gt;",N212="&gt;="),"保留界限數值","保留原數值")))))</f>
        <v/>
      </c>
      <c r="AH212" s="92">
        <f>IF(O212="","",IFERROR(_xlfn.NUMBERVALUE(O212,".",","),""))</f>
        <v/>
      </c>
      <c r="AI212" s="92">
        <f>IF(H212="","",IFERROR(MATCH(H212,Samples[樣品編號],0),0))</f>
        <v/>
      </c>
    </row>
    <row r="213">
      <c r="A213" s="27" t="inlineStr">
        <is>
          <t>EC</t>
        </is>
      </c>
      <c r="B213" s="28" t="inlineStr">
        <is>
          <t>0.75</t>
        </is>
      </c>
      <c r="C213" s="27" t="inlineStr">
        <is>
          <t>mS/cm</t>
        </is>
      </c>
      <c r="D213" s="39" t="inlineStr">
        <is>
          <t>合成資料，非實測；method=field; temperature=25; temperature_compensated=25C; reference_temperature=25</t>
        </is>
      </c>
      <c r="E213" s="29">
        <f>IF(OR(I213="",I213=0),"",IF(INDEX(Samples[監測點],I213)="","",INDEX(Samples[監測點],I213)))</f>
        <v/>
      </c>
      <c r="F213" s="90">
        <f>IF(OR(I213="",I213=0),"",IF(INDEX(Samples[採樣日期],I213)="","",INDEX(Samples[採樣日期],I213)))</f>
        <v/>
      </c>
      <c r="G213" s="91">
        <f>IF(OR(M213="",M213="NA",M213="N/A"),"",IF(OR(M213="ND",M213="N.D."),0,IFERROR(IF(OR(OR(ISNUMBER(SEARCH("%",O213)),ISNUMBER(SEARCH(" ",O213)),ISNUMBER(SEARCH(",",O213))),OR(SUBSTITUTE(SUBSTITUTE(SUBSTITUTE(SUBSTITUTE(SUBSTITUTE(SUBSTITUTE(SUBSTITUTE(SUBSTITUTE(SUBSTITUTE(SUBSTITUTE(SUBSTITUTE(SUBSTITUTE(SUBSTITUTE(SUBSTITUTE(SUBSTITUTE(SUBSTITUTE(SUBSTITUTE(SUBSTITUTE("x"&amp;M213,"0",""),"1",""),"2",""),"3",""),"4",""),"5",""),"6",""),"7",""),"8",""),"9",""),".",""),"E",""),"+",""),"-",""),"&lt;",""),"&gt;",""),"=","")," ","")&lt;&gt;"x",ISNUMBER(SEARCH("-",SUBSTITUTE(SUBSTITUTE("x"&amp;MID(M213,2,99),"E-","E"),"E+","E"))),ISNUMBER(SEARCH("+",SUBSTITUTE(SUBSTITUTE("x"&amp;MID(M213,2,99),"E-","E"),"E+","E"))))),"",IF(AND(OR(LEFT(M213,1)="&lt;",LEFT(M213,1)="&gt;"),IF(O213="",0,IF(ISNUMBER(AH213),AH213,NA()))&lt;0),"",IF(O213="",0,IF(ISNUMBER(AH213),AH213,NA()))/IF(LEFT(M213,1)="&lt;",2,1))),"")))</f>
        <v/>
      </c>
      <c r="H213" s="57" t="inlineStr">
        <is>
          <t>BH05-W_20260115_03</t>
        </is>
      </c>
      <c r="I213" s="92">
        <f>IF(OR(H213="",AI213=0),0,IF(INDEX(Samples[樣品重複筆數],AI213)=1,AI213,0))</f>
        <v/>
      </c>
      <c r="J213" s="92">
        <f>IF(OR(COUNTA($A213:$D213)=0,I213=0),"",IF(INDEX(Samples[介質],I213)="","",INDEX(Samples[介質],I213)))</f>
        <v/>
      </c>
      <c r="K213" s="92">
        <f>IF(OR(COUNTA($A213:$D213)=0,T213=0),"",IF(INDEX(DB_04[標準單位],T213)="","",INDEX(DB_04[標準單位],T213)))</f>
        <v/>
      </c>
      <c r="L213" s="92">
        <f>IF(COUNTA($A213:$D213)=0,"",IF(OR(C213="",K213=""),"",IF(C213=K213,1,IF(COUNTIFS(DB_06[換算鍵],C213&amp;"|"&amp;K213,DB_06[換算檢查],"OK")=1,INDEX(DB_06[乘數],MATCH(C213&amp;"|"&amp;K213,DB_06[換算鍵],0)),""))))</f>
        <v/>
      </c>
      <c r="M213" s="92">
        <f>UPPER(SUBSTITUTE(SUBSTITUTE(SUBSTITUTE(SUBSTITUTE(TRIM(B213&amp;""),"＜","&lt;"),"＞","&gt;"),"≤","&lt;="),"≥","&gt;="))</f>
        <v/>
      </c>
      <c r="N213" s="92">
        <f>IF(M213="","",IF(OR(M213="ND",M213="N.D."),"ND",IF(OR(M213="NA",M213="N/A",M213="N.A."),"NA",IF(OR(LEFT(M213,2)="&lt;=",LEFT(M213,2)="&gt;="),LEFT(M213,2),IF(OR(LEFT(M213,1)="&lt;",LEFT(M213,1)="&gt;"),LEFT(M213,1),"數值")))))</f>
        <v/>
      </c>
      <c r="O213" s="92">
        <f>IF(OR(N213="",N213="ND",N213="NA"),"",IF(N213="數值",M213,TRIM(MID(M213,LEN(N213)+1,99))))</f>
        <v/>
      </c>
      <c r="P213" s="92">
        <f>IF(O213="","",IFERROR(IF(OR(OR(ISNUMBER(SEARCH("%",O213)),ISNUMBER(SEARCH(" ",O213)),ISNUMBER(SEARCH(",",O213))),OR(SUBSTITUTE(SUBSTITUTE(SUBSTITUTE(SUBSTITUTE(SUBSTITUTE(SUBSTITUTE(SUBSTITUTE(SUBSTITUTE(SUBSTITUTE(SUBSTITUTE(SUBSTITUTE(SUBSTITUTE(SUBSTITUTE(SUBSTITUTE(SUBSTITUTE(SUBSTITUTE(SUBSTITUTE(SUBSTITUTE("x"&amp;O213,"0",""),"1",""),"2",""),"3",""),"4",""),"5",""),"6",""),"7",""),"8",""),"9",""),".",""),"E",""),"+",""),"-",""),"&lt;",""),"&gt;",""),"=","")," ","")&lt;&gt;"x",ISNUMBER(SEARCH("-",SUBSTITUTE(SUBSTITUTE("x"&amp;MID(O213,2,99),"E-","E"),"E+","E"))),ISNUMBER(SEARCH("+",SUBSTITUTE(SUBSTITUTE("x"&amp;MID(O213,2,99),"E-","E"),"E+","E"))))),"",IF(ISNUMBER(AH213),AH213,NA())),""))</f>
        <v/>
      </c>
      <c r="Q213" s="92">
        <f>IF(AND(ISNUMBER(L213),ISNUMBER(P213)),L213*P213,"")</f>
        <v/>
      </c>
      <c r="R213" s="92">
        <f>IF(OR(COUNTA($A213:$D213)=0,U213=0),"",IF(INDEX(DB_05[管制設定值],U213)="","",INDEX(DB_05[管制設定值],U213)))</f>
        <v/>
      </c>
      <c r="S213" s="92">
        <f>IF(OR(COUNTA($A213:$D213)=0,U213=0),"",IF(INDEX(DB_05[監測設定值],U213)="","",INDEX(DB_05[監測設定值],U213)))</f>
        <v/>
      </c>
      <c r="T213" s="92">
        <f>IF(COUNTA($A213:$D213)=0,"",IF(COUNTIFS(DB_04[測項鍵],V213)=1,MATCH(V213,DB_04[測項鍵],0),0))</f>
        <v/>
      </c>
      <c r="U213" s="92">
        <f>IF(COUNTA($A213:$D213)=0,"",IF(COUNTIFS(DB_05[標準鍵],W213)=1,MATCH(W213,DB_05[標準鍵],0),0))</f>
        <v/>
      </c>
      <c r="V213" s="92">
        <f>IF(OR(J213="",A213=""),"",J213&amp;"|"&amp;A213)</f>
        <v/>
      </c>
      <c r="W213" s="92">
        <f>IF(OR('07_QAQC'!$C$3="",V213=""),"",'07_QAQC'!$C$3&amp;"|"&amp;V213)</f>
        <v/>
      </c>
      <c r="X213" s="92">
        <f>IF(OR(H213="",A213=""),"",LEN(H213)&amp;":"&amp;H213&amp;LEN(A213)&amp;":"&amp;A213)</f>
        <v/>
      </c>
      <c r="Y213" s="93">
        <f>IF(COUNTA($A213:$D213)=0,"",IF(I213=0,"樣品未建或重複",IF(INDEX(Samples[樣品檢查],I213)="","OK",INDEX(Samples[樣品檢查],I213))))</f>
        <v/>
      </c>
      <c r="Z213" s="93">
        <f>IF(COUNTA($A213:$D213)=0,"",IF(B213="","缺原始值",IF(OR(B213="-",B213="--"),"無資料",IF(N213="NA","不適用",IF(N213="ND","OK",IF(NOT(ISNUMBER(P213)),"格式待核",IF(AND(N213&lt;&gt;"數值",P213&lt;0),"界限不得為負","OK")))))))</f>
        <v/>
      </c>
      <c r="AA213" s="93">
        <f>IF(COUNTA(A213:D213)=0,"",IF(OR(A213="",H213=""),"缺識別欄位",IF(IF(LEN("="&amp;SUBSTITUTE(SUBSTITUTE(SUBSTITUTE(X213,"~","~~"),"*","~*"),"?","~?"))&lt;=255,COUNTIF(Results[結果識別鍵],"="&amp;SUBSTITUTE(SUBSTITUTE(SUBSTITUTE(X213,"~","~~"),"*","~*"),"?","~?")),COUNTIFS(Results[關聯鍵],"="&amp;SUBSTITUTE(SUBSTITUTE(SUBSTITUTE(H213,"~","~~"),"*","~*"),"?","~?"),Results[分析項目],"="&amp;SUBSTITUTE(SUBSTITUTE(SUBSTITUTE(A213,"~","~~"),"*","~*"),"?","~?")))&gt;1,"同關聯鍵測項重複","OK")))</f>
        <v/>
      </c>
      <c r="AB213" s="93">
        <f>IF(COUNTA($A213:$D213)=0,"",IF(OR(C213="",K213=""),"缺單位",IF(NOT(ISNUMBER(L213)),"單位不相容",IF(L213=1,"OK","已換算"))))</f>
        <v/>
      </c>
      <c r="AC213" s="93">
        <f>IF(COUNTA($A213:$D213)=0,"",IF('07_QAQC'!$C$3="","未選比較版本",IF(U213=0,IF(COUNTIFS(DB_05[標準鍵],W213)&gt;1,"標準鍵重複","未訂此介質／測項門檻"),IF(INDEX(DB_05[版本檢查],U213)&lt;&gt;"OK","標準主檔待核",IF(INDEX(DB_05[標準單位],U213)&lt;&gt;K213,"標準單位不符",IF(INDEX(DB_05[核對狀態],U213)="停用","停用",IF(F213="","缺採樣日期",IF(OR(AND(INDEX(DB_05[生效日],U213)&lt;&gt;"",F213&lt;INDEX(DB_05[生效日],U213)),AND(INDEX(DB_05[失效日],U213)&lt;&gt;"",F213&gt;INDEX(DB_05[失效日],U213))),"日期不適用",INDEX(DB_05[核對狀態],U213)))))))))</f>
        <v/>
      </c>
      <c r="AD213" s="93">
        <f>IF(COUNTA($A213:$D213)=0,"",IF(AC213="未訂此介質／測項門檻",AC213,IF(AC213&lt;&gt;"已核對","標準待核",IF(R213="","未訂管制值",IF(NOT(ISNUMBER(L213)),"單位待核",IF(N213="ND","無法判定（ND無界限）",IF(N213="NA","不適用",IF(Z213&lt;&gt;"OK",Z213,IF(N213="數值",IF(Q213&gt;=R213,"達管制值","未達管制值"),IF(OR(N213="&lt;",N213="&lt;="),IF(OR(Q213&lt;R213,AND(N213="&lt;",Q213=R213)),"未達管制值","無法判定"),IF(OR(N213="&gt;",N213="&gt;="),IF(Q213&gt;=R213,"達管制值","無法判定"),"格式待核")))))))))))</f>
        <v/>
      </c>
      <c r="AE213" s="93">
        <f>IF(COUNTA($A213:$D213)=0,"",IF(AC213="未訂此介質／測項門檻",AC213,IF(AC213&lt;&gt;"已核對","標準待核",IF(S213="","未訂監測值",IF(NOT(ISNUMBER(L213)),"單位待核",IF(N213="ND","無法判定（ND無界限）",IF(N213="NA","不適用",IF(Z213&lt;&gt;"OK",Z213,IF(N213="數值",IF(Q213&gt;=S213,"達監測值","未達監測值"),IF(OR(N213="&lt;",N213="&lt;="),IF(OR(Q213&lt;S213,AND(N213="&lt;",Q213=S213)),"未達監測值","無法判定"),IF(OR(N213="&gt;",N213="&gt;="),IF(Q213&gt;=S213,"達監測值","無法判定"),"格式待核")))))))))))</f>
        <v/>
      </c>
      <c r="AF213" s="93">
        <f>IF(COUNTA($A213:$D213)=0,"",IF(OR(E213="",A213="",B213="",C213=""),"缺必要欄位",IF(Y213&lt;&gt;"OK","樣品資料待補",IF(T213=0,"測項未建或重複",IF(INDEX(DB_04[啟用],T213)&lt;&gt;"是","測項停用",IF(AND(Z213&lt;&gt;"OK",Z213&lt;&gt;"不適用"),Z213,IF(AND(AB213&lt;&gt;"OK",AB213&lt;&gt;"已換算"),"單位待核",IF(AA213&lt;&gt;"OK",AA213,"OK"))))))))</f>
        <v/>
      </c>
      <c r="AG213" s="93">
        <f>IF(COUNTA($A213:$D213)=0,"",IF(N213="ND","ND取0",IF(OR(N213="&lt;",N213="&lt;="),"界限除以2",IF(N213="NA","不適用",IF(OR(N213="&gt;",N213="&gt;="),"保留界限數值","保留原數值")))))</f>
        <v/>
      </c>
      <c r="AH213" s="92">
        <f>IF(O213="","",IFERROR(_xlfn.NUMBERVALUE(O213,".",","),""))</f>
        <v/>
      </c>
      <c r="AI213" s="92">
        <f>IF(H213="","",IFERROR(MATCH(H213,Samples[樣品編號],0),0))</f>
        <v/>
      </c>
    </row>
    <row r="214">
      <c r="A214" s="27" t="inlineStr">
        <is>
          <t>DO</t>
        </is>
      </c>
      <c r="B214" s="28" t="inlineStr">
        <is>
          <t>3.7</t>
        </is>
      </c>
      <c r="C214" s="27" t="inlineStr">
        <is>
          <t>mg/L</t>
        </is>
      </c>
      <c r="D214" s="39" t="inlineStr">
        <is>
          <t>合成資料，非實測；method=field</t>
        </is>
      </c>
      <c r="E214" s="29">
        <f>IF(OR(I214="",I214=0),"",IF(INDEX(Samples[監測點],I214)="","",INDEX(Samples[監測點],I214)))</f>
        <v/>
      </c>
      <c r="F214" s="90">
        <f>IF(OR(I214="",I214=0),"",IF(INDEX(Samples[採樣日期],I214)="","",INDEX(Samples[採樣日期],I214)))</f>
        <v/>
      </c>
      <c r="G214" s="91">
        <f>IF(OR(M214="",M214="NA",M214="N/A"),"",IF(OR(M214="ND",M214="N.D."),0,IFERROR(IF(OR(OR(ISNUMBER(SEARCH("%",O214)),ISNUMBER(SEARCH(" ",O214)),ISNUMBER(SEARCH(",",O214))),OR(SUBSTITUTE(SUBSTITUTE(SUBSTITUTE(SUBSTITUTE(SUBSTITUTE(SUBSTITUTE(SUBSTITUTE(SUBSTITUTE(SUBSTITUTE(SUBSTITUTE(SUBSTITUTE(SUBSTITUTE(SUBSTITUTE(SUBSTITUTE(SUBSTITUTE(SUBSTITUTE(SUBSTITUTE(SUBSTITUTE("x"&amp;M214,"0",""),"1",""),"2",""),"3",""),"4",""),"5",""),"6",""),"7",""),"8",""),"9",""),".",""),"E",""),"+",""),"-",""),"&lt;",""),"&gt;",""),"=","")," ","")&lt;&gt;"x",ISNUMBER(SEARCH("-",SUBSTITUTE(SUBSTITUTE("x"&amp;MID(M214,2,99),"E-","E"),"E+","E"))),ISNUMBER(SEARCH("+",SUBSTITUTE(SUBSTITUTE("x"&amp;MID(M214,2,99),"E-","E"),"E+","E"))))),"",IF(AND(OR(LEFT(M214,1)="&lt;",LEFT(M214,1)="&gt;"),IF(O214="",0,IF(ISNUMBER(AH214),AH214,NA()))&lt;0),"",IF(O214="",0,IF(ISNUMBER(AH214),AH214,NA()))/IF(LEFT(M214,1)="&lt;",2,1))),"")))</f>
        <v/>
      </c>
      <c r="H214" s="57" t="inlineStr">
        <is>
          <t>BH05-W_20260115_03</t>
        </is>
      </c>
      <c r="I214" s="92">
        <f>IF(OR(H214="",AI214=0),0,IF(INDEX(Samples[樣品重複筆數],AI214)=1,AI214,0))</f>
        <v/>
      </c>
      <c r="J214" s="92">
        <f>IF(OR(COUNTA($A214:$D214)=0,I214=0),"",IF(INDEX(Samples[介質],I214)="","",INDEX(Samples[介質],I214)))</f>
        <v/>
      </c>
      <c r="K214" s="92">
        <f>IF(OR(COUNTA($A214:$D214)=0,T214=0),"",IF(INDEX(DB_04[標準單位],T214)="","",INDEX(DB_04[標準單位],T214)))</f>
        <v/>
      </c>
      <c r="L214" s="92">
        <f>IF(COUNTA($A214:$D214)=0,"",IF(OR(C214="",K214=""),"",IF(C214=K214,1,IF(COUNTIFS(DB_06[換算鍵],C214&amp;"|"&amp;K214,DB_06[換算檢查],"OK")=1,INDEX(DB_06[乘數],MATCH(C214&amp;"|"&amp;K214,DB_06[換算鍵],0)),""))))</f>
        <v/>
      </c>
      <c r="M214" s="92">
        <f>UPPER(SUBSTITUTE(SUBSTITUTE(SUBSTITUTE(SUBSTITUTE(TRIM(B214&amp;""),"＜","&lt;"),"＞","&gt;"),"≤","&lt;="),"≥","&gt;="))</f>
        <v/>
      </c>
      <c r="N214" s="92">
        <f>IF(M214="","",IF(OR(M214="ND",M214="N.D."),"ND",IF(OR(M214="NA",M214="N/A",M214="N.A."),"NA",IF(OR(LEFT(M214,2)="&lt;=",LEFT(M214,2)="&gt;="),LEFT(M214,2),IF(OR(LEFT(M214,1)="&lt;",LEFT(M214,1)="&gt;"),LEFT(M214,1),"數值")))))</f>
        <v/>
      </c>
      <c r="O214" s="92">
        <f>IF(OR(N214="",N214="ND",N214="NA"),"",IF(N214="數值",M214,TRIM(MID(M214,LEN(N214)+1,99))))</f>
        <v/>
      </c>
      <c r="P214" s="92">
        <f>IF(O214="","",IFERROR(IF(OR(OR(ISNUMBER(SEARCH("%",O214)),ISNUMBER(SEARCH(" ",O214)),ISNUMBER(SEARCH(",",O214))),OR(SUBSTITUTE(SUBSTITUTE(SUBSTITUTE(SUBSTITUTE(SUBSTITUTE(SUBSTITUTE(SUBSTITUTE(SUBSTITUTE(SUBSTITUTE(SUBSTITUTE(SUBSTITUTE(SUBSTITUTE(SUBSTITUTE(SUBSTITUTE(SUBSTITUTE(SUBSTITUTE(SUBSTITUTE(SUBSTITUTE("x"&amp;O214,"0",""),"1",""),"2",""),"3",""),"4",""),"5",""),"6",""),"7",""),"8",""),"9",""),".",""),"E",""),"+",""),"-",""),"&lt;",""),"&gt;",""),"=","")," ","")&lt;&gt;"x",ISNUMBER(SEARCH("-",SUBSTITUTE(SUBSTITUTE("x"&amp;MID(O214,2,99),"E-","E"),"E+","E"))),ISNUMBER(SEARCH("+",SUBSTITUTE(SUBSTITUTE("x"&amp;MID(O214,2,99),"E-","E"),"E+","E"))))),"",IF(ISNUMBER(AH214),AH214,NA())),""))</f>
        <v/>
      </c>
      <c r="Q214" s="92">
        <f>IF(AND(ISNUMBER(L214),ISNUMBER(P214)),L214*P214,"")</f>
        <v/>
      </c>
      <c r="R214" s="92">
        <f>IF(OR(COUNTA($A214:$D214)=0,U214=0),"",IF(INDEX(DB_05[管制設定值],U214)="","",INDEX(DB_05[管制設定值],U214)))</f>
        <v/>
      </c>
      <c r="S214" s="92">
        <f>IF(OR(COUNTA($A214:$D214)=0,U214=0),"",IF(INDEX(DB_05[監測設定值],U214)="","",INDEX(DB_05[監測設定值],U214)))</f>
        <v/>
      </c>
      <c r="T214" s="92">
        <f>IF(COUNTA($A214:$D214)=0,"",IF(COUNTIFS(DB_04[測項鍵],V214)=1,MATCH(V214,DB_04[測項鍵],0),0))</f>
        <v/>
      </c>
      <c r="U214" s="92">
        <f>IF(COUNTA($A214:$D214)=0,"",IF(COUNTIFS(DB_05[標準鍵],W214)=1,MATCH(W214,DB_05[標準鍵],0),0))</f>
        <v/>
      </c>
      <c r="V214" s="92">
        <f>IF(OR(J214="",A214=""),"",J214&amp;"|"&amp;A214)</f>
        <v/>
      </c>
      <c r="W214" s="92">
        <f>IF(OR('07_QAQC'!$C$3="",V214=""),"",'07_QAQC'!$C$3&amp;"|"&amp;V214)</f>
        <v/>
      </c>
      <c r="X214" s="92">
        <f>IF(OR(H214="",A214=""),"",LEN(H214)&amp;":"&amp;H214&amp;LEN(A214)&amp;":"&amp;A214)</f>
        <v/>
      </c>
      <c r="Y214" s="93">
        <f>IF(COUNTA($A214:$D214)=0,"",IF(I214=0,"樣品未建或重複",IF(INDEX(Samples[樣品檢查],I214)="","OK",INDEX(Samples[樣品檢查],I214))))</f>
        <v/>
      </c>
      <c r="Z214" s="93">
        <f>IF(COUNTA($A214:$D214)=0,"",IF(B214="","缺原始值",IF(OR(B214="-",B214="--"),"無資料",IF(N214="NA","不適用",IF(N214="ND","OK",IF(NOT(ISNUMBER(P214)),"格式待核",IF(AND(N214&lt;&gt;"數值",P214&lt;0),"界限不得為負","OK")))))))</f>
        <v/>
      </c>
      <c r="AA214" s="93">
        <f>IF(COUNTA(A214:D214)=0,"",IF(OR(A214="",H214=""),"缺識別欄位",IF(IF(LEN("="&amp;SUBSTITUTE(SUBSTITUTE(SUBSTITUTE(X214,"~","~~"),"*","~*"),"?","~?"))&lt;=255,COUNTIF(Results[結果識別鍵],"="&amp;SUBSTITUTE(SUBSTITUTE(SUBSTITUTE(X214,"~","~~"),"*","~*"),"?","~?")),COUNTIFS(Results[關聯鍵],"="&amp;SUBSTITUTE(SUBSTITUTE(SUBSTITUTE(H214,"~","~~"),"*","~*"),"?","~?"),Results[分析項目],"="&amp;SUBSTITUTE(SUBSTITUTE(SUBSTITUTE(A214,"~","~~"),"*","~*"),"?","~?")))&gt;1,"同關聯鍵測項重複","OK")))</f>
        <v/>
      </c>
      <c r="AB214" s="93">
        <f>IF(COUNTA($A214:$D214)=0,"",IF(OR(C214="",K214=""),"缺單位",IF(NOT(ISNUMBER(L214)),"單位不相容",IF(L214=1,"OK","已換算"))))</f>
        <v/>
      </c>
      <c r="AC214" s="93">
        <f>IF(COUNTA($A214:$D214)=0,"",IF('07_QAQC'!$C$3="","未選比較版本",IF(U214=0,IF(COUNTIFS(DB_05[標準鍵],W214)&gt;1,"標準鍵重複","未訂此介質／測項門檻"),IF(INDEX(DB_05[版本檢查],U214)&lt;&gt;"OK","標準主檔待核",IF(INDEX(DB_05[標準單位],U214)&lt;&gt;K214,"標準單位不符",IF(INDEX(DB_05[核對狀態],U214)="停用","停用",IF(F214="","缺採樣日期",IF(OR(AND(INDEX(DB_05[生效日],U214)&lt;&gt;"",F214&lt;INDEX(DB_05[生效日],U214)),AND(INDEX(DB_05[失效日],U214)&lt;&gt;"",F214&gt;INDEX(DB_05[失效日],U214))),"日期不適用",INDEX(DB_05[核對狀態],U214)))))))))</f>
        <v/>
      </c>
      <c r="AD214" s="93">
        <f>IF(COUNTA($A214:$D214)=0,"",IF(AC214="未訂此介質／測項門檻",AC214,IF(AC214&lt;&gt;"已核對","標準待核",IF(R214="","未訂管制值",IF(NOT(ISNUMBER(L214)),"單位待核",IF(N214="ND","無法判定（ND無界限）",IF(N214="NA","不適用",IF(Z214&lt;&gt;"OK",Z214,IF(N214="數值",IF(Q214&gt;=R214,"達管制值","未達管制值"),IF(OR(N214="&lt;",N214="&lt;="),IF(OR(Q214&lt;R214,AND(N214="&lt;",Q214=R214)),"未達管制值","無法判定"),IF(OR(N214="&gt;",N214="&gt;="),IF(Q214&gt;=R214,"達管制值","無法判定"),"格式待核")))))))))))</f>
        <v/>
      </c>
      <c r="AE214" s="93">
        <f>IF(COUNTA($A214:$D214)=0,"",IF(AC214="未訂此介質／測項門檻",AC214,IF(AC214&lt;&gt;"已核對","標準待核",IF(S214="","未訂監測值",IF(NOT(ISNUMBER(L214)),"單位待核",IF(N214="ND","無法判定（ND無界限）",IF(N214="NA","不適用",IF(Z214&lt;&gt;"OK",Z214,IF(N214="數值",IF(Q214&gt;=S214,"達監測值","未達監測值"),IF(OR(N214="&lt;",N214="&lt;="),IF(OR(Q214&lt;S214,AND(N214="&lt;",Q214=S214)),"未達監測值","無法判定"),IF(OR(N214="&gt;",N214="&gt;="),IF(Q214&gt;=S214,"達監測值","無法判定"),"格式待核")))))))))))</f>
        <v/>
      </c>
      <c r="AF214" s="93">
        <f>IF(COUNTA($A214:$D214)=0,"",IF(OR(E214="",A214="",B214="",C214=""),"缺必要欄位",IF(Y214&lt;&gt;"OK","樣品資料待補",IF(T214=0,"測項未建或重複",IF(INDEX(DB_04[啟用],T214)&lt;&gt;"是","測項停用",IF(AND(Z214&lt;&gt;"OK",Z214&lt;&gt;"不適用"),Z214,IF(AND(AB214&lt;&gt;"OK",AB214&lt;&gt;"已換算"),"單位待核",IF(AA214&lt;&gt;"OK",AA214,"OK"))))))))</f>
        <v/>
      </c>
      <c r="AG214" s="93">
        <f>IF(COUNTA($A214:$D214)=0,"",IF(N214="ND","ND取0",IF(OR(N214="&lt;",N214="&lt;="),"界限除以2",IF(N214="NA","不適用",IF(OR(N214="&gt;",N214="&gt;="),"保留界限數值","保留原數值")))))</f>
        <v/>
      </c>
      <c r="AH214" s="92">
        <f>IF(O214="","",IFERROR(_xlfn.NUMBERVALUE(O214,".",","),""))</f>
        <v/>
      </c>
      <c r="AI214" s="92">
        <f>IF(H214="","",IFERROR(MATCH(H214,Samples[樣品編號],0),0))</f>
        <v/>
      </c>
    </row>
    <row r="215">
      <c r="A215" s="27" t="inlineStr">
        <is>
          <t>溶氧飽和度</t>
        </is>
      </c>
      <c r="B215" s="28" t="inlineStr">
        <is>
          <t>49</t>
        </is>
      </c>
      <c r="C215" s="27" t="inlineStr">
        <is>
          <t>%</t>
        </is>
      </c>
      <c r="D215" s="39" t="inlineStr">
        <is>
          <t>合成資料，非實測；method=field</t>
        </is>
      </c>
      <c r="E215" s="29">
        <f>IF(OR(I215="",I215=0),"",IF(INDEX(Samples[監測點],I215)="","",INDEX(Samples[監測點],I215)))</f>
        <v/>
      </c>
      <c r="F215" s="90">
        <f>IF(OR(I215="",I215=0),"",IF(INDEX(Samples[採樣日期],I215)="","",INDEX(Samples[採樣日期],I215)))</f>
        <v/>
      </c>
      <c r="G215" s="91">
        <f>IF(OR(M215="",M215="NA",M215="N/A"),"",IF(OR(M215="ND",M215="N.D."),0,IFERROR(IF(OR(OR(ISNUMBER(SEARCH("%",O215)),ISNUMBER(SEARCH(" ",O215)),ISNUMBER(SEARCH(",",O215))),OR(SUBSTITUTE(SUBSTITUTE(SUBSTITUTE(SUBSTITUTE(SUBSTITUTE(SUBSTITUTE(SUBSTITUTE(SUBSTITUTE(SUBSTITUTE(SUBSTITUTE(SUBSTITUTE(SUBSTITUTE(SUBSTITUTE(SUBSTITUTE(SUBSTITUTE(SUBSTITUTE(SUBSTITUTE(SUBSTITUTE("x"&amp;M215,"0",""),"1",""),"2",""),"3",""),"4",""),"5",""),"6",""),"7",""),"8",""),"9",""),".",""),"E",""),"+",""),"-",""),"&lt;",""),"&gt;",""),"=","")," ","")&lt;&gt;"x",ISNUMBER(SEARCH("-",SUBSTITUTE(SUBSTITUTE("x"&amp;MID(M215,2,99),"E-","E"),"E+","E"))),ISNUMBER(SEARCH("+",SUBSTITUTE(SUBSTITUTE("x"&amp;MID(M215,2,99),"E-","E"),"E+","E"))))),"",IF(AND(OR(LEFT(M215,1)="&lt;",LEFT(M215,1)="&gt;"),IF(O215="",0,IF(ISNUMBER(AH215),AH215,NA()))&lt;0),"",IF(O215="",0,IF(ISNUMBER(AH215),AH215,NA()))/IF(LEFT(M215,1)="&lt;",2,1))),"")))</f>
        <v/>
      </c>
      <c r="H215" s="57" t="inlineStr">
        <is>
          <t>BH05-W_20260115_03</t>
        </is>
      </c>
      <c r="I215" s="92">
        <f>IF(OR(H215="",AI215=0),0,IF(INDEX(Samples[樣品重複筆數],AI215)=1,AI215,0))</f>
        <v/>
      </c>
      <c r="J215" s="92">
        <f>IF(OR(COUNTA($A215:$D215)=0,I215=0),"",IF(INDEX(Samples[介質],I215)="","",INDEX(Samples[介質],I215)))</f>
        <v/>
      </c>
      <c r="K215" s="92">
        <f>IF(OR(COUNTA($A215:$D215)=0,T215=0),"",IF(INDEX(DB_04[標準單位],T215)="","",INDEX(DB_04[標準單位],T215)))</f>
        <v/>
      </c>
      <c r="L215" s="92">
        <f>IF(COUNTA($A215:$D215)=0,"",IF(OR(C215="",K215=""),"",IF(C215=K215,1,IF(COUNTIFS(DB_06[換算鍵],C215&amp;"|"&amp;K215,DB_06[換算檢查],"OK")=1,INDEX(DB_06[乘數],MATCH(C215&amp;"|"&amp;K215,DB_06[換算鍵],0)),""))))</f>
        <v/>
      </c>
      <c r="M215" s="92">
        <f>UPPER(SUBSTITUTE(SUBSTITUTE(SUBSTITUTE(SUBSTITUTE(TRIM(B215&amp;""),"＜","&lt;"),"＞","&gt;"),"≤","&lt;="),"≥","&gt;="))</f>
        <v/>
      </c>
      <c r="N215" s="92">
        <f>IF(M215="","",IF(OR(M215="ND",M215="N.D."),"ND",IF(OR(M215="NA",M215="N/A",M215="N.A."),"NA",IF(OR(LEFT(M215,2)="&lt;=",LEFT(M215,2)="&gt;="),LEFT(M215,2),IF(OR(LEFT(M215,1)="&lt;",LEFT(M215,1)="&gt;"),LEFT(M215,1),"數值")))))</f>
        <v/>
      </c>
      <c r="O215" s="92">
        <f>IF(OR(N215="",N215="ND",N215="NA"),"",IF(N215="數值",M215,TRIM(MID(M215,LEN(N215)+1,99))))</f>
        <v/>
      </c>
      <c r="P215" s="92">
        <f>IF(O215="","",IFERROR(IF(OR(OR(ISNUMBER(SEARCH("%",O215)),ISNUMBER(SEARCH(" ",O215)),ISNUMBER(SEARCH(",",O215))),OR(SUBSTITUTE(SUBSTITUTE(SUBSTITUTE(SUBSTITUTE(SUBSTITUTE(SUBSTITUTE(SUBSTITUTE(SUBSTITUTE(SUBSTITUTE(SUBSTITUTE(SUBSTITUTE(SUBSTITUTE(SUBSTITUTE(SUBSTITUTE(SUBSTITUTE(SUBSTITUTE(SUBSTITUTE(SUBSTITUTE("x"&amp;O215,"0",""),"1",""),"2",""),"3",""),"4",""),"5",""),"6",""),"7",""),"8",""),"9",""),".",""),"E",""),"+",""),"-",""),"&lt;",""),"&gt;",""),"=","")," ","")&lt;&gt;"x",ISNUMBER(SEARCH("-",SUBSTITUTE(SUBSTITUTE("x"&amp;MID(O215,2,99),"E-","E"),"E+","E"))),ISNUMBER(SEARCH("+",SUBSTITUTE(SUBSTITUTE("x"&amp;MID(O215,2,99),"E-","E"),"E+","E"))))),"",IF(ISNUMBER(AH215),AH215,NA())),""))</f>
        <v/>
      </c>
      <c r="Q215" s="92">
        <f>IF(AND(ISNUMBER(L215),ISNUMBER(P215)),L215*P215,"")</f>
        <v/>
      </c>
      <c r="R215" s="92">
        <f>IF(OR(COUNTA($A215:$D215)=0,U215=0),"",IF(INDEX(DB_05[管制設定值],U215)="","",INDEX(DB_05[管制設定值],U215)))</f>
        <v/>
      </c>
      <c r="S215" s="92">
        <f>IF(OR(COUNTA($A215:$D215)=0,U215=0),"",IF(INDEX(DB_05[監測設定值],U215)="","",INDEX(DB_05[監測設定值],U215)))</f>
        <v/>
      </c>
      <c r="T215" s="92">
        <f>IF(COUNTA($A215:$D215)=0,"",IF(COUNTIFS(DB_04[測項鍵],V215)=1,MATCH(V215,DB_04[測項鍵],0),0))</f>
        <v/>
      </c>
      <c r="U215" s="92">
        <f>IF(COUNTA($A215:$D215)=0,"",IF(COUNTIFS(DB_05[標準鍵],W215)=1,MATCH(W215,DB_05[標準鍵],0),0))</f>
        <v/>
      </c>
      <c r="V215" s="92">
        <f>IF(OR(J215="",A215=""),"",J215&amp;"|"&amp;A215)</f>
        <v/>
      </c>
      <c r="W215" s="92">
        <f>IF(OR('07_QAQC'!$C$3="",V215=""),"",'07_QAQC'!$C$3&amp;"|"&amp;V215)</f>
        <v/>
      </c>
      <c r="X215" s="92">
        <f>IF(OR(H215="",A215=""),"",LEN(H215)&amp;":"&amp;H215&amp;LEN(A215)&amp;":"&amp;A215)</f>
        <v/>
      </c>
      <c r="Y215" s="93">
        <f>IF(COUNTA($A215:$D215)=0,"",IF(I215=0,"樣品未建或重複",IF(INDEX(Samples[樣品檢查],I215)="","OK",INDEX(Samples[樣品檢查],I215))))</f>
        <v/>
      </c>
      <c r="Z215" s="93">
        <f>IF(COUNTA($A215:$D215)=0,"",IF(B215="","缺原始值",IF(OR(B215="-",B215="--"),"無資料",IF(N215="NA","不適用",IF(N215="ND","OK",IF(NOT(ISNUMBER(P215)),"格式待核",IF(AND(N215&lt;&gt;"數值",P215&lt;0),"界限不得為負","OK")))))))</f>
        <v/>
      </c>
      <c r="AA215" s="93">
        <f>IF(COUNTA(A215:D215)=0,"",IF(OR(A215="",H215=""),"缺識別欄位",IF(IF(LEN("="&amp;SUBSTITUTE(SUBSTITUTE(SUBSTITUTE(X215,"~","~~"),"*","~*"),"?","~?"))&lt;=255,COUNTIF(Results[結果識別鍵],"="&amp;SUBSTITUTE(SUBSTITUTE(SUBSTITUTE(X215,"~","~~"),"*","~*"),"?","~?")),COUNTIFS(Results[關聯鍵],"="&amp;SUBSTITUTE(SUBSTITUTE(SUBSTITUTE(H215,"~","~~"),"*","~*"),"?","~?"),Results[分析項目],"="&amp;SUBSTITUTE(SUBSTITUTE(SUBSTITUTE(A215,"~","~~"),"*","~*"),"?","~?")))&gt;1,"同關聯鍵測項重複","OK")))</f>
        <v/>
      </c>
      <c r="AB215" s="93">
        <f>IF(COUNTA($A215:$D215)=0,"",IF(OR(C215="",K215=""),"缺單位",IF(NOT(ISNUMBER(L215)),"單位不相容",IF(L215=1,"OK","已換算"))))</f>
        <v/>
      </c>
      <c r="AC215" s="93">
        <f>IF(COUNTA($A215:$D215)=0,"",IF('07_QAQC'!$C$3="","未選比較版本",IF(U215=0,IF(COUNTIFS(DB_05[標準鍵],W215)&gt;1,"標準鍵重複","未訂此介質／測項門檻"),IF(INDEX(DB_05[版本檢查],U215)&lt;&gt;"OK","標準主檔待核",IF(INDEX(DB_05[標準單位],U215)&lt;&gt;K215,"標準單位不符",IF(INDEX(DB_05[核對狀態],U215)="停用","停用",IF(F215="","缺採樣日期",IF(OR(AND(INDEX(DB_05[生效日],U215)&lt;&gt;"",F215&lt;INDEX(DB_05[生效日],U215)),AND(INDEX(DB_05[失效日],U215)&lt;&gt;"",F215&gt;INDEX(DB_05[失效日],U215))),"日期不適用",INDEX(DB_05[核對狀態],U215)))))))))</f>
        <v/>
      </c>
      <c r="AD215" s="93">
        <f>IF(COUNTA($A215:$D215)=0,"",IF(AC215="未訂此介質／測項門檻",AC215,IF(AC215&lt;&gt;"已核對","標準待核",IF(R215="","未訂管制值",IF(NOT(ISNUMBER(L215)),"單位待核",IF(N215="ND","無法判定（ND無界限）",IF(N215="NA","不適用",IF(Z215&lt;&gt;"OK",Z215,IF(N215="數值",IF(Q215&gt;=R215,"達管制值","未達管制值"),IF(OR(N215="&lt;",N215="&lt;="),IF(OR(Q215&lt;R215,AND(N215="&lt;",Q215=R215)),"未達管制值","無法判定"),IF(OR(N215="&gt;",N215="&gt;="),IF(Q215&gt;=R215,"達管制值","無法判定"),"格式待核")))))))))))</f>
        <v/>
      </c>
      <c r="AE215" s="93">
        <f>IF(COUNTA($A215:$D215)=0,"",IF(AC215="未訂此介質／測項門檻",AC215,IF(AC215&lt;&gt;"已核對","標準待核",IF(S215="","未訂監測值",IF(NOT(ISNUMBER(L215)),"單位待核",IF(N215="ND","無法判定（ND無界限）",IF(N215="NA","不適用",IF(Z215&lt;&gt;"OK",Z215,IF(N215="數值",IF(Q215&gt;=S215,"達監測值","未達監測值"),IF(OR(N215="&lt;",N215="&lt;="),IF(OR(Q215&lt;S215,AND(N215="&lt;",Q215=S215)),"未達監測值","無法判定"),IF(OR(N215="&gt;",N215="&gt;="),IF(Q215&gt;=S215,"達監測值","無法判定"),"格式待核")))))))))))</f>
        <v/>
      </c>
      <c r="AF215" s="93">
        <f>IF(COUNTA($A215:$D215)=0,"",IF(OR(E215="",A215="",B215="",C215=""),"缺必要欄位",IF(Y215&lt;&gt;"OK","樣品資料待補",IF(T215=0,"測項未建或重複",IF(INDEX(DB_04[啟用],T215)&lt;&gt;"是","測項停用",IF(AND(Z215&lt;&gt;"OK",Z215&lt;&gt;"不適用"),Z215,IF(AND(AB215&lt;&gt;"OK",AB215&lt;&gt;"已換算"),"單位待核",IF(AA215&lt;&gt;"OK",AA215,"OK"))))))))</f>
        <v/>
      </c>
      <c r="AG215" s="93">
        <f>IF(COUNTA($A215:$D215)=0,"",IF(N215="ND","ND取0",IF(OR(N215="&lt;",N215="&lt;="),"界限除以2",IF(N215="NA","不適用",IF(OR(N215="&gt;",N215="&gt;="),"保留界限數值","保留原數值")))))</f>
        <v/>
      </c>
      <c r="AH215" s="92">
        <f>IF(O215="","",IFERROR(_xlfn.NUMBERVALUE(O215,".",","),""))</f>
        <v/>
      </c>
      <c r="AI215" s="92">
        <f>IF(H215="","",IFERROR(MATCH(H215,Samples[樣品編號],0),0))</f>
        <v/>
      </c>
    </row>
    <row r="216">
      <c r="A216" s="27" t="inlineStr">
        <is>
          <t>ORP</t>
        </is>
      </c>
      <c r="B216" s="28" t="inlineStr">
        <is>
          <t>-120</t>
        </is>
      </c>
      <c r="C216" s="27" t="inlineStr">
        <is>
          <t>mV</t>
        </is>
      </c>
      <c r="D216" s="39" t="inlineStr">
        <is>
          <t>合成資料，非實測；method=field; reference_electrode=Ag/AgCl; calibration=verified</t>
        </is>
      </c>
      <c r="E216" s="29">
        <f>IF(OR(I216="",I216=0),"",IF(INDEX(Samples[監測點],I216)="","",INDEX(Samples[監測點],I216)))</f>
        <v/>
      </c>
      <c r="F216" s="90">
        <f>IF(OR(I216="",I216=0),"",IF(INDEX(Samples[採樣日期],I216)="","",INDEX(Samples[採樣日期],I216)))</f>
        <v/>
      </c>
      <c r="G216" s="91">
        <f>IF(OR(M216="",M216="NA",M216="N/A"),"",IF(OR(M216="ND",M216="N.D."),0,IFERROR(IF(OR(OR(ISNUMBER(SEARCH("%",O216)),ISNUMBER(SEARCH(" ",O216)),ISNUMBER(SEARCH(",",O216))),OR(SUBSTITUTE(SUBSTITUTE(SUBSTITUTE(SUBSTITUTE(SUBSTITUTE(SUBSTITUTE(SUBSTITUTE(SUBSTITUTE(SUBSTITUTE(SUBSTITUTE(SUBSTITUTE(SUBSTITUTE(SUBSTITUTE(SUBSTITUTE(SUBSTITUTE(SUBSTITUTE(SUBSTITUTE(SUBSTITUTE("x"&amp;M216,"0",""),"1",""),"2",""),"3",""),"4",""),"5",""),"6",""),"7",""),"8",""),"9",""),".",""),"E",""),"+",""),"-",""),"&lt;",""),"&gt;",""),"=","")," ","")&lt;&gt;"x",ISNUMBER(SEARCH("-",SUBSTITUTE(SUBSTITUTE("x"&amp;MID(M216,2,99),"E-","E"),"E+","E"))),ISNUMBER(SEARCH("+",SUBSTITUTE(SUBSTITUTE("x"&amp;MID(M216,2,99),"E-","E"),"E+","E"))))),"",IF(AND(OR(LEFT(M216,1)="&lt;",LEFT(M216,1)="&gt;"),IF(O216="",0,IF(ISNUMBER(AH216),AH216,NA()))&lt;0),"",IF(O216="",0,IF(ISNUMBER(AH216),AH216,NA()))/IF(LEFT(M216,1)="&lt;",2,1))),"")))</f>
        <v/>
      </c>
      <c r="H216" s="57" t="inlineStr">
        <is>
          <t>BH05-W_20260115_03</t>
        </is>
      </c>
      <c r="I216" s="92">
        <f>IF(OR(H216="",AI216=0),0,IF(INDEX(Samples[樣品重複筆數],AI216)=1,AI216,0))</f>
        <v/>
      </c>
      <c r="J216" s="92">
        <f>IF(OR(COUNTA($A216:$D216)=0,I216=0),"",IF(INDEX(Samples[介質],I216)="","",INDEX(Samples[介質],I216)))</f>
        <v/>
      </c>
      <c r="K216" s="92">
        <f>IF(OR(COUNTA($A216:$D216)=0,T216=0),"",IF(INDEX(DB_04[標準單位],T216)="","",INDEX(DB_04[標準單位],T216)))</f>
        <v/>
      </c>
      <c r="L216" s="92">
        <f>IF(COUNTA($A216:$D216)=0,"",IF(OR(C216="",K216=""),"",IF(C216=K216,1,IF(COUNTIFS(DB_06[換算鍵],C216&amp;"|"&amp;K216,DB_06[換算檢查],"OK")=1,INDEX(DB_06[乘數],MATCH(C216&amp;"|"&amp;K216,DB_06[換算鍵],0)),""))))</f>
        <v/>
      </c>
      <c r="M216" s="92">
        <f>UPPER(SUBSTITUTE(SUBSTITUTE(SUBSTITUTE(SUBSTITUTE(TRIM(B216&amp;""),"＜","&lt;"),"＞","&gt;"),"≤","&lt;="),"≥","&gt;="))</f>
        <v/>
      </c>
      <c r="N216" s="92">
        <f>IF(M216="","",IF(OR(M216="ND",M216="N.D."),"ND",IF(OR(M216="NA",M216="N/A",M216="N.A."),"NA",IF(OR(LEFT(M216,2)="&lt;=",LEFT(M216,2)="&gt;="),LEFT(M216,2),IF(OR(LEFT(M216,1)="&lt;",LEFT(M216,1)="&gt;"),LEFT(M216,1),"數值")))))</f>
        <v/>
      </c>
      <c r="O216" s="92">
        <f>IF(OR(N216="",N216="ND",N216="NA"),"",IF(N216="數值",M216,TRIM(MID(M216,LEN(N216)+1,99))))</f>
        <v/>
      </c>
      <c r="P216" s="92">
        <f>IF(O216="","",IFERROR(IF(OR(OR(ISNUMBER(SEARCH("%",O216)),ISNUMBER(SEARCH(" ",O216)),ISNUMBER(SEARCH(",",O216))),OR(SUBSTITUTE(SUBSTITUTE(SUBSTITUTE(SUBSTITUTE(SUBSTITUTE(SUBSTITUTE(SUBSTITUTE(SUBSTITUTE(SUBSTITUTE(SUBSTITUTE(SUBSTITUTE(SUBSTITUTE(SUBSTITUTE(SUBSTITUTE(SUBSTITUTE(SUBSTITUTE(SUBSTITUTE(SUBSTITUTE("x"&amp;O216,"0",""),"1",""),"2",""),"3",""),"4",""),"5",""),"6",""),"7",""),"8",""),"9",""),".",""),"E",""),"+",""),"-",""),"&lt;",""),"&gt;",""),"=","")," ","")&lt;&gt;"x",ISNUMBER(SEARCH("-",SUBSTITUTE(SUBSTITUTE("x"&amp;MID(O216,2,99),"E-","E"),"E+","E"))),ISNUMBER(SEARCH("+",SUBSTITUTE(SUBSTITUTE("x"&amp;MID(O216,2,99),"E-","E"),"E+","E"))))),"",IF(ISNUMBER(AH216),AH216,NA())),""))</f>
        <v/>
      </c>
      <c r="Q216" s="92">
        <f>IF(AND(ISNUMBER(L216),ISNUMBER(P216)),L216*P216,"")</f>
        <v/>
      </c>
      <c r="R216" s="92">
        <f>IF(OR(COUNTA($A216:$D216)=0,U216=0),"",IF(INDEX(DB_05[管制設定值],U216)="","",INDEX(DB_05[管制設定值],U216)))</f>
        <v/>
      </c>
      <c r="S216" s="92">
        <f>IF(OR(COUNTA($A216:$D216)=0,U216=0),"",IF(INDEX(DB_05[監測設定值],U216)="","",INDEX(DB_05[監測設定值],U216)))</f>
        <v/>
      </c>
      <c r="T216" s="92">
        <f>IF(COUNTA($A216:$D216)=0,"",IF(COUNTIFS(DB_04[測項鍵],V216)=1,MATCH(V216,DB_04[測項鍵],0),0))</f>
        <v/>
      </c>
      <c r="U216" s="92">
        <f>IF(COUNTA($A216:$D216)=0,"",IF(COUNTIFS(DB_05[標準鍵],W216)=1,MATCH(W216,DB_05[標準鍵],0),0))</f>
        <v/>
      </c>
      <c r="V216" s="92">
        <f>IF(OR(J216="",A216=""),"",J216&amp;"|"&amp;A216)</f>
        <v/>
      </c>
      <c r="W216" s="92">
        <f>IF(OR('07_QAQC'!$C$3="",V216=""),"",'07_QAQC'!$C$3&amp;"|"&amp;V216)</f>
        <v/>
      </c>
      <c r="X216" s="92">
        <f>IF(OR(H216="",A216=""),"",LEN(H216)&amp;":"&amp;H216&amp;LEN(A216)&amp;":"&amp;A216)</f>
        <v/>
      </c>
      <c r="Y216" s="93">
        <f>IF(COUNTA($A216:$D216)=0,"",IF(I216=0,"樣品未建或重複",IF(INDEX(Samples[樣品檢查],I216)="","OK",INDEX(Samples[樣品檢查],I216))))</f>
        <v/>
      </c>
      <c r="Z216" s="93">
        <f>IF(COUNTA($A216:$D216)=0,"",IF(B216="","缺原始值",IF(OR(B216="-",B216="--"),"無資料",IF(N216="NA","不適用",IF(N216="ND","OK",IF(NOT(ISNUMBER(P216)),"格式待核",IF(AND(N216&lt;&gt;"數值",P216&lt;0),"界限不得為負","OK")))))))</f>
        <v/>
      </c>
      <c r="AA216" s="93">
        <f>IF(COUNTA(A216:D216)=0,"",IF(OR(A216="",H216=""),"缺識別欄位",IF(IF(LEN("="&amp;SUBSTITUTE(SUBSTITUTE(SUBSTITUTE(X216,"~","~~"),"*","~*"),"?","~?"))&lt;=255,COUNTIF(Results[結果識別鍵],"="&amp;SUBSTITUTE(SUBSTITUTE(SUBSTITUTE(X216,"~","~~"),"*","~*"),"?","~?")),COUNTIFS(Results[關聯鍵],"="&amp;SUBSTITUTE(SUBSTITUTE(SUBSTITUTE(H216,"~","~~"),"*","~*"),"?","~?"),Results[分析項目],"="&amp;SUBSTITUTE(SUBSTITUTE(SUBSTITUTE(A216,"~","~~"),"*","~*"),"?","~?")))&gt;1,"同關聯鍵測項重複","OK")))</f>
        <v/>
      </c>
      <c r="AB216" s="93">
        <f>IF(COUNTA($A216:$D216)=0,"",IF(OR(C216="",K216=""),"缺單位",IF(NOT(ISNUMBER(L216)),"單位不相容",IF(L216=1,"OK","已換算"))))</f>
        <v/>
      </c>
      <c r="AC216" s="93">
        <f>IF(COUNTA($A216:$D216)=0,"",IF('07_QAQC'!$C$3="","未選比較版本",IF(U216=0,IF(COUNTIFS(DB_05[標準鍵],W216)&gt;1,"標準鍵重複","未訂此介質／測項門檻"),IF(INDEX(DB_05[版本檢查],U216)&lt;&gt;"OK","標準主檔待核",IF(INDEX(DB_05[標準單位],U216)&lt;&gt;K216,"標準單位不符",IF(INDEX(DB_05[核對狀態],U216)="停用","停用",IF(F216="","缺採樣日期",IF(OR(AND(INDEX(DB_05[生效日],U216)&lt;&gt;"",F216&lt;INDEX(DB_05[生效日],U216)),AND(INDEX(DB_05[失效日],U216)&lt;&gt;"",F216&gt;INDEX(DB_05[失效日],U216))),"日期不適用",INDEX(DB_05[核對狀態],U216)))))))))</f>
        <v/>
      </c>
      <c r="AD216" s="93">
        <f>IF(COUNTA($A216:$D216)=0,"",IF(AC216="未訂此介質／測項門檻",AC216,IF(AC216&lt;&gt;"已核對","標準待核",IF(R216="","未訂管制值",IF(NOT(ISNUMBER(L216)),"單位待核",IF(N216="ND","無法判定（ND無界限）",IF(N216="NA","不適用",IF(Z216&lt;&gt;"OK",Z216,IF(N216="數值",IF(Q216&gt;=R216,"達管制值","未達管制值"),IF(OR(N216="&lt;",N216="&lt;="),IF(OR(Q216&lt;R216,AND(N216="&lt;",Q216=R216)),"未達管制值","無法判定"),IF(OR(N216="&gt;",N216="&gt;="),IF(Q216&gt;=R216,"達管制值","無法判定"),"格式待核")))))))))))</f>
        <v/>
      </c>
      <c r="AE216" s="93">
        <f>IF(COUNTA($A216:$D216)=0,"",IF(AC216="未訂此介質／測項門檻",AC216,IF(AC216&lt;&gt;"已核對","標準待核",IF(S216="","未訂監測值",IF(NOT(ISNUMBER(L216)),"單位待核",IF(N216="ND","無法判定（ND無界限）",IF(N216="NA","不適用",IF(Z216&lt;&gt;"OK",Z216,IF(N216="數值",IF(Q216&gt;=S216,"達監測值","未達監測值"),IF(OR(N216="&lt;",N216="&lt;="),IF(OR(Q216&lt;S216,AND(N216="&lt;",Q216=S216)),"未達監測值","無法判定"),IF(OR(N216="&gt;",N216="&gt;="),IF(Q216&gt;=S216,"達監測值","無法判定"),"格式待核")))))))))))</f>
        <v/>
      </c>
      <c r="AF216" s="93">
        <f>IF(COUNTA($A216:$D216)=0,"",IF(OR(E216="",A216="",B216="",C216=""),"缺必要欄位",IF(Y216&lt;&gt;"OK","樣品資料待補",IF(T216=0,"測項未建或重複",IF(INDEX(DB_04[啟用],T216)&lt;&gt;"是","測項停用",IF(AND(Z216&lt;&gt;"OK",Z216&lt;&gt;"不適用"),Z216,IF(AND(AB216&lt;&gt;"OK",AB216&lt;&gt;"已換算"),"單位待核",IF(AA216&lt;&gt;"OK",AA216,"OK"))))))))</f>
        <v/>
      </c>
      <c r="AG216" s="93">
        <f>IF(COUNTA($A216:$D216)=0,"",IF(N216="ND","ND取0",IF(OR(N216="&lt;",N216="&lt;="),"界限除以2",IF(N216="NA","不適用",IF(OR(N216="&gt;",N216="&gt;="),"保留界限數值","保留原數值")))))</f>
        <v/>
      </c>
      <c r="AH216" s="92">
        <f>IF(O216="","",IFERROR(_xlfn.NUMBERVALUE(O216,".",","),""))</f>
        <v/>
      </c>
      <c r="AI216" s="92">
        <f>IF(H216="","",IFERROR(MATCH(H216,Samples[樣品編號],0),0))</f>
        <v/>
      </c>
    </row>
    <row r="217">
      <c r="A217" s="27" t="inlineStr">
        <is>
          <t>總有機碳</t>
        </is>
      </c>
      <c r="B217" s="28" t="inlineStr">
        <is>
          <t>3.6</t>
        </is>
      </c>
      <c r="C217" s="27" t="inlineStr">
        <is>
          <t>mg/L</t>
        </is>
      </c>
      <c r="D217" s="39" t="inlineStr">
        <is>
          <t>合成資料，非實測；method=lab</t>
        </is>
      </c>
      <c r="E217" s="29">
        <f>IF(OR(I217="",I217=0),"",IF(INDEX(Samples[監測點],I217)="","",INDEX(Samples[監測點],I217)))</f>
        <v/>
      </c>
      <c r="F217" s="90">
        <f>IF(OR(I217="",I217=0),"",IF(INDEX(Samples[採樣日期],I217)="","",INDEX(Samples[採樣日期],I217)))</f>
        <v/>
      </c>
      <c r="G217" s="91">
        <f>IF(OR(M217="",M217="NA",M217="N/A"),"",IF(OR(M217="ND",M217="N.D."),0,IFERROR(IF(OR(OR(ISNUMBER(SEARCH("%",O217)),ISNUMBER(SEARCH(" ",O217)),ISNUMBER(SEARCH(",",O217))),OR(SUBSTITUTE(SUBSTITUTE(SUBSTITUTE(SUBSTITUTE(SUBSTITUTE(SUBSTITUTE(SUBSTITUTE(SUBSTITUTE(SUBSTITUTE(SUBSTITUTE(SUBSTITUTE(SUBSTITUTE(SUBSTITUTE(SUBSTITUTE(SUBSTITUTE(SUBSTITUTE(SUBSTITUTE(SUBSTITUTE("x"&amp;M217,"0",""),"1",""),"2",""),"3",""),"4",""),"5",""),"6",""),"7",""),"8",""),"9",""),".",""),"E",""),"+",""),"-",""),"&lt;",""),"&gt;",""),"=","")," ","")&lt;&gt;"x",ISNUMBER(SEARCH("-",SUBSTITUTE(SUBSTITUTE("x"&amp;MID(M217,2,99),"E-","E"),"E+","E"))),ISNUMBER(SEARCH("+",SUBSTITUTE(SUBSTITUTE("x"&amp;MID(M217,2,99),"E-","E"),"E+","E"))))),"",IF(AND(OR(LEFT(M217,1)="&lt;",LEFT(M217,1)="&gt;"),IF(O217="",0,IF(ISNUMBER(AH217),AH217,NA()))&lt;0),"",IF(O217="",0,IF(ISNUMBER(AH217),AH217,NA()))/IF(LEFT(M217,1)="&lt;",2,1))),"")))</f>
        <v/>
      </c>
      <c r="H217" s="57" t="inlineStr">
        <is>
          <t>BH05-W_20260115_03</t>
        </is>
      </c>
      <c r="I217" s="92">
        <f>IF(OR(H217="",AI217=0),0,IF(INDEX(Samples[樣品重複筆數],AI217)=1,AI217,0))</f>
        <v/>
      </c>
      <c r="J217" s="92">
        <f>IF(OR(COUNTA($A217:$D217)=0,I217=0),"",IF(INDEX(Samples[介質],I217)="","",INDEX(Samples[介質],I217)))</f>
        <v/>
      </c>
      <c r="K217" s="92">
        <f>IF(OR(COUNTA($A217:$D217)=0,T217=0),"",IF(INDEX(DB_04[標準單位],T217)="","",INDEX(DB_04[標準單位],T217)))</f>
        <v/>
      </c>
      <c r="L217" s="92">
        <f>IF(COUNTA($A217:$D217)=0,"",IF(OR(C217="",K217=""),"",IF(C217=K217,1,IF(COUNTIFS(DB_06[換算鍵],C217&amp;"|"&amp;K217,DB_06[換算檢查],"OK")=1,INDEX(DB_06[乘數],MATCH(C217&amp;"|"&amp;K217,DB_06[換算鍵],0)),""))))</f>
        <v/>
      </c>
      <c r="M217" s="92">
        <f>UPPER(SUBSTITUTE(SUBSTITUTE(SUBSTITUTE(SUBSTITUTE(TRIM(B217&amp;""),"＜","&lt;"),"＞","&gt;"),"≤","&lt;="),"≥","&gt;="))</f>
        <v/>
      </c>
      <c r="N217" s="92">
        <f>IF(M217="","",IF(OR(M217="ND",M217="N.D."),"ND",IF(OR(M217="NA",M217="N/A",M217="N.A."),"NA",IF(OR(LEFT(M217,2)="&lt;=",LEFT(M217,2)="&gt;="),LEFT(M217,2),IF(OR(LEFT(M217,1)="&lt;",LEFT(M217,1)="&gt;"),LEFT(M217,1),"數值")))))</f>
        <v/>
      </c>
      <c r="O217" s="92">
        <f>IF(OR(N217="",N217="ND",N217="NA"),"",IF(N217="數值",M217,TRIM(MID(M217,LEN(N217)+1,99))))</f>
        <v/>
      </c>
      <c r="P217" s="92">
        <f>IF(O217="","",IFERROR(IF(OR(OR(ISNUMBER(SEARCH("%",O217)),ISNUMBER(SEARCH(" ",O217)),ISNUMBER(SEARCH(",",O217))),OR(SUBSTITUTE(SUBSTITUTE(SUBSTITUTE(SUBSTITUTE(SUBSTITUTE(SUBSTITUTE(SUBSTITUTE(SUBSTITUTE(SUBSTITUTE(SUBSTITUTE(SUBSTITUTE(SUBSTITUTE(SUBSTITUTE(SUBSTITUTE(SUBSTITUTE(SUBSTITUTE(SUBSTITUTE(SUBSTITUTE("x"&amp;O217,"0",""),"1",""),"2",""),"3",""),"4",""),"5",""),"6",""),"7",""),"8",""),"9",""),".",""),"E",""),"+",""),"-",""),"&lt;",""),"&gt;",""),"=","")," ","")&lt;&gt;"x",ISNUMBER(SEARCH("-",SUBSTITUTE(SUBSTITUTE("x"&amp;MID(O217,2,99),"E-","E"),"E+","E"))),ISNUMBER(SEARCH("+",SUBSTITUTE(SUBSTITUTE("x"&amp;MID(O217,2,99),"E-","E"),"E+","E"))))),"",IF(ISNUMBER(AH217),AH217,NA())),""))</f>
        <v/>
      </c>
      <c r="Q217" s="92">
        <f>IF(AND(ISNUMBER(L217),ISNUMBER(P217)),L217*P217,"")</f>
        <v/>
      </c>
      <c r="R217" s="92">
        <f>IF(OR(COUNTA($A217:$D217)=0,U217=0),"",IF(INDEX(DB_05[管制設定值],U217)="","",INDEX(DB_05[管制設定值],U217)))</f>
        <v/>
      </c>
      <c r="S217" s="92">
        <f>IF(OR(COUNTA($A217:$D217)=0,U217=0),"",IF(INDEX(DB_05[監測設定值],U217)="","",INDEX(DB_05[監測設定值],U217)))</f>
        <v/>
      </c>
      <c r="T217" s="92">
        <f>IF(COUNTA($A217:$D217)=0,"",IF(COUNTIFS(DB_04[測項鍵],V217)=1,MATCH(V217,DB_04[測項鍵],0),0))</f>
        <v/>
      </c>
      <c r="U217" s="92">
        <f>IF(COUNTA($A217:$D217)=0,"",IF(COUNTIFS(DB_05[標準鍵],W217)=1,MATCH(W217,DB_05[標準鍵],0),0))</f>
        <v/>
      </c>
      <c r="V217" s="92">
        <f>IF(OR(J217="",A217=""),"",J217&amp;"|"&amp;A217)</f>
        <v/>
      </c>
      <c r="W217" s="92">
        <f>IF(OR('07_QAQC'!$C$3="",V217=""),"",'07_QAQC'!$C$3&amp;"|"&amp;V217)</f>
        <v/>
      </c>
      <c r="X217" s="92">
        <f>IF(OR(H217="",A217=""),"",LEN(H217)&amp;":"&amp;H217&amp;LEN(A217)&amp;":"&amp;A217)</f>
        <v/>
      </c>
      <c r="Y217" s="93">
        <f>IF(COUNTA($A217:$D217)=0,"",IF(I217=0,"樣品未建或重複",IF(INDEX(Samples[樣品檢查],I217)="","OK",INDEX(Samples[樣品檢查],I217))))</f>
        <v/>
      </c>
      <c r="Z217" s="93">
        <f>IF(COUNTA($A217:$D217)=0,"",IF(B217="","缺原始值",IF(OR(B217="-",B217="--"),"無資料",IF(N217="NA","不適用",IF(N217="ND","OK",IF(NOT(ISNUMBER(P217)),"格式待核",IF(AND(N217&lt;&gt;"數值",P217&lt;0),"界限不得為負","OK")))))))</f>
        <v/>
      </c>
      <c r="AA217" s="93">
        <f>IF(COUNTA(A217:D217)=0,"",IF(OR(A217="",H217=""),"缺識別欄位",IF(IF(LEN("="&amp;SUBSTITUTE(SUBSTITUTE(SUBSTITUTE(X217,"~","~~"),"*","~*"),"?","~?"))&lt;=255,COUNTIF(Results[結果識別鍵],"="&amp;SUBSTITUTE(SUBSTITUTE(SUBSTITUTE(X217,"~","~~"),"*","~*"),"?","~?")),COUNTIFS(Results[關聯鍵],"="&amp;SUBSTITUTE(SUBSTITUTE(SUBSTITUTE(H217,"~","~~"),"*","~*"),"?","~?"),Results[分析項目],"="&amp;SUBSTITUTE(SUBSTITUTE(SUBSTITUTE(A217,"~","~~"),"*","~*"),"?","~?")))&gt;1,"同關聯鍵測項重複","OK")))</f>
        <v/>
      </c>
      <c r="AB217" s="93">
        <f>IF(COUNTA($A217:$D217)=0,"",IF(OR(C217="",K217=""),"缺單位",IF(NOT(ISNUMBER(L217)),"單位不相容",IF(L217=1,"OK","已換算"))))</f>
        <v/>
      </c>
      <c r="AC217" s="93">
        <f>IF(COUNTA($A217:$D217)=0,"",IF('07_QAQC'!$C$3="","未選比較版本",IF(U217=0,IF(COUNTIFS(DB_05[標準鍵],W217)&gt;1,"標準鍵重複","未訂此介質／測項門檻"),IF(INDEX(DB_05[版本檢查],U217)&lt;&gt;"OK","標準主檔待核",IF(INDEX(DB_05[標準單位],U217)&lt;&gt;K217,"標準單位不符",IF(INDEX(DB_05[核對狀態],U217)="停用","停用",IF(F217="","缺採樣日期",IF(OR(AND(INDEX(DB_05[生效日],U217)&lt;&gt;"",F217&lt;INDEX(DB_05[生效日],U217)),AND(INDEX(DB_05[失效日],U217)&lt;&gt;"",F217&gt;INDEX(DB_05[失效日],U217))),"日期不適用",INDEX(DB_05[核對狀態],U217)))))))))</f>
        <v/>
      </c>
      <c r="AD217" s="93">
        <f>IF(COUNTA($A217:$D217)=0,"",IF(AC217="未訂此介質／測項門檻",AC217,IF(AC217&lt;&gt;"已核對","標準待核",IF(R217="","未訂管制值",IF(NOT(ISNUMBER(L217)),"單位待核",IF(N217="ND","無法判定（ND無界限）",IF(N217="NA","不適用",IF(Z217&lt;&gt;"OK",Z217,IF(N217="數值",IF(Q217&gt;=R217,"達管制值","未達管制值"),IF(OR(N217="&lt;",N217="&lt;="),IF(OR(Q217&lt;R217,AND(N217="&lt;",Q217=R217)),"未達管制值","無法判定"),IF(OR(N217="&gt;",N217="&gt;="),IF(Q217&gt;=R217,"達管制值","無法判定"),"格式待核")))))))))))</f>
        <v/>
      </c>
      <c r="AE217" s="93">
        <f>IF(COUNTA($A217:$D217)=0,"",IF(AC217="未訂此介質／測項門檻",AC217,IF(AC217&lt;&gt;"已核對","標準待核",IF(S217="","未訂監測值",IF(NOT(ISNUMBER(L217)),"單位待核",IF(N217="ND","無法判定（ND無界限）",IF(N217="NA","不適用",IF(Z217&lt;&gt;"OK",Z217,IF(N217="數值",IF(Q217&gt;=S217,"達監測值","未達監測值"),IF(OR(N217="&lt;",N217="&lt;="),IF(OR(Q217&lt;S217,AND(N217="&lt;",Q217=S217)),"未達監測值","無法判定"),IF(OR(N217="&gt;",N217="&gt;="),IF(Q217&gt;=S217,"達監測值","無法判定"),"格式待核")))))))))))</f>
        <v/>
      </c>
      <c r="AF217" s="93">
        <f>IF(COUNTA($A217:$D217)=0,"",IF(OR(E217="",A217="",B217="",C217=""),"缺必要欄位",IF(Y217&lt;&gt;"OK","樣品資料待補",IF(T217=0,"測項未建或重複",IF(INDEX(DB_04[啟用],T217)&lt;&gt;"是","測項停用",IF(AND(Z217&lt;&gt;"OK",Z217&lt;&gt;"不適用"),Z217,IF(AND(AB217&lt;&gt;"OK",AB217&lt;&gt;"已換算"),"單位待核",IF(AA217&lt;&gt;"OK",AA217,"OK"))))))))</f>
        <v/>
      </c>
      <c r="AG217" s="93">
        <f>IF(COUNTA($A217:$D217)=0,"",IF(N217="ND","ND取0",IF(OR(N217="&lt;",N217="&lt;="),"界限除以2",IF(N217="NA","不適用",IF(OR(N217="&gt;",N217="&gt;="),"保留界限數值","保留原數值")))))</f>
        <v/>
      </c>
      <c r="AH217" s="92">
        <f>IF(O217="","",IFERROR(_xlfn.NUMBERVALUE(O217,".",","),""))</f>
        <v/>
      </c>
      <c r="AI217" s="92">
        <f>IF(H217="","",IFERROR(MATCH(H217,Samples[樣品編號],0),0))</f>
        <v/>
      </c>
    </row>
    <row r="218">
      <c r="A218" s="27" t="inlineStr">
        <is>
          <t>鋅</t>
        </is>
      </c>
      <c r="B218" s="28" t="inlineStr">
        <is>
          <t>140</t>
        </is>
      </c>
      <c r="C218" s="27" t="inlineStr">
        <is>
          <t>mg/kg</t>
        </is>
      </c>
      <c r="D218" s="39" t="inlineStr">
        <is>
          <t>合成資料，非實測；method=XRF; basis=dry</t>
        </is>
      </c>
      <c r="E218" s="29">
        <f>IF(OR(I218="",I218=0),"",IF(INDEX(Samples[監測點],I218)="","",INDEX(Samples[監測點],I218)))</f>
        <v/>
      </c>
      <c r="F218" s="90">
        <f>IF(OR(I218="",I218=0),"",IF(INDEX(Samples[採樣日期],I218)="","",INDEX(Samples[採樣日期],I218)))</f>
        <v/>
      </c>
      <c r="G218" s="91">
        <f>IF(OR(M218="",M218="NA",M218="N/A"),"",IF(OR(M218="ND",M218="N.D."),0,IFERROR(IF(OR(OR(ISNUMBER(SEARCH("%",O218)),ISNUMBER(SEARCH(" ",O218)),ISNUMBER(SEARCH(",",O218))),OR(SUBSTITUTE(SUBSTITUTE(SUBSTITUTE(SUBSTITUTE(SUBSTITUTE(SUBSTITUTE(SUBSTITUTE(SUBSTITUTE(SUBSTITUTE(SUBSTITUTE(SUBSTITUTE(SUBSTITUTE(SUBSTITUTE(SUBSTITUTE(SUBSTITUTE(SUBSTITUTE(SUBSTITUTE(SUBSTITUTE("x"&amp;M218,"0",""),"1",""),"2",""),"3",""),"4",""),"5",""),"6",""),"7",""),"8",""),"9",""),".",""),"E",""),"+",""),"-",""),"&lt;",""),"&gt;",""),"=","")," ","")&lt;&gt;"x",ISNUMBER(SEARCH("-",SUBSTITUTE(SUBSTITUTE("x"&amp;MID(M218,2,99),"E-","E"),"E+","E"))),ISNUMBER(SEARCH("+",SUBSTITUTE(SUBSTITUTE("x"&amp;MID(M218,2,99),"E-","E"),"E+","E"))))),"",IF(AND(OR(LEFT(M218,1)="&lt;",LEFT(M218,1)="&gt;"),IF(O218="",0,IF(ISNUMBER(AH218),AH218,NA()))&lt;0),"",IF(O218="",0,IF(ISNUMBER(AH218),AH218,NA()))/IF(LEFT(M218,1)="&lt;",2,1))),"")))</f>
        <v/>
      </c>
      <c r="H218" s="57" t="inlineStr">
        <is>
          <t>BH05-S_20260415_01</t>
        </is>
      </c>
      <c r="I218" s="92">
        <f>IF(OR(H218="",AI218=0),0,IF(INDEX(Samples[樣品重複筆數],AI218)=1,AI218,0))</f>
        <v/>
      </c>
      <c r="J218" s="92">
        <f>IF(OR(COUNTA($A218:$D218)=0,I218=0),"",IF(INDEX(Samples[介質],I218)="","",INDEX(Samples[介質],I218)))</f>
        <v/>
      </c>
      <c r="K218" s="92">
        <f>IF(OR(COUNTA($A218:$D218)=0,T218=0),"",IF(INDEX(DB_04[標準單位],T218)="","",INDEX(DB_04[標準單位],T218)))</f>
        <v/>
      </c>
      <c r="L218" s="92">
        <f>IF(COUNTA($A218:$D218)=0,"",IF(OR(C218="",K218=""),"",IF(C218=K218,1,IF(COUNTIFS(DB_06[換算鍵],C218&amp;"|"&amp;K218,DB_06[換算檢查],"OK")=1,INDEX(DB_06[乘數],MATCH(C218&amp;"|"&amp;K218,DB_06[換算鍵],0)),""))))</f>
        <v/>
      </c>
      <c r="M218" s="92">
        <f>UPPER(SUBSTITUTE(SUBSTITUTE(SUBSTITUTE(SUBSTITUTE(TRIM(B218&amp;""),"＜","&lt;"),"＞","&gt;"),"≤","&lt;="),"≥","&gt;="))</f>
        <v/>
      </c>
      <c r="N218" s="92">
        <f>IF(M218="","",IF(OR(M218="ND",M218="N.D."),"ND",IF(OR(M218="NA",M218="N/A",M218="N.A."),"NA",IF(OR(LEFT(M218,2)="&lt;=",LEFT(M218,2)="&gt;="),LEFT(M218,2),IF(OR(LEFT(M218,1)="&lt;",LEFT(M218,1)="&gt;"),LEFT(M218,1),"數值")))))</f>
        <v/>
      </c>
      <c r="O218" s="92">
        <f>IF(OR(N218="",N218="ND",N218="NA"),"",IF(N218="數值",M218,TRIM(MID(M218,LEN(N218)+1,99))))</f>
        <v/>
      </c>
      <c r="P218" s="92">
        <f>IF(O218="","",IFERROR(IF(OR(OR(ISNUMBER(SEARCH("%",O218)),ISNUMBER(SEARCH(" ",O218)),ISNUMBER(SEARCH(",",O218))),OR(SUBSTITUTE(SUBSTITUTE(SUBSTITUTE(SUBSTITUTE(SUBSTITUTE(SUBSTITUTE(SUBSTITUTE(SUBSTITUTE(SUBSTITUTE(SUBSTITUTE(SUBSTITUTE(SUBSTITUTE(SUBSTITUTE(SUBSTITUTE(SUBSTITUTE(SUBSTITUTE(SUBSTITUTE(SUBSTITUTE("x"&amp;O218,"0",""),"1",""),"2",""),"3",""),"4",""),"5",""),"6",""),"7",""),"8",""),"9",""),".",""),"E",""),"+",""),"-",""),"&lt;",""),"&gt;",""),"=","")," ","")&lt;&gt;"x",ISNUMBER(SEARCH("-",SUBSTITUTE(SUBSTITUTE("x"&amp;MID(O218,2,99),"E-","E"),"E+","E"))),ISNUMBER(SEARCH("+",SUBSTITUTE(SUBSTITUTE("x"&amp;MID(O218,2,99),"E-","E"),"E+","E"))))),"",IF(ISNUMBER(AH218),AH218,NA())),""))</f>
        <v/>
      </c>
      <c r="Q218" s="92">
        <f>IF(AND(ISNUMBER(L218),ISNUMBER(P218)),L218*P218,"")</f>
        <v/>
      </c>
      <c r="R218" s="92">
        <f>IF(OR(COUNTA($A218:$D218)=0,U218=0),"",IF(INDEX(DB_05[管制設定值],U218)="","",INDEX(DB_05[管制設定值],U218)))</f>
        <v/>
      </c>
      <c r="S218" s="92">
        <f>IF(OR(COUNTA($A218:$D218)=0,U218=0),"",IF(INDEX(DB_05[監測設定值],U218)="","",INDEX(DB_05[監測設定值],U218)))</f>
        <v/>
      </c>
      <c r="T218" s="92">
        <f>IF(COUNTA($A218:$D218)=0,"",IF(COUNTIFS(DB_04[測項鍵],V218)=1,MATCH(V218,DB_04[測項鍵],0),0))</f>
        <v/>
      </c>
      <c r="U218" s="92">
        <f>IF(COUNTA($A218:$D218)=0,"",IF(COUNTIFS(DB_05[標準鍵],W218)=1,MATCH(W218,DB_05[標準鍵],0),0))</f>
        <v/>
      </c>
      <c r="V218" s="92">
        <f>IF(OR(J218="",A218=""),"",J218&amp;"|"&amp;A218)</f>
        <v/>
      </c>
      <c r="W218" s="92">
        <f>IF(OR('07_QAQC'!$C$3="",V218=""),"",'07_QAQC'!$C$3&amp;"|"&amp;V218)</f>
        <v/>
      </c>
      <c r="X218" s="92">
        <f>IF(OR(H218="",A218=""),"",LEN(H218)&amp;":"&amp;H218&amp;LEN(A218)&amp;":"&amp;A218)</f>
        <v/>
      </c>
      <c r="Y218" s="93">
        <f>IF(COUNTA($A218:$D218)=0,"",IF(I218=0,"樣品未建或重複",IF(INDEX(Samples[樣品檢查],I218)="","OK",INDEX(Samples[樣品檢查],I218))))</f>
        <v/>
      </c>
      <c r="Z218" s="93">
        <f>IF(COUNTA($A218:$D218)=0,"",IF(B218="","缺原始值",IF(OR(B218="-",B218="--"),"無資料",IF(N218="NA","不適用",IF(N218="ND","OK",IF(NOT(ISNUMBER(P218)),"格式待核",IF(AND(N218&lt;&gt;"數值",P218&lt;0),"界限不得為負","OK")))))))</f>
        <v/>
      </c>
      <c r="AA218" s="93">
        <f>IF(COUNTA(A218:D218)=0,"",IF(OR(A218="",H218=""),"缺識別欄位",IF(IF(LEN("="&amp;SUBSTITUTE(SUBSTITUTE(SUBSTITUTE(X218,"~","~~"),"*","~*"),"?","~?"))&lt;=255,COUNTIF(Results[結果識別鍵],"="&amp;SUBSTITUTE(SUBSTITUTE(SUBSTITUTE(X218,"~","~~"),"*","~*"),"?","~?")),COUNTIFS(Results[關聯鍵],"="&amp;SUBSTITUTE(SUBSTITUTE(SUBSTITUTE(H218,"~","~~"),"*","~*"),"?","~?"),Results[分析項目],"="&amp;SUBSTITUTE(SUBSTITUTE(SUBSTITUTE(A218,"~","~~"),"*","~*"),"?","~?")))&gt;1,"同關聯鍵測項重複","OK")))</f>
        <v/>
      </c>
      <c r="AB218" s="93">
        <f>IF(COUNTA($A218:$D218)=0,"",IF(OR(C218="",K218=""),"缺單位",IF(NOT(ISNUMBER(L218)),"單位不相容",IF(L218=1,"OK","已換算"))))</f>
        <v/>
      </c>
      <c r="AC218" s="93">
        <f>IF(COUNTA($A218:$D218)=0,"",IF('07_QAQC'!$C$3="","未選比較版本",IF(U218=0,IF(COUNTIFS(DB_05[標準鍵],W218)&gt;1,"標準鍵重複","未訂此介質／測項門檻"),IF(INDEX(DB_05[版本檢查],U218)&lt;&gt;"OK","標準主檔待核",IF(INDEX(DB_05[標準單位],U218)&lt;&gt;K218,"標準單位不符",IF(INDEX(DB_05[核對狀態],U218)="停用","停用",IF(F218="","缺採樣日期",IF(OR(AND(INDEX(DB_05[生效日],U218)&lt;&gt;"",F218&lt;INDEX(DB_05[生效日],U218)),AND(INDEX(DB_05[失效日],U218)&lt;&gt;"",F218&gt;INDEX(DB_05[失效日],U218))),"日期不適用",INDEX(DB_05[核對狀態],U218)))))))))</f>
        <v/>
      </c>
      <c r="AD218" s="93">
        <f>IF(COUNTA($A218:$D218)=0,"",IF(AC218="未訂此介質／測項門檻",AC218,IF(AC218&lt;&gt;"已核對","標準待核",IF(R218="","未訂管制值",IF(NOT(ISNUMBER(L218)),"單位待核",IF(N218="ND","無法判定（ND無界限）",IF(N218="NA","不適用",IF(Z218&lt;&gt;"OK",Z218,IF(N218="數值",IF(Q218&gt;=R218,"達管制值","未達管制值"),IF(OR(N218="&lt;",N218="&lt;="),IF(OR(Q218&lt;R218,AND(N218="&lt;",Q218=R218)),"未達管制值","無法判定"),IF(OR(N218="&gt;",N218="&gt;="),IF(Q218&gt;=R218,"達管制值","無法判定"),"格式待核")))))))))))</f>
        <v/>
      </c>
      <c r="AE218" s="93">
        <f>IF(COUNTA($A218:$D218)=0,"",IF(AC218="未訂此介質／測項門檻",AC218,IF(AC218&lt;&gt;"已核對","標準待核",IF(S218="","未訂監測值",IF(NOT(ISNUMBER(L218)),"單位待核",IF(N218="ND","無法判定（ND無界限）",IF(N218="NA","不適用",IF(Z218&lt;&gt;"OK",Z218,IF(N218="數值",IF(Q218&gt;=S218,"達監測值","未達監測值"),IF(OR(N218="&lt;",N218="&lt;="),IF(OR(Q218&lt;S218,AND(N218="&lt;",Q218=S218)),"未達監測值","無法判定"),IF(OR(N218="&gt;",N218="&gt;="),IF(Q218&gt;=S218,"達監測值","無法判定"),"格式待核")))))))))))</f>
        <v/>
      </c>
      <c r="AF218" s="93">
        <f>IF(COUNTA($A218:$D218)=0,"",IF(OR(E218="",A218="",B218="",C218=""),"缺必要欄位",IF(Y218&lt;&gt;"OK","樣品資料待補",IF(T218=0,"測項未建或重複",IF(INDEX(DB_04[啟用],T218)&lt;&gt;"是","測項停用",IF(AND(Z218&lt;&gt;"OK",Z218&lt;&gt;"不適用"),Z218,IF(AND(AB218&lt;&gt;"OK",AB218&lt;&gt;"已換算"),"單位待核",IF(AA218&lt;&gt;"OK",AA218,"OK"))))))))</f>
        <v/>
      </c>
      <c r="AG218" s="93">
        <f>IF(COUNTA($A218:$D218)=0,"",IF(N218="ND","ND取0",IF(OR(N218="&lt;",N218="&lt;="),"界限除以2",IF(N218="NA","不適用",IF(OR(N218="&gt;",N218="&gt;="),"保留界限數值","保留原數值")))))</f>
        <v/>
      </c>
      <c r="AH218" s="92">
        <f>IF(O218="","",IFERROR(_xlfn.NUMBERVALUE(O218,".",","),""))</f>
        <v/>
      </c>
      <c r="AI218" s="92">
        <f>IF(H218="","",IFERROR(MATCH(H218,Samples[樣品編號],0),0))</f>
        <v/>
      </c>
    </row>
    <row r="219">
      <c r="A219" s="27" t="inlineStr">
        <is>
          <t>總有機碳</t>
        </is>
      </c>
      <c r="B219" s="28" t="inlineStr">
        <is>
          <t>0.5</t>
        </is>
      </c>
      <c r="C219" s="27" t="inlineStr">
        <is>
          <t>%</t>
        </is>
      </c>
      <c r="D219" s="39" t="inlineStr">
        <is>
          <t>合成資料，非實測；method=lab; basis=dry</t>
        </is>
      </c>
      <c r="E219" s="29">
        <f>IF(OR(I219="",I219=0),"",IF(INDEX(Samples[監測點],I219)="","",INDEX(Samples[監測點],I219)))</f>
        <v/>
      </c>
      <c r="F219" s="90">
        <f>IF(OR(I219="",I219=0),"",IF(INDEX(Samples[採樣日期],I219)="","",INDEX(Samples[採樣日期],I219)))</f>
        <v/>
      </c>
      <c r="G219" s="91">
        <f>IF(OR(M219="",M219="NA",M219="N/A"),"",IF(OR(M219="ND",M219="N.D."),0,IFERROR(IF(OR(OR(ISNUMBER(SEARCH("%",O219)),ISNUMBER(SEARCH(" ",O219)),ISNUMBER(SEARCH(",",O219))),OR(SUBSTITUTE(SUBSTITUTE(SUBSTITUTE(SUBSTITUTE(SUBSTITUTE(SUBSTITUTE(SUBSTITUTE(SUBSTITUTE(SUBSTITUTE(SUBSTITUTE(SUBSTITUTE(SUBSTITUTE(SUBSTITUTE(SUBSTITUTE(SUBSTITUTE(SUBSTITUTE(SUBSTITUTE(SUBSTITUTE("x"&amp;M219,"0",""),"1",""),"2",""),"3",""),"4",""),"5",""),"6",""),"7",""),"8",""),"9",""),".",""),"E",""),"+",""),"-",""),"&lt;",""),"&gt;",""),"=","")," ","")&lt;&gt;"x",ISNUMBER(SEARCH("-",SUBSTITUTE(SUBSTITUTE("x"&amp;MID(M219,2,99),"E-","E"),"E+","E"))),ISNUMBER(SEARCH("+",SUBSTITUTE(SUBSTITUTE("x"&amp;MID(M219,2,99),"E-","E"),"E+","E"))))),"",IF(AND(OR(LEFT(M219,1)="&lt;",LEFT(M219,1)="&gt;"),IF(O219="",0,IF(ISNUMBER(AH219),AH219,NA()))&lt;0),"",IF(O219="",0,IF(ISNUMBER(AH219),AH219,NA()))/IF(LEFT(M219,1)="&lt;",2,1))),"")))</f>
        <v/>
      </c>
      <c r="H219" s="57" t="inlineStr">
        <is>
          <t>BH05-S_20260415_01</t>
        </is>
      </c>
      <c r="I219" s="92">
        <f>IF(OR(H219="",AI219=0),0,IF(INDEX(Samples[樣品重複筆數],AI219)=1,AI219,0))</f>
        <v/>
      </c>
      <c r="J219" s="92">
        <f>IF(OR(COUNTA($A219:$D219)=0,I219=0),"",IF(INDEX(Samples[介質],I219)="","",INDEX(Samples[介質],I219)))</f>
        <v/>
      </c>
      <c r="K219" s="92">
        <f>IF(OR(COUNTA($A219:$D219)=0,T219=0),"",IF(INDEX(DB_04[標準單位],T219)="","",INDEX(DB_04[標準單位],T219)))</f>
        <v/>
      </c>
      <c r="L219" s="92">
        <f>IF(COUNTA($A219:$D219)=0,"",IF(OR(C219="",K219=""),"",IF(C219=K219,1,IF(COUNTIFS(DB_06[換算鍵],C219&amp;"|"&amp;K219,DB_06[換算檢查],"OK")=1,INDEX(DB_06[乘數],MATCH(C219&amp;"|"&amp;K219,DB_06[換算鍵],0)),""))))</f>
        <v/>
      </c>
      <c r="M219" s="92">
        <f>UPPER(SUBSTITUTE(SUBSTITUTE(SUBSTITUTE(SUBSTITUTE(TRIM(B219&amp;""),"＜","&lt;"),"＞","&gt;"),"≤","&lt;="),"≥","&gt;="))</f>
        <v/>
      </c>
      <c r="N219" s="92">
        <f>IF(M219="","",IF(OR(M219="ND",M219="N.D."),"ND",IF(OR(M219="NA",M219="N/A",M219="N.A."),"NA",IF(OR(LEFT(M219,2)="&lt;=",LEFT(M219,2)="&gt;="),LEFT(M219,2),IF(OR(LEFT(M219,1)="&lt;",LEFT(M219,1)="&gt;"),LEFT(M219,1),"數值")))))</f>
        <v/>
      </c>
      <c r="O219" s="92">
        <f>IF(OR(N219="",N219="ND",N219="NA"),"",IF(N219="數值",M219,TRIM(MID(M219,LEN(N219)+1,99))))</f>
        <v/>
      </c>
      <c r="P219" s="92">
        <f>IF(O219="","",IFERROR(IF(OR(OR(ISNUMBER(SEARCH("%",O219)),ISNUMBER(SEARCH(" ",O219)),ISNUMBER(SEARCH(",",O219))),OR(SUBSTITUTE(SUBSTITUTE(SUBSTITUTE(SUBSTITUTE(SUBSTITUTE(SUBSTITUTE(SUBSTITUTE(SUBSTITUTE(SUBSTITUTE(SUBSTITUTE(SUBSTITUTE(SUBSTITUTE(SUBSTITUTE(SUBSTITUTE(SUBSTITUTE(SUBSTITUTE(SUBSTITUTE(SUBSTITUTE("x"&amp;O219,"0",""),"1",""),"2",""),"3",""),"4",""),"5",""),"6",""),"7",""),"8",""),"9",""),".",""),"E",""),"+",""),"-",""),"&lt;",""),"&gt;",""),"=","")," ","")&lt;&gt;"x",ISNUMBER(SEARCH("-",SUBSTITUTE(SUBSTITUTE("x"&amp;MID(O219,2,99),"E-","E"),"E+","E"))),ISNUMBER(SEARCH("+",SUBSTITUTE(SUBSTITUTE("x"&amp;MID(O219,2,99),"E-","E"),"E+","E"))))),"",IF(ISNUMBER(AH219),AH219,NA())),""))</f>
        <v/>
      </c>
      <c r="Q219" s="92">
        <f>IF(AND(ISNUMBER(L219),ISNUMBER(P219)),L219*P219,"")</f>
        <v/>
      </c>
      <c r="R219" s="92">
        <f>IF(OR(COUNTA($A219:$D219)=0,U219=0),"",IF(INDEX(DB_05[管制設定值],U219)="","",INDEX(DB_05[管制設定值],U219)))</f>
        <v/>
      </c>
      <c r="S219" s="92">
        <f>IF(OR(COUNTA($A219:$D219)=0,U219=0),"",IF(INDEX(DB_05[監測設定值],U219)="","",INDEX(DB_05[監測設定值],U219)))</f>
        <v/>
      </c>
      <c r="T219" s="92">
        <f>IF(COUNTA($A219:$D219)=0,"",IF(COUNTIFS(DB_04[測項鍵],V219)=1,MATCH(V219,DB_04[測項鍵],0),0))</f>
        <v/>
      </c>
      <c r="U219" s="92">
        <f>IF(COUNTA($A219:$D219)=0,"",IF(COUNTIFS(DB_05[標準鍵],W219)=1,MATCH(W219,DB_05[標準鍵],0),0))</f>
        <v/>
      </c>
      <c r="V219" s="92">
        <f>IF(OR(J219="",A219=""),"",J219&amp;"|"&amp;A219)</f>
        <v/>
      </c>
      <c r="W219" s="92">
        <f>IF(OR('07_QAQC'!$C$3="",V219=""),"",'07_QAQC'!$C$3&amp;"|"&amp;V219)</f>
        <v/>
      </c>
      <c r="X219" s="92">
        <f>IF(OR(H219="",A219=""),"",LEN(H219)&amp;":"&amp;H219&amp;LEN(A219)&amp;":"&amp;A219)</f>
        <v/>
      </c>
      <c r="Y219" s="93">
        <f>IF(COUNTA($A219:$D219)=0,"",IF(I219=0,"樣品未建或重複",IF(INDEX(Samples[樣品檢查],I219)="","OK",INDEX(Samples[樣品檢查],I219))))</f>
        <v/>
      </c>
      <c r="Z219" s="93">
        <f>IF(COUNTA($A219:$D219)=0,"",IF(B219="","缺原始值",IF(OR(B219="-",B219="--"),"無資料",IF(N219="NA","不適用",IF(N219="ND","OK",IF(NOT(ISNUMBER(P219)),"格式待核",IF(AND(N219&lt;&gt;"數值",P219&lt;0),"界限不得為負","OK")))))))</f>
        <v/>
      </c>
      <c r="AA219" s="93">
        <f>IF(COUNTA(A219:D219)=0,"",IF(OR(A219="",H219=""),"缺識別欄位",IF(IF(LEN("="&amp;SUBSTITUTE(SUBSTITUTE(SUBSTITUTE(X219,"~","~~"),"*","~*"),"?","~?"))&lt;=255,COUNTIF(Results[結果識別鍵],"="&amp;SUBSTITUTE(SUBSTITUTE(SUBSTITUTE(X219,"~","~~"),"*","~*"),"?","~?")),COUNTIFS(Results[關聯鍵],"="&amp;SUBSTITUTE(SUBSTITUTE(SUBSTITUTE(H219,"~","~~"),"*","~*"),"?","~?"),Results[分析項目],"="&amp;SUBSTITUTE(SUBSTITUTE(SUBSTITUTE(A219,"~","~~"),"*","~*"),"?","~?")))&gt;1,"同關聯鍵測項重複","OK")))</f>
        <v/>
      </c>
      <c r="AB219" s="93">
        <f>IF(COUNTA($A219:$D219)=0,"",IF(OR(C219="",K219=""),"缺單位",IF(NOT(ISNUMBER(L219)),"單位不相容",IF(L219=1,"OK","已換算"))))</f>
        <v/>
      </c>
      <c r="AC219" s="93">
        <f>IF(COUNTA($A219:$D219)=0,"",IF('07_QAQC'!$C$3="","未選比較版本",IF(U219=0,IF(COUNTIFS(DB_05[標準鍵],W219)&gt;1,"標準鍵重複","未訂此介質／測項門檻"),IF(INDEX(DB_05[版本檢查],U219)&lt;&gt;"OK","標準主檔待核",IF(INDEX(DB_05[標準單位],U219)&lt;&gt;K219,"標準單位不符",IF(INDEX(DB_05[核對狀態],U219)="停用","停用",IF(F219="","缺採樣日期",IF(OR(AND(INDEX(DB_05[生效日],U219)&lt;&gt;"",F219&lt;INDEX(DB_05[生效日],U219)),AND(INDEX(DB_05[失效日],U219)&lt;&gt;"",F219&gt;INDEX(DB_05[失效日],U219))),"日期不適用",INDEX(DB_05[核對狀態],U219)))))))))</f>
        <v/>
      </c>
      <c r="AD219" s="93">
        <f>IF(COUNTA($A219:$D219)=0,"",IF(AC219="未訂此介質／測項門檻",AC219,IF(AC219&lt;&gt;"已核對","標準待核",IF(R219="","未訂管制值",IF(NOT(ISNUMBER(L219)),"單位待核",IF(N219="ND","無法判定（ND無界限）",IF(N219="NA","不適用",IF(Z219&lt;&gt;"OK",Z219,IF(N219="數值",IF(Q219&gt;=R219,"達管制值","未達管制值"),IF(OR(N219="&lt;",N219="&lt;="),IF(OR(Q219&lt;R219,AND(N219="&lt;",Q219=R219)),"未達管制值","無法判定"),IF(OR(N219="&gt;",N219="&gt;="),IF(Q219&gt;=R219,"達管制值","無法判定"),"格式待核")))))))))))</f>
        <v/>
      </c>
      <c r="AE219" s="93">
        <f>IF(COUNTA($A219:$D219)=0,"",IF(AC219="未訂此介質／測項門檻",AC219,IF(AC219&lt;&gt;"已核對","標準待核",IF(S219="","未訂監測值",IF(NOT(ISNUMBER(L219)),"單位待核",IF(N219="ND","無法判定（ND無界限）",IF(N219="NA","不適用",IF(Z219&lt;&gt;"OK",Z219,IF(N219="數值",IF(Q219&gt;=S219,"達監測值","未達監測值"),IF(OR(N219="&lt;",N219="&lt;="),IF(OR(Q219&lt;S219,AND(N219="&lt;",Q219=S219)),"未達監測值","無法判定"),IF(OR(N219="&gt;",N219="&gt;="),IF(Q219&gt;=S219,"達監測值","無法判定"),"格式待核")))))))))))</f>
        <v/>
      </c>
      <c r="AF219" s="93">
        <f>IF(COUNTA($A219:$D219)=0,"",IF(OR(E219="",A219="",B219="",C219=""),"缺必要欄位",IF(Y219&lt;&gt;"OK","樣品資料待補",IF(T219=0,"測項未建或重複",IF(INDEX(DB_04[啟用],T219)&lt;&gt;"是","測項停用",IF(AND(Z219&lt;&gt;"OK",Z219&lt;&gt;"不適用"),Z219,IF(AND(AB219&lt;&gt;"OK",AB219&lt;&gt;"已換算"),"單位待核",IF(AA219&lt;&gt;"OK",AA219,"OK"))))))))</f>
        <v/>
      </c>
      <c r="AG219" s="93">
        <f>IF(COUNTA($A219:$D219)=0,"",IF(N219="ND","ND取0",IF(OR(N219="&lt;",N219="&lt;="),"界限除以2",IF(N219="NA","不適用",IF(OR(N219="&gt;",N219="&gt;="),"保留界限數值","保留原數值")))))</f>
        <v/>
      </c>
      <c r="AH219" s="92">
        <f>IF(O219="","",IFERROR(_xlfn.NUMBERVALUE(O219,".",","),""))</f>
        <v/>
      </c>
      <c r="AI219" s="92">
        <f>IF(H219="","",IFERROR(MATCH(H219,Samples[樣品編號],0),0))</f>
        <v/>
      </c>
    </row>
    <row r="220">
      <c r="A220" s="27" t="inlineStr">
        <is>
          <t>pH</t>
        </is>
      </c>
      <c r="B220" s="28" t="inlineStr">
        <is>
          <t>6.87</t>
        </is>
      </c>
      <c r="C220" s="27" t="inlineStr">
        <is>
          <t>無因次</t>
        </is>
      </c>
      <c r="D220" s="39" t="inlineStr">
        <is>
          <t>合成資料，非實測；method=field</t>
        </is>
      </c>
      <c r="E220" s="29">
        <f>IF(OR(I220="",I220=0),"",IF(INDEX(Samples[監測點],I220)="","",INDEX(Samples[監測點],I220)))</f>
        <v/>
      </c>
      <c r="F220" s="90">
        <f>IF(OR(I220="",I220=0),"",IF(INDEX(Samples[採樣日期],I220)="","",INDEX(Samples[採樣日期],I220)))</f>
        <v/>
      </c>
      <c r="G220" s="91">
        <f>IF(OR(M220="",M220="NA",M220="N/A"),"",IF(OR(M220="ND",M220="N.D."),0,IFERROR(IF(OR(OR(ISNUMBER(SEARCH("%",O220)),ISNUMBER(SEARCH(" ",O220)),ISNUMBER(SEARCH(",",O220))),OR(SUBSTITUTE(SUBSTITUTE(SUBSTITUTE(SUBSTITUTE(SUBSTITUTE(SUBSTITUTE(SUBSTITUTE(SUBSTITUTE(SUBSTITUTE(SUBSTITUTE(SUBSTITUTE(SUBSTITUTE(SUBSTITUTE(SUBSTITUTE(SUBSTITUTE(SUBSTITUTE(SUBSTITUTE(SUBSTITUTE("x"&amp;M220,"0",""),"1",""),"2",""),"3",""),"4",""),"5",""),"6",""),"7",""),"8",""),"9",""),".",""),"E",""),"+",""),"-",""),"&lt;",""),"&gt;",""),"=","")," ","")&lt;&gt;"x",ISNUMBER(SEARCH("-",SUBSTITUTE(SUBSTITUTE("x"&amp;MID(M220,2,99),"E-","E"),"E+","E"))),ISNUMBER(SEARCH("+",SUBSTITUTE(SUBSTITUTE("x"&amp;MID(M220,2,99),"E-","E"),"E+","E"))))),"",IF(AND(OR(LEFT(M220,1)="&lt;",LEFT(M220,1)="&gt;"),IF(O220="",0,IF(ISNUMBER(AH220),AH220,NA()))&lt;0),"",IF(O220="",0,IF(ISNUMBER(AH220),AH220,NA()))/IF(LEFT(M220,1)="&lt;",2,1))),"")))</f>
        <v/>
      </c>
      <c r="H220" s="57" t="inlineStr">
        <is>
          <t>BH05-W_20260415_01</t>
        </is>
      </c>
      <c r="I220" s="92">
        <f>IF(OR(H220="",AI220=0),0,IF(INDEX(Samples[樣品重複筆數],AI220)=1,AI220,0))</f>
        <v/>
      </c>
      <c r="J220" s="92">
        <f>IF(OR(COUNTA($A220:$D220)=0,I220=0),"",IF(INDEX(Samples[介質],I220)="","",INDEX(Samples[介質],I220)))</f>
        <v/>
      </c>
      <c r="K220" s="92">
        <f>IF(OR(COUNTA($A220:$D220)=0,T220=0),"",IF(INDEX(DB_04[標準單位],T220)="","",INDEX(DB_04[標準單位],T220)))</f>
        <v/>
      </c>
      <c r="L220" s="92">
        <f>IF(COUNTA($A220:$D220)=0,"",IF(OR(C220="",K220=""),"",IF(C220=K220,1,IF(COUNTIFS(DB_06[換算鍵],C220&amp;"|"&amp;K220,DB_06[換算檢查],"OK")=1,INDEX(DB_06[乘數],MATCH(C220&amp;"|"&amp;K220,DB_06[換算鍵],0)),""))))</f>
        <v/>
      </c>
      <c r="M220" s="92">
        <f>UPPER(SUBSTITUTE(SUBSTITUTE(SUBSTITUTE(SUBSTITUTE(TRIM(B220&amp;""),"＜","&lt;"),"＞","&gt;"),"≤","&lt;="),"≥","&gt;="))</f>
        <v/>
      </c>
      <c r="N220" s="92">
        <f>IF(M220="","",IF(OR(M220="ND",M220="N.D."),"ND",IF(OR(M220="NA",M220="N/A",M220="N.A."),"NA",IF(OR(LEFT(M220,2)="&lt;=",LEFT(M220,2)="&gt;="),LEFT(M220,2),IF(OR(LEFT(M220,1)="&lt;",LEFT(M220,1)="&gt;"),LEFT(M220,1),"數值")))))</f>
        <v/>
      </c>
      <c r="O220" s="92">
        <f>IF(OR(N220="",N220="ND",N220="NA"),"",IF(N220="數值",M220,TRIM(MID(M220,LEN(N220)+1,99))))</f>
        <v/>
      </c>
      <c r="P220" s="92">
        <f>IF(O220="","",IFERROR(IF(OR(OR(ISNUMBER(SEARCH("%",O220)),ISNUMBER(SEARCH(" ",O220)),ISNUMBER(SEARCH(",",O220))),OR(SUBSTITUTE(SUBSTITUTE(SUBSTITUTE(SUBSTITUTE(SUBSTITUTE(SUBSTITUTE(SUBSTITUTE(SUBSTITUTE(SUBSTITUTE(SUBSTITUTE(SUBSTITUTE(SUBSTITUTE(SUBSTITUTE(SUBSTITUTE(SUBSTITUTE(SUBSTITUTE(SUBSTITUTE(SUBSTITUTE("x"&amp;O220,"0",""),"1",""),"2",""),"3",""),"4",""),"5",""),"6",""),"7",""),"8",""),"9",""),".",""),"E",""),"+",""),"-",""),"&lt;",""),"&gt;",""),"=","")," ","")&lt;&gt;"x",ISNUMBER(SEARCH("-",SUBSTITUTE(SUBSTITUTE("x"&amp;MID(O220,2,99),"E-","E"),"E+","E"))),ISNUMBER(SEARCH("+",SUBSTITUTE(SUBSTITUTE("x"&amp;MID(O220,2,99),"E-","E"),"E+","E"))))),"",IF(ISNUMBER(AH220),AH220,NA())),""))</f>
        <v/>
      </c>
      <c r="Q220" s="92">
        <f>IF(AND(ISNUMBER(L220),ISNUMBER(P220)),L220*P220,"")</f>
        <v/>
      </c>
      <c r="R220" s="92">
        <f>IF(OR(COUNTA($A220:$D220)=0,U220=0),"",IF(INDEX(DB_05[管制設定值],U220)="","",INDEX(DB_05[管制設定值],U220)))</f>
        <v/>
      </c>
      <c r="S220" s="92">
        <f>IF(OR(COUNTA($A220:$D220)=0,U220=0),"",IF(INDEX(DB_05[監測設定值],U220)="","",INDEX(DB_05[監測設定值],U220)))</f>
        <v/>
      </c>
      <c r="T220" s="92">
        <f>IF(COUNTA($A220:$D220)=0,"",IF(COUNTIFS(DB_04[測項鍵],V220)=1,MATCH(V220,DB_04[測項鍵],0),0))</f>
        <v/>
      </c>
      <c r="U220" s="92">
        <f>IF(COUNTA($A220:$D220)=0,"",IF(COUNTIFS(DB_05[標準鍵],W220)=1,MATCH(W220,DB_05[標準鍵],0),0))</f>
        <v/>
      </c>
      <c r="V220" s="92">
        <f>IF(OR(J220="",A220=""),"",J220&amp;"|"&amp;A220)</f>
        <v/>
      </c>
      <c r="W220" s="92">
        <f>IF(OR('07_QAQC'!$C$3="",V220=""),"",'07_QAQC'!$C$3&amp;"|"&amp;V220)</f>
        <v/>
      </c>
      <c r="X220" s="92">
        <f>IF(OR(H220="",A220=""),"",LEN(H220)&amp;":"&amp;H220&amp;LEN(A220)&amp;":"&amp;A220)</f>
        <v/>
      </c>
      <c r="Y220" s="93">
        <f>IF(COUNTA($A220:$D220)=0,"",IF(I220=0,"樣品未建或重複",IF(INDEX(Samples[樣品檢查],I220)="","OK",INDEX(Samples[樣品檢查],I220))))</f>
        <v/>
      </c>
      <c r="Z220" s="93">
        <f>IF(COUNTA($A220:$D220)=0,"",IF(B220="","缺原始值",IF(OR(B220="-",B220="--"),"無資料",IF(N220="NA","不適用",IF(N220="ND","OK",IF(NOT(ISNUMBER(P220)),"格式待核",IF(AND(N220&lt;&gt;"數值",P220&lt;0),"界限不得為負","OK")))))))</f>
        <v/>
      </c>
      <c r="AA220" s="93">
        <f>IF(COUNTA(A220:D220)=0,"",IF(OR(A220="",H220=""),"缺識別欄位",IF(IF(LEN("="&amp;SUBSTITUTE(SUBSTITUTE(SUBSTITUTE(X220,"~","~~"),"*","~*"),"?","~?"))&lt;=255,COUNTIF(Results[結果識別鍵],"="&amp;SUBSTITUTE(SUBSTITUTE(SUBSTITUTE(X220,"~","~~"),"*","~*"),"?","~?")),COUNTIFS(Results[關聯鍵],"="&amp;SUBSTITUTE(SUBSTITUTE(SUBSTITUTE(H220,"~","~~"),"*","~*"),"?","~?"),Results[分析項目],"="&amp;SUBSTITUTE(SUBSTITUTE(SUBSTITUTE(A220,"~","~~"),"*","~*"),"?","~?")))&gt;1,"同關聯鍵測項重複","OK")))</f>
        <v/>
      </c>
      <c r="AB220" s="93">
        <f>IF(COUNTA($A220:$D220)=0,"",IF(OR(C220="",K220=""),"缺單位",IF(NOT(ISNUMBER(L220)),"單位不相容",IF(L220=1,"OK","已換算"))))</f>
        <v/>
      </c>
      <c r="AC220" s="93">
        <f>IF(COUNTA($A220:$D220)=0,"",IF('07_QAQC'!$C$3="","未選比較版本",IF(U220=0,IF(COUNTIFS(DB_05[標準鍵],W220)&gt;1,"標準鍵重複","未訂此介質／測項門檻"),IF(INDEX(DB_05[版本檢查],U220)&lt;&gt;"OK","標準主檔待核",IF(INDEX(DB_05[標準單位],U220)&lt;&gt;K220,"標準單位不符",IF(INDEX(DB_05[核對狀態],U220)="停用","停用",IF(F220="","缺採樣日期",IF(OR(AND(INDEX(DB_05[生效日],U220)&lt;&gt;"",F220&lt;INDEX(DB_05[生效日],U220)),AND(INDEX(DB_05[失效日],U220)&lt;&gt;"",F220&gt;INDEX(DB_05[失效日],U220))),"日期不適用",INDEX(DB_05[核對狀態],U220)))))))))</f>
        <v/>
      </c>
      <c r="AD220" s="93">
        <f>IF(COUNTA($A220:$D220)=0,"",IF(AC220="未訂此介質／測項門檻",AC220,IF(AC220&lt;&gt;"已核對","標準待核",IF(R220="","未訂管制值",IF(NOT(ISNUMBER(L220)),"單位待核",IF(N220="ND","無法判定（ND無界限）",IF(N220="NA","不適用",IF(Z220&lt;&gt;"OK",Z220,IF(N220="數值",IF(Q220&gt;=R220,"達管制值","未達管制值"),IF(OR(N220="&lt;",N220="&lt;="),IF(OR(Q220&lt;R220,AND(N220="&lt;",Q220=R220)),"未達管制值","無法判定"),IF(OR(N220="&gt;",N220="&gt;="),IF(Q220&gt;=R220,"達管制值","無法判定"),"格式待核")))))))))))</f>
        <v/>
      </c>
      <c r="AE220" s="93">
        <f>IF(COUNTA($A220:$D220)=0,"",IF(AC220="未訂此介質／測項門檻",AC220,IF(AC220&lt;&gt;"已核對","標準待核",IF(S220="","未訂監測值",IF(NOT(ISNUMBER(L220)),"單位待核",IF(N220="ND","無法判定（ND無界限）",IF(N220="NA","不適用",IF(Z220&lt;&gt;"OK",Z220,IF(N220="數值",IF(Q220&gt;=S220,"達監測值","未達監測值"),IF(OR(N220="&lt;",N220="&lt;="),IF(OR(Q220&lt;S220,AND(N220="&lt;",Q220=S220)),"未達監測值","無法判定"),IF(OR(N220="&gt;",N220="&gt;="),IF(Q220&gt;=S220,"達監測值","無法判定"),"格式待核")))))))))))</f>
        <v/>
      </c>
      <c r="AF220" s="93">
        <f>IF(COUNTA($A220:$D220)=0,"",IF(OR(E220="",A220="",B220="",C220=""),"缺必要欄位",IF(Y220&lt;&gt;"OK","樣品資料待補",IF(T220=0,"測項未建或重複",IF(INDEX(DB_04[啟用],T220)&lt;&gt;"是","測項停用",IF(AND(Z220&lt;&gt;"OK",Z220&lt;&gt;"不適用"),Z220,IF(AND(AB220&lt;&gt;"OK",AB220&lt;&gt;"已換算"),"單位待核",IF(AA220&lt;&gt;"OK",AA220,"OK"))))))))</f>
        <v/>
      </c>
      <c r="AG220" s="93">
        <f>IF(COUNTA($A220:$D220)=0,"",IF(N220="ND","ND取0",IF(OR(N220="&lt;",N220="&lt;="),"界限除以2",IF(N220="NA","不適用",IF(OR(N220="&gt;",N220="&gt;="),"保留界限數值","保留原數值")))))</f>
        <v/>
      </c>
      <c r="AH220" s="92">
        <f>IF(O220="","",IFERROR(_xlfn.NUMBERVALUE(O220,".",","),""))</f>
        <v/>
      </c>
      <c r="AI220" s="92">
        <f>IF(H220="","",IFERROR(MATCH(H220,Samples[樣品編號],0),0))</f>
        <v/>
      </c>
    </row>
    <row r="221">
      <c r="A221" s="27" t="inlineStr">
        <is>
          <t>EC</t>
        </is>
      </c>
      <c r="B221" s="28" t="inlineStr">
        <is>
          <t>0.56</t>
        </is>
      </c>
      <c r="C221" s="27" t="inlineStr">
        <is>
          <t>mS/cm</t>
        </is>
      </c>
      <c r="D221" s="39" t="inlineStr">
        <is>
          <t>合成資料，非實測；method=field; temperature=25; temperature_compensated=25C; reference_temperature=25</t>
        </is>
      </c>
      <c r="E221" s="29">
        <f>IF(OR(I221="",I221=0),"",IF(INDEX(Samples[監測點],I221)="","",INDEX(Samples[監測點],I221)))</f>
        <v/>
      </c>
      <c r="F221" s="90">
        <f>IF(OR(I221="",I221=0),"",IF(INDEX(Samples[採樣日期],I221)="","",INDEX(Samples[採樣日期],I221)))</f>
        <v/>
      </c>
      <c r="G221" s="91">
        <f>IF(OR(M221="",M221="NA",M221="N/A"),"",IF(OR(M221="ND",M221="N.D."),0,IFERROR(IF(OR(OR(ISNUMBER(SEARCH("%",O221)),ISNUMBER(SEARCH(" ",O221)),ISNUMBER(SEARCH(",",O221))),OR(SUBSTITUTE(SUBSTITUTE(SUBSTITUTE(SUBSTITUTE(SUBSTITUTE(SUBSTITUTE(SUBSTITUTE(SUBSTITUTE(SUBSTITUTE(SUBSTITUTE(SUBSTITUTE(SUBSTITUTE(SUBSTITUTE(SUBSTITUTE(SUBSTITUTE(SUBSTITUTE(SUBSTITUTE(SUBSTITUTE("x"&amp;M221,"0",""),"1",""),"2",""),"3",""),"4",""),"5",""),"6",""),"7",""),"8",""),"9",""),".",""),"E",""),"+",""),"-",""),"&lt;",""),"&gt;",""),"=","")," ","")&lt;&gt;"x",ISNUMBER(SEARCH("-",SUBSTITUTE(SUBSTITUTE("x"&amp;MID(M221,2,99),"E-","E"),"E+","E"))),ISNUMBER(SEARCH("+",SUBSTITUTE(SUBSTITUTE("x"&amp;MID(M221,2,99),"E-","E"),"E+","E"))))),"",IF(AND(OR(LEFT(M221,1)="&lt;",LEFT(M221,1)="&gt;"),IF(O221="",0,IF(ISNUMBER(AH221),AH221,NA()))&lt;0),"",IF(O221="",0,IF(ISNUMBER(AH221),AH221,NA()))/IF(LEFT(M221,1)="&lt;",2,1))),"")))</f>
        <v/>
      </c>
      <c r="H221" s="57" t="inlineStr">
        <is>
          <t>BH05-W_20260415_01</t>
        </is>
      </c>
      <c r="I221" s="92">
        <f>IF(OR(H221="",AI221=0),0,IF(INDEX(Samples[樣品重複筆數],AI221)=1,AI221,0))</f>
        <v/>
      </c>
      <c r="J221" s="92">
        <f>IF(OR(COUNTA($A221:$D221)=0,I221=0),"",IF(INDEX(Samples[介質],I221)="","",INDEX(Samples[介質],I221)))</f>
        <v/>
      </c>
      <c r="K221" s="92">
        <f>IF(OR(COUNTA($A221:$D221)=0,T221=0),"",IF(INDEX(DB_04[標準單位],T221)="","",INDEX(DB_04[標準單位],T221)))</f>
        <v/>
      </c>
      <c r="L221" s="92">
        <f>IF(COUNTA($A221:$D221)=0,"",IF(OR(C221="",K221=""),"",IF(C221=K221,1,IF(COUNTIFS(DB_06[換算鍵],C221&amp;"|"&amp;K221,DB_06[換算檢查],"OK")=1,INDEX(DB_06[乘數],MATCH(C221&amp;"|"&amp;K221,DB_06[換算鍵],0)),""))))</f>
        <v/>
      </c>
      <c r="M221" s="92">
        <f>UPPER(SUBSTITUTE(SUBSTITUTE(SUBSTITUTE(SUBSTITUTE(TRIM(B221&amp;""),"＜","&lt;"),"＞","&gt;"),"≤","&lt;="),"≥","&gt;="))</f>
        <v/>
      </c>
      <c r="N221" s="92">
        <f>IF(M221="","",IF(OR(M221="ND",M221="N.D."),"ND",IF(OR(M221="NA",M221="N/A",M221="N.A."),"NA",IF(OR(LEFT(M221,2)="&lt;=",LEFT(M221,2)="&gt;="),LEFT(M221,2),IF(OR(LEFT(M221,1)="&lt;",LEFT(M221,1)="&gt;"),LEFT(M221,1),"數值")))))</f>
        <v/>
      </c>
      <c r="O221" s="92">
        <f>IF(OR(N221="",N221="ND",N221="NA"),"",IF(N221="數值",M221,TRIM(MID(M221,LEN(N221)+1,99))))</f>
        <v/>
      </c>
      <c r="P221" s="92">
        <f>IF(O221="","",IFERROR(IF(OR(OR(ISNUMBER(SEARCH("%",O221)),ISNUMBER(SEARCH(" ",O221)),ISNUMBER(SEARCH(",",O221))),OR(SUBSTITUTE(SUBSTITUTE(SUBSTITUTE(SUBSTITUTE(SUBSTITUTE(SUBSTITUTE(SUBSTITUTE(SUBSTITUTE(SUBSTITUTE(SUBSTITUTE(SUBSTITUTE(SUBSTITUTE(SUBSTITUTE(SUBSTITUTE(SUBSTITUTE(SUBSTITUTE(SUBSTITUTE(SUBSTITUTE("x"&amp;O221,"0",""),"1",""),"2",""),"3",""),"4",""),"5",""),"6",""),"7",""),"8",""),"9",""),".",""),"E",""),"+",""),"-",""),"&lt;",""),"&gt;",""),"=","")," ","")&lt;&gt;"x",ISNUMBER(SEARCH("-",SUBSTITUTE(SUBSTITUTE("x"&amp;MID(O221,2,99),"E-","E"),"E+","E"))),ISNUMBER(SEARCH("+",SUBSTITUTE(SUBSTITUTE("x"&amp;MID(O221,2,99),"E-","E"),"E+","E"))))),"",IF(ISNUMBER(AH221),AH221,NA())),""))</f>
        <v/>
      </c>
      <c r="Q221" s="92">
        <f>IF(AND(ISNUMBER(L221),ISNUMBER(P221)),L221*P221,"")</f>
        <v/>
      </c>
      <c r="R221" s="92">
        <f>IF(OR(COUNTA($A221:$D221)=0,U221=0),"",IF(INDEX(DB_05[管制設定值],U221)="","",INDEX(DB_05[管制設定值],U221)))</f>
        <v/>
      </c>
      <c r="S221" s="92">
        <f>IF(OR(COUNTA($A221:$D221)=0,U221=0),"",IF(INDEX(DB_05[監測設定值],U221)="","",INDEX(DB_05[監測設定值],U221)))</f>
        <v/>
      </c>
      <c r="T221" s="92">
        <f>IF(COUNTA($A221:$D221)=0,"",IF(COUNTIFS(DB_04[測項鍵],V221)=1,MATCH(V221,DB_04[測項鍵],0),0))</f>
        <v/>
      </c>
      <c r="U221" s="92">
        <f>IF(COUNTA($A221:$D221)=0,"",IF(COUNTIFS(DB_05[標準鍵],W221)=1,MATCH(W221,DB_05[標準鍵],0),0))</f>
        <v/>
      </c>
      <c r="V221" s="92">
        <f>IF(OR(J221="",A221=""),"",J221&amp;"|"&amp;A221)</f>
        <v/>
      </c>
      <c r="W221" s="92">
        <f>IF(OR('07_QAQC'!$C$3="",V221=""),"",'07_QAQC'!$C$3&amp;"|"&amp;V221)</f>
        <v/>
      </c>
      <c r="X221" s="92">
        <f>IF(OR(H221="",A221=""),"",LEN(H221)&amp;":"&amp;H221&amp;LEN(A221)&amp;":"&amp;A221)</f>
        <v/>
      </c>
      <c r="Y221" s="93">
        <f>IF(COUNTA($A221:$D221)=0,"",IF(I221=0,"樣品未建或重複",IF(INDEX(Samples[樣品檢查],I221)="","OK",INDEX(Samples[樣品檢查],I221))))</f>
        <v/>
      </c>
      <c r="Z221" s="93">
        <f>IF(COUNTA($A221:$D221)=0,"",IF(B221="","缺原始值",IF(OR(B221="-",B221="--"),"無資料",IF(N221="NA","不適用",IF(N221="ND","OK",IF(NOT(ISNUMBER(P221)),"格式待核",IF(AND(N221&lt;&gt;"數值",P221&lt;0),"界限不得為負","OK")))))))</f>
        <v/>
      </c>
      <c r="AA221" s="93">
        <f>IF(COUNTA(A221:D221)=0,"",IF(OR(A221="",H221=""),"缺識別欄位",IF(IF(LEN("="&amp;SUBSTITUTE(SUBSTITUTE(SUBSTITUTE(X221,"~","~~"),"*","~*"),"?","~?"))&lt;=255,COUNTIF(Results[結果識別鍵],"="&amp;SUBSTITUTE(SUBSTITUTE(SUBSTITUTE(X221,"~","~~"),"*","~*"),"?","~?")),COUNTIFS(Results[關聯鍵],"="&amp;SUBSTITUTE(SUBSTITUTE(SUBSTITUTE(H221,"~","~~"),"*","~*"),"?","~?"),Results[分析項目],"="&amp;SUBSTITUTE(SUBSTITUTE(SUBSTITUTE(A221,"~","~~"),"*","~*"),"?","~?")))&gt;1,"同關聯鍵測項重複","OK")))</f>
        <v/>
      </c>
      <c r="AB221" s="93">
        <f>IF(COUNTA($A221:$D221)=0,"",IF(OR(C221="",K221=""),"缺單位",IF(NOT(ISNUMBER(L221)),"單位不相容",IF(L221=1,"OK","已換算"))))</f>
        <v/>
      </c>
      <c r="AC221" s="93">
        <f>IF(COUNTA($A221:$D221)=0,"",IF('07_QAQC'!$C$3="","未選比較版本",IF(U221=0,IF(COUNTIFS(DB_05[標準鍵],W221)&gt;1,"標準鍵重複","未訂此介質／測項門檻"),IF(INDEX(DB_05[版本檢查],U221)&lt;&gt;"OK","標準主檔待核",IF(INDEX(DB_05[標準單位],U221)&lt;&gt;K221,"標準單位不符",IF(INDEX(DB_05[核對狀態],U221)="停用","停用",IF(F221="","缺採樣日期",IF(OR(AND(INDEX(DB_05[生效日],U221)&lt;&gt;"",F221&lt;INDEX(DB_05[生效日],U221)),AND(INDEX(DB_05[失效日],U221)&lt;&gt;"",F221&gt;INDEX(DB_05[失效日],U221))),"日期不適用",INDEX(DB_05[核對狀態],U221)))))))))</f>
        <v/>
      </c>
      <c r="AD221" s="93">
        <f>IF(COUNTA($A221:$D221)=0,"",IF(AC221="未訂此介質／測項門檻",AC221,IF(AC221&lt;&gt;"已核對","標準待核",IF(R221="","未訂管制值",IF(NOT(ISNUMBER(L221)),"單位待核",IF(N221="ND","無法判定（ND無界限）",IF(N221="NA","不適用",IF(Z221&lt;&gt;"OK",Z221,IF(N221="數值",IF(Q221&gt;=R221,"達管制值","未達管制值"),IF(OR(N221="&lt;",N221="&lt;="),IF(OR(Q221&lt;R221,AND(N221="&lt;",Q221=R221)),"未達管制值","無法判定"),IF(OR(N221="&gt;",N221="&gt;="),IF(Q221&gt;=R221,"達管制值","無法判定"),"格式待核")))))))))))</f>
        <v/>
      </c>
      <c r="AE221" s="93">
        <f>IF(COUNTA($A221:$D221)=0,"",IF(AC221="未訂此介質／測項門檻",AC221,IF(AC221&lt;&gt;"已核對","標準待核",IF(S221="","未訂監測值",IF(NOT(ISNUMBER(L221)),"單位待核",IF(N221="ND","無法判定（ND無界限）",IF(N221="NA","不適用",IF(Z221&lt;&gt;"OK",Z221,IF(N221="數值",IF(Q221&gt;=S221,"達監測值","未達監測值"),IF(OR(N221="&lt;",N221="&lt;="),IF(OR(Q221&lt;S221,AND(N221="&lt;",Q221=S221)),"未達監測值","無法判定"),IF(OR(N221="&gt;",N221="&gt;="),IF(Q221&gt;=S221,"達監測值","無法判定"),"格式待核")))))))))))</f>
        <v/>
      </c>
      <c r="AF221" s="93">
        <f>IF(COUNTA($A221:$D221)=0,"",IF(OR(E221="",A221="",B221="",C221=""),"缺必要欄位",IF(Y221&lt;&gt;"OK","樣品資料待補",IF(T221=0,"測項未建或重複",IF(INDEX(DB_04[啟用],T221)&lt;&gt;"是","測項停用",IF(AND(Z221&lt;&gt;"OK",Z221&lt;&gt;"不適用"),Z221,IF(AND(AB221&lt;&gt;"OK",AB221&lt;&gt;"已換算"),"單位待核",IF(AA221&lt;&gt;"OK",AA221,"OK"))))))))</f>
        <v/>
      </c>
      <c r="AG221" s="93">
        <f>IF(COUNTA($A221:$D221)=0,"",IF(N221="ND","ND取0",IF(OR(N221="&lt;",N221="&lt;="),"界限除以2",IF(N221="NA","不適用",IF(OR(N221="&gt;",N221="&gt;="),"保留界限數值","保留原數值")))))</f>
        <v/>
      </c>
      <c r="AH221" s="92">
        <f>IF(O221="","",IFERROR(_xlfn.NUMBERVALUE(O221,".",","),""))</f>
        <v/>
      </c>
      <c r="AI221" s="92">
        <f>IF(H221="","",IFERROR(MATCH(H221,Samples[樣品編號],0),0))</f>
        <v/>
      </c>
    </row>
    <row r="222">
      <c r="A222" s="27" t="inlineStr">
        <is>
          <t>DO</t>
        </is>
      </c>
      <c r="B222" s="28" t="inlineStr">
        <is>
          <t>5.5</t>
        </is>
      </c>
      <c r="C222" s="27" t="inlineStr">
        <is>
          <t>mg/L</t>
        </is>
      </c>
      <c r="D222" s="39" t="inlineStr">
        <is>
          <t>合成資料，非實測；method=field</t>
        </is>
      </c>
      <c r="E222" s="29">
        <f>IF(OR(I222="",I222=0),"",IF(INDEX(Samples[監測點],I222)="","",INDEX(Samples[監測點],I222)))</f>
        <v/>
      </c>
      <c r="F222" s="90">
        <f>IF(OR(I222="",I222=0),"",IF(INDEX(Samples[採樣日期],I222)="","",INDEX(Samples[採樣日期],I222)))</f>
        <v/>
      </c>
      <c r="G222" s="91">
        <f>IF(OR(M222="",M222="NA",M222="N/A"),"",IF(OR(M222="ND",M222="N.D."),0,IFERROR(IF(OR(OR(ISNUMBER(SEARCH("%",O222)),ISNUMBER(SEARCH(" ",O222)),ISNUMBER(SEARCH(",",O222))),OR(SUBSTITUTE(SUBSTITUTE(SUBSTITUTE(SUBSTITUTE(SUBSTITUTE(SUBSTITUTE(SUBSTITUTE(SUBSTITUTE(SUBSTITUTE(SUBSTITUTE(SUBSTITUTE(SUBSTITUTE(SUBSTITUTE(SUBSTITUTE(SUBSTITUTE(SUBSTITUTE(SUBSTITUTE(SUBSTITUTE("x"&amp;M222,"0",""),"1",""),"2",""),"3",""),"4",""),"5",""),"6",""),"7",""),"8",""),"9",""),".",""),"E",""),"+",""),"-",""),"&lt;",""),"&gt;",""),"=","")," ","")&lt;&gt;"x",ISNUMBER(SEARCH("-",SUBSTITUTE(SUBSTITUTE("x"&amp;MID(M222,2,99),"E-","E"),"E+","E"))),ISNUMBER(SEARCH("+",SUBSTITUTE(SUBSTITUTE("x"&amp;MID(M222,2,99),"E-","E"),"E+","E"))))),"",IF(AND(OR(LEFT(M222,1)="&lt;",LEFT(M222,1)="&gt;"),IF(O222="",0,IF(ISNUMBER(AH222),AH222,NA()))&lt;0),"",IF(O222="",0,IF(ISNUMBER(AH222),AH222,NA()))/IF(LEFT(M222,1)="&lt;",2,1))),"")))</f>
        <v/>
      </c>
      <c r="H222" s="57" t="inlineStr">
        <is>
          <t>BH05-W_20260415_01</t>
        </is>
      </c>
      <c r="I222" s="92">
        <f>IF(OR(H222="",AI222=0),0,IF(INDEX(Samples[樣品重複筆數],AI222)=1,AI222,0))</f>
        <v/>
      </c>
      <c r="J222" s="92">
        <f>IF(OR(COUNTA($A222:$D222)=0,I222=0),"",IF(INDEX(Samples[介質],I222)="","",INDEX(Samples[介質],I222)))</f>
        <v/>
      </c>
      <c r="K222" s="92">
        <f>IF(OR(COUNTA($A222:$D222)=0,T222=0),"",IF(INDEX(DB_04[標準單位],T222)="","",INDEX(DB_04[標準單位],T222)))</f>
        <v/>
      </c>
      <c r="L222" s="92">
        <f>IF(COUNTA($A222:$D222)=0,"",IF(OR(C222="",K222=""),"",IF(C222=K222,1,IF(COUNTIFS(DB_06[換算鍵],C222&amp;"|"&amp;K222,DB_06[換算檢查],"OK")=1,INDEX(DB_06[乘數],MATCH(C222&amp;"|"&amp;K222,DB_06[換算鍵],0)),""))))</f>
        <v/>
      </c>
      <c r="M222" s="92">
        <f>UPPER(SUBSTITUTE(SUBSTITUTE(SUBSTITUTE(SUBSTITUTE(TRIM(B222&amp;""),"＜","&lt;"),"＞","&gt;"),"≤","&lt;="),"≥","&gt;="))</f>
        <v/>
      </c>
      <c r="N222" s="92">
        <f>IF(M222="","",IF(OR(M222="ND",M222="N.D."),"ND",IF(OR(M222="NA",M222="N/A",M222="N.A."),"NA",IF(OR(LEFT(M222,2)="&lt;=",LEFT(M222,2)="&gt;="),LEFT(M222,2),IF(OR(LEFT(M222,1)="&lt;",LEFT(M222,1)="&gt;"),LEFT(M222,1),"數值")))))</f>
        <v/>
      </c>
      <c r="O222" s="92">
        <f>IF(OR(N222="",N222="ND",N222="NA"),"",IF(N222="數值",M222,TRIM(MID(M222,LEN(N222)+1,99))))</f>
        <v/>
      </c>
      <c r="P222" s="92">
        <f>IF(O222="","",IFERROR(IF(OR(OR(ISNUMBER(SEARCH("%",O222)),ISNUMBER(SEARCH(" ",O222)),ISNUMBER(SEARCH(",",O222))),OR(SUBSTITUTE(SUBSTITUTE(SUBSTITUTE(SUBSTITUTE(SUBSTITUTE(SUBSTITUTE(SUBSTITUTE(SUBSTITUTE(SUBSTITUTE(SUBSTITUTE(SUBSTITUTE(SUBSTITUTE(SUBSTITUTE(SUBSTITUTE(SUBSTITUTE(SUBSTITUTE(SUBSTITUTE(SUBSTITUTE("x"&amp;O222,"0",""),"1",""),"2",""),"3",""),"4",""),"5",""),"6",""),"7",""),"8",""),"9",""),".",""),"E",""),"+",""),"-",""),"&lt;",""),"&gt;",""),"=","")," ","")&lt;&gt;"x",ISNUMBER(SEARCH("-",SUBSTITUTE(SUBSTITUTE("x"&amp;MID(O222,2,99),"E-","E"),"E+","E"))),ISNUMBER(SEARCH("+",SUBSTITUTE(SUBSTITUTE("x"&amp;MID(O222,2,99),"E-","E"),"E+","E"))))),"",IF(ISNUMBER(AH222),AH222,NA())),""))</f>
        <v/>
      </c>
      <c r="Q222" s="92">
        <f>IF(AND(ISNUMBER(L222),ISNUMBER(P222)),L222*P222,"")</f>
        <v/>
      </c>
      <c r="R222" s="92">
        <f>IF(OR(COUNTA($A222:$D222)=0,U222=0),"",IF(INDEX(DB_05[管制設定值],U222)="","",INDEX(DB_05[管制設定值],U222)))</f>
        <v/>
      </c>
      <c r="S222" s="92">
        <f>IF(OR(COUNTA($A222:$D222)=0,U222=0),"",IF(INDEX(DB_05[監測設定值],U222)="","",INDEX(DB_05[監測設定值],U222)))</f>
        <v/>
      </c>
      <c r="T222" s="92">
        <f>IF(COUNTA($A222:$D222)=0,"",IF(COUNTIFS(DB_04[測項鍵],V222)=1,MATCH(V222,DB_04[測項鍵],0),0))</f>
        <v/>
      </c>
      <c r="U222" s="92">
        <f>IF(COUNTA($A222:$D222)=0,"",IF(COUNTIFS(DB_05[標準鍵],W222)=1,MATCH(W222,DB_05[標準鍵],0),0))</f>
        <v/>
      </c>
      <c r="V222" s="92">
        <f>IF(OR(J222="",A222=""),"",J222&amp;"|"&amp;A222)</f>
        <v/>
      </c>
      <c r="W222" s="92">
        <f>IF(OR('07_QAQC'!$C$3="",V222=""),"",'07_QAQC'!$C$3&amp;"|"&amp;V222)</f>
        <v/>
      </c>
      <c r="X222" s="92">
        <f>IF(OR(H222="",A222=""),"",LEN(H222)&amp;":"&amp;H222&amp;LEN(A222)&amp;":"&amp;A222)</f>
        <v/>
      </c>
      <c r="Y222" s="93">
        <f>IF(COUNTA($A222:$D222)=0,"",IF(I222=0,"樣品未建或重複",IF(INDEX(Samples[樣品檢查],I222)="","OK",INDEX(Samples[樣品檢查],I222))))</f>
        <v/>
      </c>
      <c r="Z222" s="93">
        <f>IF(COUNTA($A222:$D222)=0,"",IF(B222="","缺原始值",IF(OR(B222="-",B222="--"),"無資料",IF(N222="NA","不適用",IF(N222="ND","OK",IF(NOT(ISNUMBER(P222)),"格式待核",IF(AND(N222&lt;&gt;"數值",P222&lt;0),"界限不得為負","OK")))))))</f>
        <v/>
      </c>
      <c r="AA222" s="93">
        <f>IF(COUNTA(A222:D222)=0,"",IF(OR(A222="",H222=""),"缺識別欄位",IF(IF(LEN("="&amp;SUBSTITUTE(SUBSTITUTE(SUBSTITUTE(X222,"~","~~"),"*","~*"),"?","~?"))&lt;=255,COUNTIF(Results[結果識別鍵],"="&amp;SUBSTITUTE(SUBSTITUTE(SUBSTITUTE(X222,"~","~~"),"*","~*"),"?","~?")),COUNTIFS(Results[關聯鍵],"="&amp;SUBSTITUTE(SUBSTITUTE(SUBSTITUTE(H222,"~","~~"),"*","~*"),"?","~?"),Results[分析項目],"="&amp;SUBSTITUTE(SUBSTITUTE(SUBSTITUTE(A222,"~","~~"),"*","~*"),"?","~?")))&gt;1,"同關聯鍵測項重複","OK")))</f>
        <v/>
      </c>
      <c r="AB222" s="93">
        <f>IF(COUNTA($A222:$D222)=0,"",IF(OR(C222="",K222=""),"缺單位",IF(NOT(ISNUMBER(L222)),"單位不相容",IF(L222=1,"OK","已換算"))))</f>
        <v/>
      </c>
      <c r="AC222" s="93">
        <f>IF(COUNTA($A222:$D222)=0,"",IF('07_QAQC'!$C$3="","未選比較版本",IF(U222=0,IF(COUNTIFS(DB_05[標準鍵],W222)&gt;1,"標準鍵重複","未訂此介質／測項門檻"),IF(INDEX(DB_05[版本檢查],U222)&lt;&gt;"OK","標準主檔待核",IF(INDEX(DB_05[標準單位],U222)&lt;&gt;K222,"標準單位不符",IF(INDEX(DB_05[核對狀態],U222)="停用","停用",IF(F222="","缺採樣日期",IF(OR(AND(INDEX(DB_05[生效日],U222)&lt;&gt;"",F222&lt;INDEX(DB_05[生效日],U222)),AND(INDEX(DB_05[失效日],U222)&lt;&gt;"",F222&gt;INDEX(DB_05[失效日],U222))),"日期不適用",INDEX(DB_05[核對狀態],U222)))))))))</f>
        <v/>
      </c>
      <c r="AD222" s="93">
        <f>IF(COUNTA($A222:$D222)=0,"",IF(AC222="未訂此介質／測項門檻",AC222,IF(AC222&lt;&gt;"已核對","標準待核",IF(R222="","未訂管制值",IF(NOT(ISNUMBER(L222)),"單位待核",IF(N222="ND","無法判定（ND無界限）",IF(N222="NA","不適用",IF(Z222&lt;&gt;"OK",Z222,IF(N222="數值",IF(Q222&gt;=R222,"達管制值","未達管制值"),IF(OR(N222="&lt;",N222="&lt;="),IF(OR(Q222&lt;R222,AND(N222="&lt;",Q222=R222)),"未達管制值","無法判定"),IF(OR(N222="&gt;",N222="&gt;="),IF(Q222&gt;=R222,"達管制值","無法判定"),"格式待核")))))))))))</f>
        <v/>
      </c>
      <c r="AE222" s="93">
        <f>IF(COUNTA($A222:$D222)=0,"",IF(AC222="未訂此介質／測項門檻",AC222,IF(AC222&lt;&gt;"已核對","標準待核",IF(S222="","未訂監測值",IF(NOT(ISNUMBER(L222)),"單位待核",IF(N222="ND","無法判定（ND無界限）",IF(N222="NA","不適用",IF(Z222&lt;&gt;"OK",Z222,IF(N222="數值",IF(Q222&gt;=S222,"達監測值","未達監測值"),IF(OR(N222="&lt;",N222="&lt;="),IF(OR(Q222&lt;S222,AND(N222="&lt;",Q222=S222)),"未達監測值","無法判定"),IF(OR(N222="&gt;",N222="&gt;="),IF(Q222&gt;=S222,"達監測值","無法判定"),"格式待核")))))))))))</f>
        <v/>
      </c>
      <c r="AF222" s="93">
        <f>IF(COUNTA($A222:$D222)=0,"",IF(OR(E222="",A222="",B222="",C222=""),"缺必要欄位",IF(Y222&lt;&gt;"OK","樣品資料待補",IF(T222=0,"測項未建或重複",IF(INDEX(DB_04[啟用],T222)&lt;&gt;"是","測項停用",IF(AND(Z222&lt;&gt;"OK",Z222&lt;&gt;"不適用"),Z222,IF(AND(AB222&lt;&gt;"OK",AB222&lt;&gt;"已換算"),"單位待核",IF(AA222&lt;&gt;"OK",AA222,"OK"))))))))</f>
        <v/>
      </c>
      <c r="AG222" s="93">
        <f>IF(COUNTA($A222:$D222)=0,"",IF(N222="ND","ND取0",IF(OR(N222="&lt;",N222="&lt;="),"界限除以2",IF(N222="NA","不適用",IF(OR(N222="&gt;",N222="&gt;="),"保留界限數值","保留原數值")))))</f>
        <v/>
      </c>
      <c r="AH222" s="92">
        <f>IF(O222="","",IFERROR(_xlfn.NUMBERVALUE(O222,".",","),""))</f>
        <v/>
      </c>
      <c r="AI222" s="92">
        <f>IF(H222="","",IFERROR(MATCH(H222,Samples[樣品編號],0),0))</f>
        <v/>
      </c>
    </row>
    <row r="223">
      <c r="A223" s="27" t="inlineStr">
        <is>
          <t>溶氧飽和度</t>
        </is>
      </c>
      <c r="B223" s="28" t="inlineStr">
        <is>
          <t>67</t>
        </is>
      </c>
      <c r="C223" s="27" t="inlineStr">
        <is>
          <t>%</t>
        </is>
      </c>
      <c r="D223" s="39" t="inlineStr">
        <is>
          <t>合成資料，非實測；method=field</t>
        </is>
      </c>
      <c r="E223" s="29">
        <f>IF(OR(I223="",I223=0),"",IF(INDEX(Samples[監測點],I223)="","",INDEX(Samples[監測點],I223)))</f>
        <v/>
      </c>
      <c r="F223" s="90">
        <f>IF(OR(I223="",I223=0),"",IF(INDEX(Samples[採樣日期],I223)="","",INDEX(Samples[採樣日期],I223)))</f>
        <v/>
      </c>
      <c r="G223" s="91">
        <f>IF(OR(M223="",M223="NA",M223="N/A"),"",IF(OR(M223="ND",M223="N.D."),0,IFERROR(IF(OR(OR(ISNUMBER(SEARCH("%",O223)),ISNUMBER(SEARCH(" ",O223)),ISNUMBER(SEARCH(",",O223))),OR(SUBSTITUTE(SUBSTITUTE(SUBSTITUTE(SUBSTITUTE(SUBSTITUTE(SUBSTITUTE(SUBSTITUTE(SUBSTITUTE(SUBSTITUTE(SUBSTITUTE(SUBSTITUTE(SUBSTITUTE(SUBSTITUTE(SUBSTITUTE(SUBSTITUTE(SUBSTITUTE(SUBSTITUTE(SUBSTITUTE("x"&amp;M223,"0",""),"1",""),"2",""),"3",""),"4",""),"5",""),"6",""),"7",""),"8",""),"9",""),".",""),"E",""),"+",""),"-",""),"&lt;",""),"&gt;",""),"=","")," ","")&lt;&gt;"x",ISNUMBER(SEARCH("-",SUBSTITUTE(SUBSTITUTE("x"&amp;MID(M223,2,99),"E-","E"),"E+","E"))),ISNUMBER(SEARCH("+",SUBSTITUTE(SUBSTITUTE("x"&amp;MID(M223,2,99),"E-","E"),"E+","E"))))),"",IF(AND(OR(LEFT(M223,1)="&lt;",LEFT(M223,1)="&gt;"),IF(O223="",0,IF(ISNUMBER(AH223),AH223,NA()))&lt;0),"",IF(O223="",0,IF(ISNUMBER(AH223),AH223,NA()))/IF(LEFT(M223,1)="&lt;",2,1))),"")))</f>
        <v/>
      </c>
      <c r="H223" s="57" t="inlineStr">
        <is>
          <t>BH05-W_20260415_01</t>
        </is>
      </c>
      <c r="I223" s="92">
        <f>IF(OR(H223="",AI223=0),0,IF(INDEX(Samples[樣品重複筆數],AI223)=1,AI223,0))</f>
        <v/>
      </c>
      <c r="J223" s="92">
        <f>IF(OR(COUNTA($A223:$D223)=0,I223=0),"",IF(INDEX(Samples[介質],I223)="","",INDEX(Samples[介質],I223)))</f>
        <v/>
      </c>
      <c r="K223" s="92">
        <f>IF(OR(COUNTA($A223:$D223)=0,T223=0),"",IF(INDEX(DB_04[標準單位],T223)="","",INDEX(DB_04[標準單位],T223)))</f>
        <v/>
      </c>
      <c r="L223" s="92">
        <f>IF(COUNTA($A223:$D223)=0,"",IF(OR(C223="",K223=""),"",IF(C223=K223,1,IF(COUNTIFS(DB_06[換算鍵],C223&amp;"|"&amp;K223,DB_06[換算檢查],"OK")=1,INDEX(DB_06[乘數],MATCH(C223&amp;"|"&amp;K223,DB_06[換算鍵],0)),""))))</f>
        <v/>
      </c>
      <c r="M223" s="92">
        <f>UPPER(SUBSTITUTE(SUBSTITUTE(SUBSTITUTE(SUBSTITUTE(TRIM(B223&amp;""),"＜","&lt;"),"＞","&gt;"),"≤","&lt;="),"≥","&gt;="))</f>
        <v/>
      </c>
      <c r="N223" s="92">
        <f>IF(M223="","",IF(OR(M223="ND",M223="N.D."),"ND",IF(OR(M223="NA",M223="N/A",M223="N.A."),"NA",IF(OR(LEFT(M223,2)="&lt;=",LEFT(M223,2)="&gt;="),LEFT(M223,2),IF(OR(LEFT(M223,1)="&lt;",LEFT(M223,1)="&gt;"),LEFT(M223,1),"數值")))))</f>
        <v/>
      </c>
      <c r="O223" s="92">
        <f>IF(OR(N223="",N223="ND",N223="NA"),"",IF(N223="數值",M223,TRIM(MID(M223,LEN(N223)+1,99))))</f>
        <v/>
      </c>
      <c r="P223" s="92">
        <f>IF(O223="","",IFERROR(IF(OR(OR(ISNUMBER(SEARCH("%",O223)),ISNUMBER(SEARCH(" ",O223)),ISNUMBER(SEARCH(",",O223))),OR(SUBSTITUTE(SUBSTITUTE(SUBSTITUTE(SUBSTITUTE(SUBSTITUTE(SUBSTITUTE(SUBSTITUTE(SUBSTITUTE(SUBSTITUTE(SUBSTITUTE(SUBSTITUTE(SUBSTITUTE(SUBSTITUTE(SUBSTITUTE(SUBSTITUTE(SUBSTITUTE(SUBSTITUTE(SUBSTITUTE("x"&amp;O223,"0",""),"1",""),"2",""),"3",""),"4",""),"5",""),"6",""),"7",""),"8",""),"9",""),".",""),"E",""),"+",""),"-",""),"&lt;",""),"&gt;",""),"=","")," ","")&lt;&gt;"x",ISNUMBER(SEARCH("-",SUBSTITUTE(SUBSTITUTE("x"&amp;MID(O223,2,99),"E-","E"),"E+","E"))),ISNUMBER(SEARCH("+",SUBSTITUTE(SUBSTITUTE("x"&amp;MID(O223,2,99),"E-","E"),"E+","E"))))),"",IF(ISNUMBER(AH223),AH223,NA())),""))</f>
        <v/>
      </c>
      <c r="Q223" s="92">
        <f>IF(AND(ISNUMBER(L223),ISNUMBER(P223)),L223*P223,"")</f>
        <v/>
      </c>
      <c r="R223" s="92">
        <f>IF(OR(COUNTA($A223:$D223)=0,U223=0),"",IF(INDEX(DB_05[管制設定值],U223)="","",INDEX(DB_05[管制設定值],U223)))</f>
        <v/>
      </c>
      <c r="S223" s="92">
        <f>IF(OR(COUNTA($A223:$D223)=0,U223=0),"",IF(INDEX(DB_05[監測設定值],U223)="","",INDEX(DB_05[監測設定值],U223)))</f>
        <v/>
      </c>
      <c r="T223" s="92">
        <f>IF(COUNTA($A223:$D223)=0,"",IF(COUNTIFS(DB_04[測項鍵],V223)=1,MATCH(V223,DB_04[測項鍵],0),0))</f>
        <v/>
      </c>
      <c r="U223" s="92">
        <f>IF(COUNTA($A223:$D223)=0,"",IF(COUNTIFS(DB_05[標準鍵],W223)=1,MATCH(W223,DB_05[標準鍵],0),0))</f>
        <v/>
      </c>
      <c r="V223" s="92">
        <f>IF(OR(J223="",A223=""),"",J223&amp;"|"&amp;A223)</f>
        <v/>
      </c>
      <c r="W223" s="92">
        <f>IF(OR('07_QAQC'!$C$3="",V223=""),"",'07_QAQC'!$C$3&amp;"|"&amp;V223)</f>
        <v/>
      </c>
      <c r="X223" s="92">
        <f>IF(OR(H223="",A223=""),"",LEN(H223)&amp;":"&amp;H223&amp;LEN(A223)&amp;":"&amp;A223)</f>
        <v/>
      </c>
      <c r="Y223" s="93">
        <f>IF(COUNTA($A223:$D223)=0,"",IF(I223=0,"樣品未建或重複",IF(INDEX(Samples[樣品檢查],I223)="","OK",INDEX(Samples[樣品檢查],I223))))</f>
        <v/>
      </c>
      <c r="Z223" s="93">
        <f>IF(COUNTA($A223:$D223)=0,"",IF(B223="","缺原始值",IF(OR(B223="-",B223="--"),"無資料",IF(N223="NA","不適用",IF(N223="ND","OK",IF(NOT(ISNUMBER(P223)),"格式待核",IF(AND(N223&lt;&gt;"數值",P223&lt;0),"界限不得為負","OK")))))))</f>
        <v/>
      </c>
      <c r="AA223" s="93">
        <f>IF(COUNTA(A223:D223)=0,"",IF(OR(A223="",H223=""),"缺識別欄位",IF(IF(LEN("="&amp;SUBSTITUTE(SUBSTITUTE(SUBSTITUTE(X223,"~","~~"),"*","~*"),"?","~?"))&lt;=255,COUNTIF(Results[結果識別鍵],"="&amp;SUBSTITUTE(SUBSTITUTE(SUBSTITUTE(X223,"~","~~"),"*","~*"),"?","~?")),COUNTIFS(Results[關聯鍵],"="&amp;SUBSTITUTE(SUBSTITUTE(SUBSTITUTE(H223,"~","~~"),"*","~*"),"?","~?"),Results[分析項目],"="&amp;SUBSTITUTE(SUBSTITUTE(SUBSTITUTE(A223,"~","~~"),"*","~*"),"?","~?")))&gt;1,"同關聯鍵測項重複","OK")))</f>
        <v/>
      </c>
      <c r="AB223" s="93">
        <f>IF(COUNTA($A223:$D223)=0,"",IF(OR(C223="",K223=""),"缺單位",IF(NOT(ISNUMBER(L223)),"單位不相容",IF(L223=1,"OK","已換算"))))</f>
        <v/>
      </c>
      <c r="AC223" s="93">
        <f>IF(COUNTA($A223:$D223)=0,"",IF('07_QAQC'!$C$3="","未選比較版本",IF(U223=0,IF(COUNTIFS(DB_05[標準鍵],W223)&gt;1,"標準鍵重複","未訂此介質／測項門檻"),IF(INDEX(DB_05[版本檢查],U223)&lt;&gt;"OK","標準主檔待核",IF(INDEX(DB_05[標準單位],U223)&lt;&gt;K223,"標準單位不符",IF(INDEX(DB_05[核對狀態],U223)="停用","停用",IF(F223="","缺採樣日期",IF(OR(AND(INDEX(DB_05[生效日],U223)&lt;&gt;"",F223&lt;INDEX(DB_05[生效日],U223)),AND(INDEX(DB_05[失效日],U223)&lt;&gt;"",F223&gt;INDEX(DB_05[失效日],U223))),"日期不適用",INDEX(DB_05[核對狀態],U223)))))))))</f>
        <v/>
      </c>
      <c r="AD223" s="93">
        <f>IF(COUNTA($A223:$D223)=0,"",IF(AC223="未訂此介質／測項門檻",AC223,IF(AC223&lt;&gt;"已核對","標準待核",IF(R223="","未訂管制值",IF(NOT(ISNUMBER(L223)),"單位待核",IF(N223="ND","無法判定（ND無界限）",IF(N223="NA","不適用",IF(Z223&lt;&gt;"OK",Z223,IF(N223="數值",IF(Q223&gt;=R223,"達管制值","未達管制值"),IF(OR(N223="&lt;",N223="&lt;="),IF(OR(Q223&lt;R223,AND(N223="&lt;",Q223=R223)),"未達管制值","無法判定"),IF(OR(N223="&gt;",N223="&gt;="),IF(Q223&gt;=R223,"達管制值","無法判定"),"格式待核")))))))))))</f>
        <v/>
      </c>
      <c r="AE223" s="93">
        <f>IF(COUNTA($A223:$D223)=0,"",IF(AC223="未訂此介質／測項門檻",AC223,IF(AC223&lt;&gt;"已核對","標準待核",IF(S223="","未訂監測值",IF(NOT(ISNUMBER(L223)),"單位待核",IF(N223="ND","無法判定（ND無界限）",IF(N223="NA","不適用",IF(Z223&lt;&gt;"OK",Z223,IF(N223="數值",IF(Q223&gt;=S223,"達監測值","未達監測值"),IF(OR(N223="&lt;",N223="&lt;="),IF(OR(Q223&lt;S223,AND(N223="&lt;",Q223=S223)),"未達監測值","無法判定"),IF(OR(N223="&gt;",N223="&gt;="),IF(Q223&gt;=S223,"達監測值","無法判定"),"格式待核")))))))))))</f>
        <v/>
      </c>
      <c r="AF223" s="93">
        <f>IF(COUNTA($A223:$D223)=0,"",IF(OR(E223="",A223="",B223="",C223=""),"缺必要欄位",IF(Y223&lt;&gt;"OK","樣品資料待補",IF(T223=0,"測項未建或重複",IF(INDEX(DB_04[啟用],T223)&lt;&gt;"是","測項停用",IF(AND(Z223&lt;&gt;"OK",Z223&lt;&gt;"不適用"),Z223,IF(AND(AB223&lt;&gt;"OK",AB223&lt;&gt;"已換算"),"單位待核",IF(AA223&lt;&gt;"OK",AA223,"OK"))))))))</f>
        <v/>
      </c>
      <c r="AG223" s="93">
        <f>IF(COUNTA($A223:$D223)=0,"",IF(N223="ND","ND取0",IF(OR(N223="&lt;",N223="&lt;="),"界限除以2",IF(N223="NA","不適用",IF(OR(N223="&gt;",N223="&gt;="),"保留界限數值","保留原數值")))))</f>
        <v/>
      </c>
      <c r="AH223" s="92">
        <f>IF(O223="","",IFERROR(_xlfn.NUMBERVALUE(O223,".",","),""))</f>
        <v/>
      </c>
      <c r="AI223" s="92">
        <f>IF(H223="","",IFERROR(MATCH(H223,Samples[樣品編號],0),0))</f>
        <v/>
      </c>
    </row>
    <row r="224">
      <c r="A224" s="27" t="inlineStr">
        <is>
          <t>ORP</t>
        </is>
      </c>
      <c r="B224" s="28" t="inlineStr">
        <is>
          <t>-45</t>
        </is>
      </c>
      <c r="C224" s="27" t="inlineStr">
        <is>
          <t>mV</t>
        </is>
      </c>
      <c r="D224" s="39" t="inlineStr">
        <is>
          <t>合成資料，非實測；method=field; reference_electrode=Ag/AgCl; calibration=verified</t>
        </is>
      </c>
      <c r="E224" s="29">
        <f>IF(OR(I224="",I224=0),"",IF(INDEX(Samples[監測點],I224)="","",INDEX(Samples[監測點],I224)))</f>
        <v/>
      </c>
      <c r="F224" s="90">
        <f>IF(OR(I224="",I224=0),"",IF(INDEX(Samples[採樣日期],I224)="","",INDEX(Samples[採樣日期],I224)))</f>
        <v/>
      </c>
      <c r="G224" s="91">
        <f>IF(OR(M224="",M224="NA",M224="N/A"),"",IF(OR(M224="ND",M224="N.D."),0,IFERROR(IF(OR(OR(ISNUMBER(SEARCH("%",O224)),ISNUMBER(SEARCH(" ",O224)),ISNUMBER(SEARCH(",",O224))),OR(SUBSTITUTE(SUBSTITUTE(SUBSTITUTE(SUBSTITUTE(SUBSTITUTE(SUBSTITUTE(SUBSTITUTE(SUBSTITUTE(SUBSTITUTE(SUBSTITUTE(SUBSTITUTE(SUBSTITUTE(SUBSTITUTE(SUBSTITUTE(SUBSTITUTE(SUBSTITUTE(SUBSTITUTE(SUBSTITUTE("x"&amp;M224,"0",""),"1",""),"2",""),"3",""),"4",""),"5",""),"6",""),"7",""),"8",""),"9",""),".",""),"E",""),"+",""),"-",""),"&lt;",""),"&gt;",""),"=","")," ","")&lt;&gt;"x",ISNUMBER(SEARCH("-",SUBSTITUTE(SUBSTITUTE("x"&amp;MID(M224,2,99),"E-","E"),"E+","E"))),ISNUMBER(SEARCH("+",SUBSTITUTE(SUBSTITUTE("x"&amp;MID(M224,2,99),"E-","E"),"E+","E"))))),"",IF(AND(OR(LEFT(M224,1)="&lt;",LEFT(M224,1)="&gt;"),IF(O224="",0,IF(ISNUMBER(AH224),AH224,NA()))&lt;0),"",IF(O224="",0,IF(ISNUMBER(AH224),AH224,NA()))/IF(LEFT(M224,1)="&lt;",2,1))),"")))</f>
        <v/>
      </c>
      <c r="H224" s="57" t="inlineStr">
        <is>
          <t>BH05-W_20260415_01</t>
        </is>
      </c>
      <c r="I224" s="92">
        <f>IF(OR(H224="",AI224=0),0,IF(INDEX(Samples[樣品重複筆數],AI224)=1,AI224,0))</f>
        <v/>
      </c>
      <c r="J224" s="92">
        <f>IF(OR(COUNTA($A224:$D224)=0,I224=0),"",IF(INDEX(Samples[介質],I224)="","",INDEX(Samples[介質],I224)))</f>
        <v/>
      </c>
      <c r="K224" s="92">
        <f>IF(OR(COUNTA($A224:$D224)=0,T224=0),"",IF(INDEX(DB_04[標準單位],T224)="","",INDEX(DB_04[標準單位],T224)))</f>
        <v/>
      </c>
      <c r="L224" s="92">
        <f>IF(COUNTA($A224:$D224)=0,"",IF(OR(C224="",K224=""),"",IF(C224=K224,1,IF(COUNTIFS(DB_06[換算鍵],C224&amp;"|"&amp;K224,DB_06[換算檢查],"OK")=1,INDEX(DB_06[乘數],MATCH(C224&amp;"|"&amp;K224,DB_06[換算鍵],0)),""))))</f>
        <v/>
      </c>
      <c r="M224" s="92">
        <f>UPPER(SUBSTITUTE(SUBSTITUTE(SUBSTITUTE(SUBSTITUTE(TRIM(B224&amp;""),"＜","&lt;"),"＞","&gt;"),"≤","&lt;="),"≥","&gt;="))</f>
        <v/>
      </c>
      <c r="N224" s="92">
        <f>IF(M224="","",IF(OR(M224="ND",M224="N.D."),"ND",IF(OR(M224="NA",M224="N/A",M224="N.A."),"NA",IF(OR(LEFT(M224,2)="&lt;=",LEFT(M224,2)="&gt;="),LEFT(M224,2),IF(OR(LEFT(M224,1)="&lt;",LEFT(M224,1)="&gt;"),LEFT(M224,1),"數值")))))</f>
        <v/>
      </c>
      <c r="O224" s="92">
        <f>IF(OR(N224="",N224="ND",N224="NA"),"",IF(N224="數值",M224,TRIM(MID(M224,LEN(N224)+1,99))))</f>
        <v/>
      </c>
      <c r="P224" s="92">
        <f>IF(O224="","",IFERROR(IF(OR(OR(ISNUMBER(SEARCH("%",O224)),ISNUMBER(SEARCH(" ",O224)),ISNUMBER(SEARCH(",",O224))),OR(SUBSTITUTE(SUBSTITUTE(SUBSTITUTE(SUBSTITUTE(SUBSTITUTE(SUBSTITUTE(SUBSTITUTE(SUBSTITUTE(SUBSTITUTE(SUBSTITUTE(SUBSTITUTE(SUBSTITUTE(SUBSTITUTE(SUBSTITUTE(SUBSTITUTE(SUBSTITUTE(SUBSTITUTE(SUBSTITUTE("x"&amp;O224,"0",""),"1",""),"2",""),"3",""),"4",""),"5",""),"6",""),"7",""),"8",""),"9",""),".",""),"E",""),"+",""),"-",""),"&lt;",""),"&gt;",""),"=","")," ","")&lt;&gt;"x",ISNUMBER(SEARCH("-",SUBSTITUTE(SUBSTITUTE("x"&amp;MID(O224,2,99),"E-","E"),"E+","E"))),ISNUMBER(SEARCH("+",SUBSTITUTE(SUBSTITUTE("x"&amp;MID(O224,2,99),"E-","E"),"E+","E"))))),"",IF(ISNUMBER(AH224),AH224,NA())),""))</f>
        <v/>
      </c>
      <c r="Q224" s="92">
        <f>IF(AND(ISNUMBER(L224),ISNUMBER(P224)),L224*P224,"")</f>
        <v/>
      </c>
      <c r="R224" s="92">
        <f>IF(OR(COUNTA($A224:$D224)=0,U224=0),"",IF(INDEX(DB_05[管制設定值],U224)="","",INDEX(DB_05[管制設定值],U224)))</f>
        <v/>
      </c>
      <c r="S224" s="92">
        <f>IF(OR(COUNTA($A224:$D224)=0,U224=0),"",IF(INDEX(DB_05[監測設定值],U224)="","",INDEX(DB_05[監測設定值],U224)))</f>
        <v/>
      </c>
      <c r="T224" s="92">
        <f>IF(COUNTA($A224:$D224)=0,"",IF(COUNTIFS(DB_04[測項鍵],V224)=1,MATCH(V224,DB_04[測項鍵],0),0))</f>
        <v/>
      </c>
      <c r="U224" s="92">
        <f>IF(COUNTA($A224:$D224)=0,"",IF(COUNTIFS(DB_05[標準鍵],W224)=1,MATCH(W224,DB_05[標準鍵],0),0))</f>
        <v/>
      </c>
      <c r="V224" s="92">
        <f>IF(OR(J224="",A224=""),"",J224&amp;"|"&amp;A224)</f>
        <v/>
      </c>
      <c r="W224" s="92">
        <f>IF(OR('07_QAQC'!$C$3="",V224=""),"",'07_QAQC'!$C$3&amp;"|"&amp;V224)</f>
        <v/>
      </c>
      <c r="X224" s="92">
        <f>IF(OR(H224="",A224=""),"",LEN(H224)&amp;":"&amp;H224&amp;LEN(A224)&amp;":"&amp;A224)</f>
        <v/>
      </c>
      <c r="Y224" s="93">
        <f>IF(COUNTA($A224:$D224)=0,"",IF(I224=0,"樣品未建或重複",IF(INDEX(Samples[樣品檢查],I224)="","OK",INDEX(Samples[樣品檢查],I224))))</f>
        <v/>
      </c>
      <c r="Z224" s="93">
        <f>IF(COUNTA($A224:$D224)=0,"",IF(B224="","缺原始值",IF(OR(B224="-",B224="--"),"無資料",IF(N224="NA","不適用",IF(N224="ND","OK",IF(NOT(ISNUMBER(P224)),"格式待核",IF(AND(N224&lt;&gt;"數值",P224&lt;0),"界限不得為負","OK")))))))</f>
        <v/>
      </c>
      <c r="AA224" s="93">
        <f>IF(COUNTA(A224:D224)=0,"",IF(OR(A224="",H224=""),"缺識別欄位",IF(IF(LEN("="&amp;SUBSTITUTE(SUBSTITUTE(SUBSTITUTE(X224,"~","~~"),"*","~*"),"?","~?"))&lt;=255,COUNTIF(Results[結果識別鍵],"="&amp;SUBSTITUTE(SUBSTITUTE(SUBSTITUTE(X224,"~","~~"),"*","~*"),"?","~?")),COUNTIFS(Results[關聯鍵],"="&amp;SUBSTITUTE(SUBSTITUTE(SUBSTITUTE(H224,"~","~~"),"*","~*"),"?","~?"),Results[分析項目],"="&amp;SUBSTITUTE(SUBSTITUTE(SUBSTITUTE(A224,"~","~~"),"*","~*"),"?","~?")))&gt;1,"同關聯鍵測項重複","OK")))</f>
        <v/>
      </c>
      <c r="AB224" s="93">
        <f>IF(COUNTA($A224:$D224)=0,"",IF(OR(C224="",K224=""),"缺單位",IF(NOT(ISNUMBER(L224)),"單位不相容",IF(L224=1,"OK","已換算"))))</f>
        <v/>
      </c>
      <c r="AC224" s="93">
        <f>IF(COUNTA($A224:$D224)=0,"",IF('07_QAQC'!$C$3="","未選比較版本",IF(U224=0,IF(COUNTIFS(DB_05[標準鍵],W224)&gt;1,"標準鍵重複","未訂此介質／測項門檻"),IF(INDEX(DB_05[版本檢查],U224)&lt;&gt;"OK","標準主檔待核",IF(INDEX(DB_05[標準單位],U224)&lt;&gt;K224,"標準單位不符",IF(INDEX(DB_05[核對狀態],U224)="停用","停用",IF(F224="","缺採樣日期",IF(OR(AND(INDEX(DB_05[生效日],U224)&lt;&gt;"",F224&lt;INDEX(DB_05[生效日],U224)),AND(INDEX(DB_05[失效日],U224)&lt;&gt;"",F224&gt;INDEX(DB_05[失效日],U224))),"日期不適用",INDEX(DB_05[核對狀態],U224)))))))))</f>
        <v/>
      </c>
      <c r="AD224" s="93">
        <f>IF(COUNTA($A224:$D224)=0,"",IF(AC224="未訂此介質／測項門檻",AC224,IF(AC224&lt;&gt;"已核對","標準待核",IF(R224="","未訂管制值",IF(NOT(ISNUMBER(L224)),"單位待核",IF(N224="ND","無法判定（ND無界限）",IF(N224="NA","不適用",IF(Z224&lt;&gt;"OK",Z224,IF(N224="數值",IF(Q224&gt;=R224,"達管制值","未達管制值"),IF(OR(N224="&lt;",N224="&lt;="),IF(OR(Q224&lt;R224,AND(N224="&lt;",Q224=R224)),"未達管制值","無法判定"),IF(OR(N224="&gt;",N224="&gt;="),IF(Q224&gt;=R224,"達管制值","無法判定"),"格式待核")))))))))))</f>
        <v/>
      </c>
      <c r="AE224" s="93">
        <f>IF(COUNTA($A224:$D224)=0,"",IF(AC224="未訂此介質／測項門檻",AC224,IF(AC224&lt;&gt;"已核對","標準待核",IF(S224="","未訂監測值",IF(NOT(ISNUMBER(L224)),"單位待核",IF(N224="ND","無法判定（ND無界限）",IF(N224="NA","不適用",IF(Z224&lt;&gt;"OK",Z224,IF(N224="數值",IF(Q224&gt;=S224,"達監測值","未達監測值"),IF(OR(N224="&lt;",N224="&lt;="),IF(OR(Q224&lt;S224,AND(N224="&lt;",Q224=S224)),"未達監測值","無法判定"),IF(OR(N224="&gt;",N224="&gt;="),IF(Q224&gt;=S224,"達監測值","無法判定"),"格式待核")))))))))))</f>
        <v/>
      </c>
      <c r="AF224" s="93">
        <f>IF(COUNTA($A224:$D224)=0,"",IF(OR(E224="",A224="",B224="",C224=""),"缺必要欄位",IF(Y224&lt;&gt;"OK","樣品資料待補",IF(T224=0,"測項未建或重複",IF(INDEX(DB_04[啟用],T224)&lt;&gt;"是","測項停用",IF(AND(Z224&lt;&gt;"OK",Z224&lt;&gt;"不適用"),Z224,IF(AND(AB224&lt;&gt;"OK",AB224&lt;&gt;"已換算"),"單位待核",IF(AA224&lt;&gt;"OK",AA224,"OK"))))))))</f>
        <v/>
      </c>
      <c r="AG224" s="93">
        <f>IF(COUNTA($A224:$D224)=0,"",IF(N224="ND","ND取0",IF(OR(N224="&lt;",N224="&lt;="),"界限除以2",IF(N224="NA","不適用",IF(OR(N224="&gt;",N224="&gt;="),"保留界限數值","保留原數值")))))</f>
        <v/>
      </c>
      <c r="AH224" s="92">
        <f>IF(O224="","",IFERROR(_xlfn.NUMBERVALUE(O224,".",","),""))</f>
        <v/>
      </c>
      <c r="AI224" s="92">
        <f>IF(H224="","",IFERROR(MATCH(H224,Samples[樣品編號],0),0))</f>
        <v/>
      </c>
    </row>
    <row r="225">
      <c r="A225" s="27" t="inlineStr">
        <is>
          <t>總有機碳</t>
        </is>
      </c>
      <c r="B225" s="28" t="inlineStr">
        <is>
          <t>3.1</t>
        </is>
      </c>
      <c r="C225" s="27" t="inlineStr">
        <is>
          <t>mg/L</t>
        </is>
      </c>
      <c r="D225" s="39" t="inlineStr">
        <is>
          <t>合成資料，非實測；method=lab</t>
        </is>
      </c>
      <c r="E225" s="29">
        <f>IF(OR(I225="",I225=0),"",IF(INDEX(Samples[監測點],I225)="","",INDEX(Samples[監測點],I225)))</f>
        <v/>
      </c>
      <c r="F225" s="90">
        <f>IF(OR(I225="",I225=0),"",IF(INDEX(Samples[採樣日期],I225)="","",INDEX(Samples[採樣日期],I225)))</f>
        <v/>
      </c>
      <c r="G225" s="91">
        <f>IF(OR(M225="",M225="NA",M225="N/A"),"",IF(OR(M225="ND",M225="N.D."),0,IFERROR(IF(OR(OR(ISNUMBER(SEARCH("%",O225)),ISNUMBER(SEARCH(" ",O225)),ISNUMBER(SEARCH(",",O225))),OR(SUBSTITUTE(SUBSTITUTE(SUBSTITUTE(SUBSTITUTE(SUBSTITUTE(SUBSTITUTE(SUBSTITUTE(SUBSTITUTE(SUBSTITUTE(SUBSTITUTE(SUBSTITUTE(SUBSTITUTE(SUBSTITUTE(SUBSTITUTE(SUBSTITUTE(SUBSTITUTE(SUBSTITUTE(SUBSTITUTE("x"&amp;M225,"0",""),"1",""),"2",""),"3",""),"4",""),"5",""),"6",""),"7",""),"8",""),"9",""),".",""),"E",""),"+",""),"-",""),"&lt;",""),"&gt;",""),"=","")," ","")&lt;&gt;"x",ISNUMBER(SEARCH("-",SUBSTITUTE(SUBSTITUTE("x"&amp;MID(M225,2,99),"E-","E"),"E+","E"))),ISNUMBER(SEARCH("+",SUBSTITUTE(SUBSTITUTE("x"&amp;MID(M225,2,99),"E-","E"),"E+","E"))))),"",IF(AND(OR(LEFT(M225,1)="&lt;",LEFT(M225,1)="&gt;"),IF(O225="",0,IF(ISNUMBER(AH225),AH225,NA()))&lt;0),"",IF(O225="",0,IF(ISNUMBER(AH225),AH225,NA()))/IF(LEFT(M225,1)="&lt;",2,1))),"")))</f>
        <v/>
      </c>
      <c r="H225" s="57" t="inlineStr">
        <is>
          <t>BH05-W_20260415_01</t>
        </is>
      </c>
      <c r="I225" s="92">
        <f>IF(OR(H225="",AI225=0),0,IF(INDEX(Samples[樣品重複筆數],AI225)=1,AI225,0))</f>
        <v/>
      </c>
      <c r="J225" s="92">
        <f>IF(OR(COUNTA($A225:$D225)=0,I225=0),"",IF(INDEX(Samples[介質],I225)="","",INDEX(Samples[介質],I225)))</f>
        <v/>
      </c>
      <c r="K225" s="92">
        <f>IF(OR(COUNTA($A225:$D225)=0,T225=0),"",IF(INDEX(DB_04[標準單位],T225)="","",INDEX(DB_04[標準單位],T225)))</f>
        <v/>
      </c>
      <c r="L225" s="92">
        <f>IF(COUNTA($A225:$D225)=0,"",IF(OR(C225="",K225=""),"",IF(C225=K225,1,IF(COUNTIFS(DB_06[換算鍵],C225&amp;"|"&amp;K225,DB_06[換算檢查],"OK")=1,INDEX(DB_06[乘數],MATCH(C225&amp;"|"&amp;K225,DB_06[換算鍵],0)),""))))</f>
        <v/>
      </c>
      <c r="M225" s="92">
        <f>UPPER(SUBSTITUTE(SUBSTITUTE(SUBSTITUTE(SUBSTITUTE(TRIM(B225&amp;""),"＜","&lt;"),"＞","&gt;"),"≤","&lt;="),"≥","&gt;="))</f>
        <v/>
      </c>
      <c r="N225" s="92">
        <f>IF(M225="","",IF(OR(M225="ND",M225="N.D."),"ND",IF(OR(M225="NA",M225="N/A",M225="N.A."),"NA",IF(OR(LEFT(M225,2)="&lt;=",LEFT(M225,2)="&gt;="),LEFT(M225,2),IF(OR(LEFT(M225,1)="&lt;",LEFT(M225,1)="&gt;"),LEFT(M225,1),"數值")))))</f>
        <v/>
      </c>
      <c r="O225" s="92">
        <f>IF(OR(N225="",N225="ND",N225="NA"),"",IF(N225="數值",M225,TRIM(MID(M225,LEN(N225)+1,99))))</f>
        <v/>
      </c>
      <c r="P225" s="92">
        <f>IF(O225="","",IFERROR(IF(OR(OR(ISNUMBER(SEARCH("%",O225)),ISNUMBER(SEARCH(" ",O225)),ISNUMBER(SEARCH(",",O225))),OR(SUBSTITUTE(SUBSTITUTE(SUBSTITUTE(SUBSTITUTE(SUBSTITUTE(SUBSTITUTE(SUBSTITUTE(SUBSTITUTE(SUBSTITUTE(SUBSTITUTE(SUBSTITUTE(SUBSTITUTE(SUBSTITUTE(SUBSTITUTE(SUBSTITUTE(SUBSTITUTE(SUBSTITUTE(SUBSTITUTE("x"&amp;O225,"0",""),"1",""),"2",""),"3",""),"4",""),"5",""),"6",""),"7",""),"8",""),"9",""),".",""),"E",""),"+",""),"-",""),"&lt;",""),"&gt;",""),"=","")," ","")&lt;&gt;"x",ISNUMBER(SEARCH("-",SUBSTITUTE(SUBSTITUTE("x"&amp;MID(O225,2,99),"E-","E"),"E+","E"))),ISNUMBER(SEARCH("+",SUBSTITUTE(SUBSTITUTE("x"&amp;MID(O225,2,99),"E-","E"),"E+","E"))))),"",IF(ISNUMBER(AH225),AH225,NA())),""))</f>
        <v/>
      </c>
      <c r="Q225" s="92">
        <f>IF(AND(ISNUMBER(L225),ISNUMBER(P225)),L225*P225,"")</f>
        <v/>
      </c>
      <c r="R225" s="92">
        <f>IF(OR(COUNTA($A225:$D225)=0,U225=0),"",IF(INDEX(DB_05[管制設定值],U225)="","",INDEX(DB_05[管制設定值],U225)))</f>
        <v/>
      </c>
      <c r="S225" s="92">
        <f>IF(OR(COUNTA($A225:$D225)=0,U225=0),"",IF(INDEX(DB_05[監測設定值],U225)="","",INDEX(DB_05[監測設定值],U225)))</f>
        <v/>
      </c>
      <c r="T225" s="92">
        <f>IF(COUNTA($A225:$D225)=0,"",IF(COUNTIFS(DB_04[測項鍵],V225)=1,MATCH(V225,DB_04[測項鍵],0),0))</f>
        <v/>
      </c>
      <c r="U225" s="92">
        <f>IF(COUNTA($A225:$D225)=0,"",IF(COUNTIFS(DB_05[標準鍵],W225)=1,MATCH(W225,DB_05[標準鍵],0),0))</f>
        <v/>
      </c>
      <c r="V225" s="92">
        <f>IF(OR(J225="",A225=""),"",J225&amp;"|"&amp;A225)</f>
        <v/>
      </c>
      <c r="W225" s="92">
        <f>IF(OR('07_QAQC'!$C$3="",V225=""),"",'07_QAQC'!$C$3&amp;"|"&amp;V225)</f>
        <v/>
      </c>
      <c r="X225" s="92">
        <f>IF(OR(H225="",A225=""),"",LEN(H225)&amp;":"&amp;H225&amp;LEN(A225)&amp;":"&amp;A225)</f>
        <v/>
      </c>
      <c r="Y225" s="93">
        <f>IF(COUNTA($A225:$D225)=0,"",IF(I225=0,"樣品未建或重複",IF(INDEX(Samples[樣品檢查],I225)="","OK",INDEX(Samples[樣品檢查],I225))))</f>
        <v/>
      </c>
      <c r="Z225" s="93">
        <f>IF(COUNTA($A225:$D225)=0,"",IF(B225="","缺原始值",IF(OR(B225="-",B225="--"),"無資料",IF(N225="NA","不適用",IF(N225="ND","OK",IF(NOT(ISNUMBER(P225)),"格式待核",IF(AND(N225&lt;&gt;"數值",P225&lt;0),"界限不得為負","OK")))))))</f>
        <v/>
      </c>
      <c r="AA225" s="93">
        <f>IF(COUNTA(A225:D225)=0,"",IF(OR(A225="",H225=""),"缺識別欄位",IF(IF(LEN("="&amp;SUBSTITUTE(SUBSTITUTE(SUBSTITUTE(X225,"~","~~"),"*","~*"),"?","~?"))&lt;=255,COUNTIF(Results[結果識別鍵],"="&amp;SUBSTITUTE(SUBSTITUTE(SUBSTITUTE(X225,"~","~~"),"*","~*"),"?","~?")),COUNTIFS(Results[關聯鍵],"="&amp;SUBSTITUTE(SUBSTITUTE(SUBSTITUTE(H225,"~","~~"),"*","~*"),"?","~?"),Results[分析項目],"="&amp;SUBSTITUTE(SUBSTITUTE(SUBSTITUTE(A225,"~","~~"),"*","~*"),"?","~?")))&gt;1,"同關聯鍵測項重複","OK")))</f>
        <v/>
      </c>
      <c r="AB225" s="93">
        <f>IF(COUNTA($A225:$D225)=0,"",IF(OR(C225="",K225=""),"缺單位",IF(NOT(ISNUMBER(L225)),"單位不相容",IF(L225=1,"OK","已換算"))))</f>
        <v/>
      </c>
      <c r="AC225" s="93">
        <f>IF(COUNTA($A225:$D225)=0,"",IF('07_QAQC'!$C$3="","未選比較版本",IF(U225=0,IF(COUNTIFS(DB_05[標準鍵],W225)&gt;1,"標準鍵重複","未訂此介質／測項門檻"),IF(INDEX(DB_05[版本檢查],U225)&lt;&gt;"OK","標準主檔待核",IF(INDEX(DB_05[標準單位],U225)&lt;&gt;K225,"標準單位不符",IF(INDEX(DB_05[核對狀態],U225)="停用","停用",IF(F225="","缺採樣日期",IF(OR(AND(INDEX(DB_05[生效日],U225)&lt;&gt;"",F225&lt;INDEX(DB_05[生效日],U225)),AND(INDEX(DB_05[失效日],U225)&lt;&gt;"",F225&gt;INDEX(DB_05[失效日],U225))),"日期不適用",INDEX(DB_05[核對狀態],U225)))))))))</f>
        <v/>
      </c>
      <c r="AD225" s="93">
        <f>IF(COUNTA($A225:$D225)=0,"",IF(AC225="未訂此介質／測項門檻",AC225,IF(AC225&lt;&gt;"已核對","標準待核",IF(R225="","未訂管制值",IF(NOT(ISNUMBER(L225)),"單位待核",IF(N225="ND","無法判定（ND無界限）",IF(N225="NA","不適用",IF(Z225&lt;&gt;"OK",Z225,IF(N225="數值",IF(Q225&gt;=R225,"達管制值","未達管制值"),IF(OR(N225="&lt;",N225="&lt;="),IF(OR(Q225&lt;R225,AND(N225="&lt;",Q225=R225)),"未達管制值","無法判定"),IF(OR(N225="&gt;",N225="&gt;="),IF(Q225&gt;=R225,"達管制值","無法判定"),"格式待核")))))))))))</f>
        <v/>
      </c>
      <c r="AE225" s="93">
        <f>IF(COUNTA($A225:$D225)=0,"",IF(AC225="未訂此介質／測項門檻",AC225,IF(AC225&lt;&gt;"已核對","標準待核",IF(S225="","未訂監測值",IF(NOT(ISNUMBER(L225)),"單位待核",IF(N225="ND","無法判定（ND無界限）",IF(N225="NA","不適用",IF(Z225&lt;&gt;"OK",Z225,IF(N225="數值",IF(Q225&gt;=S225,"達監測值","未達監測值"),IF(OR(N225="&lt;",N225="&lt;="),IF(OR(Q225&lt;S225,AND(N225="&lt;",Q225=S225)),"未達監測值","無法判定"),IF(OR(N225="&gt;",N225="&gt;="),IF(Q225&gt;=S225,"達監測值","無法判定"),"格式待核")))))))))))</f>
        <v/>
      </c>
      <c r="AF225" s="93">
        <f>IF(COUNTA($A225:$D225)=0,"",IF(OR(E225="",A225="",B225="",C225=""),"缺必要欄位",IF(Y225&lt;&gt;"OK","樣品資料待補",IF(T225=0,"測項未建或重複",IF(INDEX(DB_04[啟用],T225)&lt;&gt;"是","測項停用",IF(AND(Z225&lt;&gt;"OK",Z225&lt;&gt;"不適用"),Z225,IF(AND(AB225&lt;&gt;"OK",AB225&lt;&gt;"已換算"),"單位待核",IF(AA225&lt;&gt;"OK",AA225,"OK"))))))))</f>
        <v/>
      </c>
      <c r="AG225" s="93">
        <f>IF(COUNTA($A225:$D225)=0,"",IF(N225="ND","ND取0",IF(OR(N225="&lt;",N225="&lt;="),"界限除以2",IF(N225="NA","不適用",IF(OR(N225="&gt;",N225="&gt;="),"保留界限數值","保留原數值")))))</f>
        <v/>
      </c>
      <c r="AH225" s="92">
        <f>IF(O225="","",IFERROR(_xlfn.NUMBERVALUE(O225,".",","),""))</f>
        <v/>
      </c>
      <c r="AI225" s="92">
        <f>IF(H225="","",IFERROR(MATCH(H225,Samples[樣品編號],0),0))</f>
        <v/>
      </c>
    </row>
    <row r="226">
      <c r="A226" s="27" t="inlineStr">
        <is>
          <t>鋅</t>
        </is>
      </c>
      <c r="B226" s="28" t="inlineStr">
        <is>
          <t>162</t>
        </is>
      </c>
      <c r="C226" s="27" t="inlineStr">
        <is>
          <t>mg/kg</t>
        </is>
      </c>
      <c r="D226" s="39" t="inlineStr">
        <is>
          <t>合成資料，非實測；method=XRF; basis=dry</t>
        </is>
      </c>
      <c r="E226" s="29">
        <f>IF(OR(I226="",I226=0),"",IF(INDEX(Samples[監測點],I226)="","",INDEX(Samples[監測點],I226)))</f>
        <v/>
      </c>
      <c r="F226" s="90">
        <f>IF(OR(I226="",I226=0),"",IF(INDEX(Samples[採樣日期],I226)="","",INDEX(Samples[採樣日期],I226)))</f>
        <v/>
      </c>
      <c r="G226" s="91">
        <f>IF(OR(M226="",M226="NA",M226="N/A"),"",IF(OR(M226="ND",M226="N.D."),0,IFERROR(IF(OR(OR(ISNUMBER(SEARCH("%",O226)),ISNUMBER(SEARCH(" ",O226)),ISNUMBER(SEARCH(",",O226))),OR(SUBSTITUTE(SUBSTITUTE(SUBSTITUTE(SUBSTITUTE(SUBSTITUTE(SUBSTITUTE(SUBSTITUTE(SUBSTITUTE(SUBSTITUTE(SUBSTITUTE(SUBSTITUTE(SUBSTITUTE(SUBSTITUTE(SUBSTITUTE(SUBSTITUTE(SUBSTITUTE(SUBSTITUTE(SUBSTITUTE("x"&amp;M226,"0",""),"1",""),"2",""),"3",""),"4",""),"5",""),"6",""),"7",""),"8",""),"9",""),".",""),"E",""),"+",""),"-",""),"&lt;",""),"&gt;",""),"=","")," ","")&lt;&gt;"x",ISNUMBER(SEARCH("-",SUBSTITUTE(SUBSTITUTE("x"&amp;MID(M226,2,99),"E-","E"),"E+","E"))),ISNUMBER(SEARCH("+",SUBSTITUTE(SUBSTITUTE("x"&amp;MID(M226,2,99),"E-","E"),"E+","E"))))),"",IF(AND(OR(LEFT(M226,1)="&lt;",LEFT(M226,1)="&gt;"),IF(O226="",0,IF(ISNUMBER(AH226),AH226,NA()))&lt;0),"",IF(O226="",0,IF(ISNUMBER(AH226),AH226,NA()))/IF(LEFT(M226,1)="&lt;",2,1))),"")))</f>
        <v/>
      </c>
      <c r="H226" s="57" t="inlineStr">
        <is>
          <t>BH05-S_20260415_02</t>
        </is>
      </c>
      <c r="I226" s="92">
        <f>IF(OR(H226="",AI226=0),0,IF(INDEX(Samples[樣品重複筆數],AI226)=1,AI226,0))</f>
        <v/>
      </c>
      <c r="J226" s="92">
        <f>IF(OR(COUNTA($A226:$D226)=0,I226=0),"",IF(INDEX(Samples[介質],I226)="","",INDEX(Samples[介質],I226)))</f>
        <v/>
      </c>
      <c r="K226" s="92">
        <f>IF(OR(COUNTA($A226:$D226)=0,T226=0),"",IF(INDEX(DB_04[標準單位],T226)="","",INDEX(DB_04[標準單位],T226)))</f>
        <v/>
      </c>
      <c r="L226" s="92">
        <f>IF(COUNTA($A226:$D226)=0,"",IF(OR(C226="",K226=""),"",IF(C226=K226,1,IF(COUNTIFS(DB_06[換算鍵],C226&amp;"|"&amp;K226,DB_06[換算檢查],"OK")=1,INDEX(DB_06[乘數],MATCH(C226&amp;"|"&amp;K226,DB_06[換算鍵],0)),""))))</f>
        <v/>
      </c>
      <c r="M226" s="92">
        <f>UPPER(SUBSTITUTE(SUBSTITUTE(SUBSTITUTE(SUBSTITUTE(TRIM(B226&amp;""),"＜","&lt;"),"＞","&gt;"),"≤","&lt;="),"≥","&gt;="))</f>
        <v/>
      </c>
      <c r="N226" s="92">
        <f>IF(M226="","",IF(OR(M226="ND",M226="N.D."),"ND",IF(OR(M226="NA",M226="N/A",M226="N.A."),"NA",IF(OR(LEFT(M226,2)="&lt;=",LEFT(M226,2)="&gt;="),LEFT(M226,2),IF(OR(LEFT(M226,1)="&lt;",LEFT(M226,1)="&gt;"),LEFT(M226,1),"數值")))))</f>
        <v/>
      </c>
      <c r="O226" s="92">
        <f>IF(OR(N226="",N226="ND",N226="NA"),"",IF(N226="數值",M226,TRIM(MID(M226,LEN(N226)+1,99))))</f>
        <v/>
      </c>
      <c r="P226" s="92">
        <f>IF(O226="","",IFERROR(IF(OR(OR(ISNUMBER(SEARCH("%",O226)),ISNUMBER(SEARCH(" ",O226)),ISNUMBER(SEARCH(",",O226))),OR(SUBSTITUTE(SUBSTITUTE(SUBSTITUTE(SUBSTITUTE(SUBSTITUTE(SUBSTITUTE(SUBSTITUTE(SUBSTITUTE(SUBSTITUTE(SUBSTITUTE(SUBSTITUTE(SUBSTITUTE(SUBSTITUTE(SUBSTITUTE(SUBSTITUTE(SUBSTITUTE(SUBSTITUTE(SUBSTITUTE("x"&amp;O226,"0",""),"1",""),"2",""),"3",""),"4",""),"5",""),"6",""),"7",""),"8",""),"9",""),".",""),"E",""),"+",""),"-",""),"&lt;",""),"&gt;",""),"=","")," ","")&lt;&gt;"x",ISNUMBER(SEARCH("-",SUBSTITUTE(SUBSTITUTE("x"&amp;MID(O226,2,99),"E-","E"),"E+","E"))),ISNUMBER(SEARCH("+",SUBSTITUTE(SUBSTITUTE("x"&amp;MID(O226,2,99),"E-","E"),"E+","E"))))),"",IF(ISNUMBER(AH226),AH226,NA())),""))</f>
        <v/>
      </c>
      <c r="Q226" s="92">
        <f>IF(AND(ISNUMBER(L226),ISNUMBER(P226)),L226*P226,"")</f>
        <v/>
      </c>
      <c r="R226" s="92">
        <f>IF(OR(COUNTA($A226:$D226)=0,U226=0),"",IF(INDEX(DB_05[管制設定值],U226)="","",INDEX(DB_05[管制設定值],U226)))</f>
        <v/>
      </c>
      <c r="S226" s="92">
        <f>IF(OR(COUNTA($A226:$D226)=0,U226=0),"",IF(INDEX(DB_05[監測設定值],U226)="","",INDEX(DB_05[監測設定值],U226)))</f>
        <v/>
      </c>
      <c r="T226" s="92">
        <f>IF(COUNTA($A226:$D226)=0,"",IF(COUNTIFS(DB_04[測項鍵],V226)=1,MATCH(V226,DB_04[測項鍵],0),0))</f>
        <v/>
      </c>
      <c r="U226" s="92">
        <f>IF(COUNTA($A226:$D226)=0,"",IF(COUNTIFS(DB_05[標準鍵],W226)=1,MATCH(W226,DB_05[標準鍵],0),0))</f>
        <v/>
      </c>
      <c r="V226" s="92">
        <f>IF(OR(J226="",A226=""),"",J226&amp;"|"&amp;A226)</f>
        <v/>
      </c>
      <c r="W226" s="92">
        <f>IF(OR('07_QAQC'!$C$3="",V226=""),"",'07_QAQC'!$C$3&amp;"|"&amp;V226)</f>
        <v/>
      </c>
      <c r="X226" s="92">
        <f>IF(OR(H226="",A226=""),"",LEN(H226)&amp;":"&amp;H226&amp;LEN(A226)&amp;":"&amp;A226)</f>
        <v/>
      </c>
      <c r="Y226" s="93">
        <f>IF(COUNTA($A226:$D226)=0,"",IF(I226=0,"樣品未建或重複",IF(INDEX(Samples[樣品檢查],I226)="","OK",INDEX(Samples[樣品檢查],I226))))</f>
        <v/>
      </c>
      <c r="Z226" s="93">
        <f>IF(COUNTA($A226:$D226)=0,"",IF(B226="","缺原始值",IF(OR(B226="-",B226="--"),"無資料",IF(N226="NA","不適用",IF(N226="ND","OK",IF(NOT(ISNUMBER(P226)),"格式待核",IF(AND(N226&lt;&gt;"數值",P226&lt;0),"界限不得為負","OK")))))))</f>
        <v/>
      </c>
      <c r="AA226" s="93">
        <f>IF(COUNTA(A226:D226)=0,"",IF(OR(A226="",H226=""),"缺識別欄位",IF(IF(LEN("="&amp;SUBSTITUTE(SUBSTITUTE(SUBSTITUTE(X226,"~","~~"),"*","~*"),"?","~?"))&lt;=255,COUNTIF(Results[結果識別鍵],"="&amp;SUBSTITUTE(SUBSTITUTE(SUBSTITUTE(X226,"~","~~"),"*","~*"),"?","~?")),COUNTIFS(Results[關聯鍵],"="&amp;SUBSTITUTE(SUBSTITUTE(SUBSTITUTE(H226,"~","~~"),"*","~*"),"?","~?"),Results[分析項目],"="&amp;SUBSTITUTE(SUBSTITUTE(SUBSTITUTE(A226,"~","~~"),"*","~*"),"?","~?")))&gt;1,"同關聯鍵測項重複","OK")))</f>
        <v/>
      </c>
      <c r="AB226" s="93">
        <f>IF(COUNTA($A226:$D226)=0,"",IF(OR(C226="",K226=""),"缺單位",IF(NOT(ISNUMBER(L226)),"單位不相容",IF(L226=1,"OK","已換算"))))</f>
        <v/>
      </c>
      <c r="AC226" s="93">
        <f>IF(COUNTA($A226:$D226)=0,"",IF('07_QAQC'!$C$3="","未選比較版本",IF(U226=0,IF(COUNTIFS(DB_05[標準鍵],W226)&gt;1,"標準鍵重複","未訂此介質／測項門檻"),IF(INDEX(DB_05[版本檢查],U226)&lt;&gt;"OK","標準主檔待核",IF(INDEX(DB_05[標準單位],U226)&lt;&gt;K226,"標準單位不符",IF(INDEX(DB_05[核對狀態],U226)="停用","停用",IF(F226="","缺採樣日期",IF(OR(AND(INDEX(DB_05[生效日],U226)&lt;&gt;"",F226&lt;INDEX(DB_05[生效日],U226)),AND(INDEX(DB_05[失效日],U226)&lt;&gt;"",F226&gt;INDEX(DB_05[失效日],U226))),"日期不適用",INDEX(DB_05[核對狀態],U226)))))))))</f>
        <v/>
      </c>
      <c r="AD226" s="93">
        <f>IF(COUNTA($A226:$D226)=0,"",IF(AC226="未訂此介質／測項門檻",AC226,IF(AC226&lt;&gt;"已核對","標準待核",IF(R226="","未訂管制值",IF(NOT(ISNUMBER(L226)),"單位待核",IF(N226="ND","無法判定（ND無界限）",IF(N226="NA","不適用",IF(Z226&lt;&gt;"OK",Z226,IF(N226="數值",IF(Q226&gt;=R226,"達管制值","未達管制值"),IF(OR(N226="&lt;",N226="&lt;="),IF(OR(Q226&lt;R226,AND(N226="&lt;",Q226=R226)),"未達管制值","無法判定"),IF(OR(N226="&gt;",N226="&gt;="),IF(Q226&gt;=R226,"達管制值","無法判定"),"格式待核")))))))))))</f>
        <v/>
      </c>
      <c r="AE226" s="93">
        <f>IF(COUNTA($A226:$D226)=0,"",IF(AC226="未訂此介質／測項門檻",AC226,IF(AC226&lt;&gt;"已核對","標準待核",IF(S226="","未訂監測值",IF(NOT(ISNUMBER(L226)),"單位待核",IF(N226="ND","無法判定（ND無界限）",IF(N226="NA","不適用",IF(Z226&lt;&gt;"OK",Z226,IF(N226="數值",IF(Q226&gt;=S226,"達監測值","未達監測值"),IF(OR(N226="&lt;",N226="&lt;="),IF(OR(Q226&lt;S226,AND(N226="&lt;",Q226=S226)),"未達監測值","無法判定"),IF(OR(N226="&gt;",N226="&gt;="),IF(Q226&gt;=S226,"達監測值","無法判定"),"格式待核")))))))))))</f>
        <v/>
      </c>
      <c r="AF226" s="93">
        <f>IF(COUNTA($A226:$D226)=0,"",IF(OR(E226="",A226="",B226="",C226=""),"缺必要欄位",IF(Y226&lt;&gt;"OK","樣品資料待補",IF(T226=0,"測項未建或重複",IF(INDEX(DB_04[啟用],T226)&lt;&gt;"是","測項停用",IF(AND(Z226&lt;&gt;"OK",Z226&lt;&gt;"不適用"),Z226,IF(AND(AB226&lt;&gt;"OK",AB226&lt;&gt;"已換算"),"單位待核",IF(AA226&lt;&gt;"OK",AA226,"OK"))))))))</f>
        <v/>
      </c>
      <c r="AG226" s="93">
        <f>IF(COUNTA($A226:$D226)=0,"",IF(N226="ND","ND取0",IF(OR(N226="&lt;",N226="&lt;="),"界限除以2",IF(N226="NA","不適用",IF(OR(N226="&gt;",N226="&gt;="),"保留界限數值","保留原數值")))))</f>
        <v/>
      </c>
      <c r="AH226" s="92">
        <f>IF(O226="","",IFERROR(_xlfn.NUMBERVALUE(O226,".",","),""))</f>
        <v/>
      </c>
      <c r="AI226" s="92">
        <f>IF(H226="","",IFERROR(MATCH(H226,Samples[樣品編號],0),0))</f>
        <v/>
      </c>
    </row>
    <row r="227">
      <c r="A227" s="27" t="inlineStr">
        <is>
          <t>總有機碳</t>
        </is>
      </c>
      <c r="B227" s="28" t="inlineStr">
        <is>
          <t>0.53</t>
        </is>
      </c>
      <c r="C227" s="27" t="inlineStr">
        <is>
          <t>%</t>
        </is>
      </c>
      <c r="D227" s="39" t="inlineStr">
        <is>
          <t>合成資料，非實測；method=lab; basis=dry</t>
        </is>
      </c>
      <c r="E227" s="29">
        <f>IF(OR(I227="",I227=0),"",IF(INDEX(Samples[監測點],I227)="","",INDEX(Samples[監測點],I227)))</f>
        <v/>
      </c>
      <c r="F227" s="90">
        <f>IF(OR(I227="",I227=0),"",IF(INDEX(Samples[採樣日期],I227)="","",INDEX(Samples[採樣日期],I227)))</f>
        <v/>
      </c>
      <c r="G227" s="91">
        <f>IF(OR(M227="",M227="NA",M227="N/A"),"",IF(OR(M227="ND",M227="N.D."),0,IFERROR(IF(OR(OR(ISNUMBER(SEARCH("%",O227)),ISNUMBER(SEARCH(" ",O227)),ISNUMBER(SEARCH(",",O227))),OR(SUBSTITUTE(SUBSTITUTE(SUBSTITUTE(SUBSTITUTE(SUBSTITUTE(SUBSTITUTE(SUBSTITUTE(SUBSTITUTE(SUBSTITUTE(SUBSTITUTE(SUBSTITUTE(SUBSTITUTE(SUBSTITUTE(SUBSTITUTE(SUBSTITUTE(SUBSTITUTE(SUBSTITUTE(SUBSTITUTE("x"&amp;M227,"0",""),"1",""),"2",""),"3",""),"4",""),"5",""),"6",""),"7",""),"8",""),"9",""),".",""),"E",""),"+",""),"-",""),"&lt;",""),"&gt;",""),"=","")," ","")&lt;&gt;"x",ISNUMBER(SEARCH("-",SUBSTITUTE(SUBSTITUTE("x"&amp;MID(M227,2,99),"E-","E"),"E+","E"))),ISNUMBER(SEARCH("+",SUBSTITUTE(SUBSTITUTE("x"&amp;MID(M227,2,99),"E-","E"),"E+","E"))))),"",IF(AND(OR(LEFT(M227,1)="&lt;",LEFT(M227,1)="&gt;"),IF(O227="",0,IF(ISNUMBER(AH227),AH227,NA()))&lt;0),"",IF(O227="",0,IF(ISNUMBER(AH227),AH227,NA()))/IF(LEFT(M227,1)="&lt;",2,1))),"")))</f>
        <v/>
      </c>
      <c r="H227" s="57" t="inlineStr">
        <is>
          <t>BH05-S_20260415_02</t>
        </is>
      </c>
      <c r="I227" s="92">
        <f>IF(OR(H227="",AI227=0),0,IF(INDEX(Samples[樣品重複筆數],AI227)=1,AI227,0))</f>
        <v/>
      </c>
      <c r="J227" s="92">
        <f>IF(OR(COUNTA($A227:$D227)=0,I227=0),"",IF(INDEX(Samples[介質],I227)="","",INDEX(Samples[介質],I227)))</f>
        <v/>
      </c>
      <c r="K227" s="92">
        <f>IF(OR(COUNTA($A227:$D227)=0,T227=0),"",IF(INDEX(DB_04[標準單位],T227)="","",INDEX(DB_04[標準單位],T227)))</f>
        <v/>
      </c>
      <c r="L227" s="92">
        <f>IF(COUNTA($A227:$D227)=0,"",IF(OR(C227="",K227=""),"",IF(C227=K227,1,IF(COUNTIFS(DB_06[換算鍵],C227&amp;"|"&amp;K227,DB_06[換算檢查],"OK")=1,INDEX(DB_06[乘數],MATCH(C227&amp;"|"&amp;K227,DB_06[換算鍵],0)),""))))</f>
        <v/>
      </c>
      <c r="M227" s="92">
        <f>UPPER(SUBSTITUTE(SUBSTITUTE(SUBSTITUTE(SUBSTITUTE(TRIM(B227&amp;""),"＜","&lt;"),"＞","&gt;"),"≤","&lt;="),"≥","&gt;="))</f>
        <v/>
      </c>
      <c r="N227" s="92">
        <f>IF(M227="","",IF(OR(M227="ND",M227="N.D."),"ND",IF(OR(M227="NA",M227="N/A",M227="N.A."),"NA",IF(OR(LEFT(M227,2)="&lt;=",LEFT(M227,2)="&gt;="),LEFT(M227,2),IF(OR(LEFT(M227,1)="&lt;",LEFT(M227,1)="&gt;"),LEFT(M227,1),"數值")))))</f>
        <v/>
      </c>
      <c r="O227" s="92">
        <f>IF(OR(N227="",N227="ND",N227="NA"),"",IF(N227="數值",M227,TRIM(MID(M227,LEN(N227)+1,99))))</f>
        <v/>
      </c>
      <c r="P227" s="92">
        <f>IF(O227="","",IFERROR(IF(OR(OR(ISNUMBER(SEARCH("%",O227)),ISNUMBER(SEARCH(" ",O227)),ISNUMBER(SEARCH(",",O227))),OR(SUBSTITUTE(SUBSTITUTE(SUBSTITUTE(SUBSTITUTE(SUBSTITUTE(SUBSTITUTE(SUBSTITUTE(SUBSTITUTE(SUBSTITUTE(SUBSTITUTE(SUBSTITUTE(SUBSTITUTE(SUBSTITUTE(SUBSTITUTE(SUBSTITUTE(SUBSTITUTE(SUBSTITUTE(SUBSTITUTE("x"&amp;O227,"0",""),"1",""),"2",""),"3",""),"4",""),"5",""),"6",""),"7",""),"8",""),"9",""),".",""),"E",""),"+",""),"-",""),"&lt;",""),"&gt;",""),"=","")," ","")&lt;&gt;"x",ISNUMBER(SEARCH("-",SUBSTITUTE(SUBSTITUTE("x"&amp;MID(O227,2,99),"E-","E"),"E+","E"))),ISNUMBER(SEARCH("+",SUBSTITUTE(SUBSTITUTE("x"&amp;MID(O227,2,99),"E-","E"),"E+","E"))))),"",IF(ISNUMBER(AH227),AH227,NA())),""))</f>
        <v/>
      </c>
      <c r="Q227" s="92">
        <f>IF(AND(ISNUMBER(L227),ISNUMBER(P227)),L227*P227,"")</f>
        <v/>
      </c>
      <c r="R227" s="92">
        <f>IF(OR(COUNTA($A227:$D227)=0,U227=0),"",IF(INDEX(DB_05[管制設定值],U227)="","",INDEX(DB_05[管制設定值],U227)))</f>
        <v/>
      </c>
      <c r="S227" s="92">
        <f>IF(OR(COUNTA($A227:$D227)=0,U227=0),"",IF(INDEX(DB_05[監測設定值],U227)="","",INDEX(DB_05[監測設定值],U227)))</f>
        <v/>
      </c>
      <c r="T227" s="92">
        <f>IF(COUNTA($A227:$D227)=0,"",IF(COUNTIFS(DB_04[測項鍵],V227)=1,MATCH(V227,DB_04[測項鍵],0),0))</f>
        <v/>
      </c>
      <c r="U227" s="92">
        <f>IF(COUNTA($A227:$D227)=0,"",IF(COUNTIFS(DB_05[標準鍵],W227)=1,MATCH(W227,DB_05[標準鍵],0),0))</f>
        <v/>
      </c>
      <c r="V227" s="92">
        <f>IF(OR(J227="",A227=""),"",J227&amp;"|"&amp;A227)</f>
        <v/>
      </c>
      <c r="W227" s="92">
        <f>IF(OR('07_QAQC'!$C$3="",V227=""),"",'07_QAQC'!$C$3&amp;"|"&amp;V227)</f>
        <v/>
      </c>
      <c r="X227" s="92">
        <f>IF(OR(H227="",A227=""),"",LEN(H227)&amp;":"&amp;H227&amp;LEN(A227)&amp;":"&amp;A227)</f>
        <v/>
      </c>
      <c r="Y227" s="93">
        <f>IF(COUNTA($A227:$D227)=0,"",IF(I227=0,"樣品未建或重複",IF(INDEX(Samples[樣品檢查],I227)="","OK",INDEX(Samples[樣品檢查],I227))))</f>
        <v/>
      </c>
      <c r="Z227" s="93">
        <f>IF(COUNTA($A227:$D227)=0,"",IF(B227="","缺原始值",IF(OR(B227="-",B227="--"),"無資料",IF(N227="NA","不適用",IF(N227="ND","OK",IF(NOT(ISNUMBER(P227)),"格式待核",IF(AND(N227&lt;&gt;"數值",P227&lt;0),"界限不得為負","OK")))))))</f>
        <v/>
      </c>
      <c r="AA227" s="93">
        <f>IF(COUNTA(A227:D227)=0,"",IF(OR(A227="",H227=""),"缺識別欄位",IF(IF(LEN("="&amp;SUBSTITUTE(SUBSTITUTE(SUBSTITUTE(X227,"~","~~"),"*","~*"),"?","~?"))&lt;=255,COUNTIF(Results[結果識別鍵],"="&amp;SUBSTITUTE(SUBSTITUTE(SUBSTITUTE(X227,"~","~~"),"*","~*"),"?","~?")),COUNTIFS(Results[關聯鍵],"="&amp;SUBSTITUTE(SUBSTITUTE(SUBSTITUTE(H227,"~","~~"),"*","~*"),"?","~?"),Results[分析項目],"="&amp;SUBSTITUTE(SUBSTITUTE(SUBSTITUTE(A227,"~","~~"),"*","~*"),"?","~?")))&gt;1,"同關聯鍵測項重複","OK")))</f>
        <v/>
      </c>
      <c r="AB227" s="93">
        <f>IF(COUNTA($A227:$D227)=0,"",IF(OR(C227="",K227=""),"缺單位",IF(NOT(ISNUMBER(L227)),"單位不相容",IF(L227=1,"OK","已換算"))))</f>
        <v/>
      </c>
      <c r="AC227" s="93">
        <f>IF(COUNTA($A227:$D227)=0,"",IF('07_QAQC'!$C$3="","未選比較版本",IF(U227=0,IF(COUNTIFS(DB_05[標準鍵],W227)&gt;1,"標準鍵重複","未訂此介質／測項門檻"),IF(INDEX(DB_05[版本檢查],U227)&lt;&gt;"OK","標準主檔待核",IF(INDEX(DB_05[標準單位],U227)&lt;&gt;K227,"標準單位不符",IF(INDEX(DB_05[核對狀態],U227)="停用","停用",IF(F227="","缺採樣日期",IF(OR(AND(INDEX(DB_05[生效日],U227)&lt;&gt;"",F227&lt;INDEX(DB_05[生效日],U227)),AND(INDEX(DB_05[失效日],U227)&lt;&gt;"",F227&gt;INDEX(DB_05[失效日],U227))),"日期不適用",INDEX(DB_05[核對狀態],U227)))))))))</f>
        <v/>
      </c>
      <c r="AD227" s="93">
        <f>IF(COUNTA($A227:$D227)=0,"",IF(AC227="未訂此介質／測項門檻",AC227,IF(AC227&lt;&gt;"已核對","標準待核",IF(R227="","未訂管制值",IF(NOT(ISNUMBER(L227)),"單位待核",IF(N227="ND","無法判定（ND無界限）",IF(N227="NA","不適用",IF(Z227&lt;&gt;"OK",Z227,IF(N227="數值",IF(Q227&gt;=R227,"達管制值","未達管制值"),IF(OR(N227="&lt;",N227="&lt;="),IF(OR(Q227&lt;R227,AND(N227="&lt;",Q227=R227)),"未達管制值","無法判定"),IF(OR(N227="&gt;",N227="&gt;="),IF(Q227&gt;=R227,"達管制值","無法判定"),"格式待核")))))))))))</f>
        <v/>
      </c>
      <c r="AE227" s="93">
        <f>IF(COUNTA($A227:$D227)=0,"",IF(AC227="未訂此介質／測項門檻",AC227,IF(AC227&lt;&gt;"已核對","標準待核",IF(S227="","未訂監測值",IF(NOT(ISNUMBER(L227)),"單位待核",IF(N227="ND","無法判定（ND無界限）",IF(N227="NA","不適用",IF(Z227&lt;&gt;"OK",Z227,IF(N227="數值",IF(Q227&gt;=S227,"達監測值","未達監測值"),IF(OR(N227="&lt;",N227="&lt;="),IF(OR(Q227&lt;S227,AND(N227="&lt;",Q227=S227)),"未達監測值","無法判定"),IF(OR(N227="&gt;",N227="&gt;="),IF(Q227&gt;=S227,"達監測值","無法判定"),"格式待核")))))))))))</f>
        <v/>
      </c>
      <c r="AF227" s="93">
        <f>IF(COUNTA($A227:$D227)=0,"",IF(OR(E227="",A227="",B227="",C227=""),"缺必要欄位",IF(Y227&lt;&gt;"OK","樣品資料待補",IF(T227=0,"測項未建或重複",IF(INDEX(DB_04[啟用],T227)&lt;&gt;"是","測項停用",IF(AND(Z227&lt;&gt;"OK",Z227&lt;&gt;"不適用"),Z227,IF(AND(AB227&lt;&gt;"OK",AB227&lt;&gt;"已換算"),"單位待核",IF(AA227&lt;&gt;"OK",AA227,"OK"))))))))</f>
        <v/>
      </c>
      <c r="AG227" s="93">
        <f>IF(COUNTA($A227:$D227)=0,"",IF(N227="ND","ND取0",IF(OR(N227="&lt;",N227="&lt;="),"界限除以2",IF(N227="NA","不適用",IF(OR(N227="&gt;",N227="&gt;="),"保留界限數值","保留原數值")))))</f>
        <v/>
      </c>
      <c r="AH227" s="92">
        <f>IF(O227="","",IFERROR(_xlfn.NUMBERVALUE(O227,".",","),""))</f>
        <v/>
      </c>
      <c r="AI227" s="92">
        <f>IF(H227="","",IFERROR(MATCH(H227,Samples[樣品編號],0),0))</f>
        <v/>
      </c>
    </row>
    <row r="228">
      <c r="A228" s="27" t="inlineStr">
        <is>
          <t>pH</t>
        </is>
      </c>
      <c r="B228" s="28" t="inlineStr">
        <is>
          <t>6.91</t>
        </is>
      </c>
      <c r="C228" s="27" t="inlineStr">
        <is>
          <t>無因次</t>
        </is>
      </c>
      <c r="D228" s="39" t="inlineStr">
        <is>
          <t>合成資料，非實測；method=field</t>
        </is>
      </c>
      <c r="E228" s="29">
        <f>IF(OR(I228="",I228=0),"",IF(INDEX(Samples[監測點],I228)="","",INDEX(Samples[監測點],I228)))</f>
        <v/>
      </c>
      <c r="F228" s="90">
        <f>IF(OR(I228="",I228=0),"",IF(INDEX(Samples[採樣日期],I228)="","",INDEX(Samples[採樣日期],I228)))</f>
        <v/>
      </c>
      <c r="G228" s="91">
        <f>IF(OR(M228="",M228="NA",M228="N/A"),"",IF(OR(M228="ND",M228="N.D."),0,IFERROR(IF(OR(OR(ISNUMBER(SEARCH("%",O228)),ISNUMBER(SEARCH(" ",O228)),ISNUMBER(SEARCH(",",O228))),OR(SUBSTITUTE(SUBSTITUTE(SUBSTITUTE(SUBSTITUTE(SUBSTITUTE(SUBSTITUTE(SUBSTITUTE(SUBSTITUTE(SUBSTITUTE(SUBSTITUTE(SUBSTITUTE(SUBSTITUTE(SUBSTITUTE(SUBSTITUTE(SUBSTITUTE(SUBSTITUTE(SUBSTITUTE(SUBSTITUTE("x"&amp;M228,"0",""),"1",""),"2",""),"3",""),"4",""),"5",""),"6",""),"7",""),"8",""),"9",""),".",""),"E",""),"+",""),"-",""),"&lt;",""),"&gt;",""),"=","")," ","")&lt;&gt;"x",ISNUMBER(SEARCH("-",SUBSTITUTE(SUBSTITUTE("x"&amp;MID(M228,2,99),"E-","E"),"E+","E"))),ISNUMBER(SEARCH("+",SUBSTITUTE(SUBSTITUTE("x"&amp;MID(M228,2,99),"E-","E"),"E+","E"))))),"",IF(AND(OR(LEFT(M228,1)="&lt;",LEFT(M228,1)="&gt;"),IF(O228="",0,IF(ISNUMBER(AH228),AH228,NA()))&lt;0),"",IF(O228="",0,IF(ISNUMBER(AH228),AH228,NA()))/IF(LEFT(M228,1)="&lt;",2,1))),"")))</f>
        <v/>
      </c>
      <c r="H228" s="57" t="inlineStr">
        <is>
          <t>BH05-W_20260415_02</t>
        </is>
      </c>
      <c r="I228" s="92">
        <f>IF(OR(H228="",AI228=0),0,IF(INDEX(Samples[樣品重複筆數],AI228)=1,AI228,0))</f>
        <v/>
      </c>
      <c r="J228" s="92">
        <f>IF(OR(COUNTA($A228:$D228)=0,I228=0),"",IF(INDEX(Samples[介質],I228)="","",INDEX(Samples[介質],I228)))</f>
        <v/>
      </c>
      <c r="K228" s="92">
        <f>IF(OR(COUNTA($A228:$D228)=0,T228=0),"",IF(INDEX(DB_04[標準單位],T228)="","",INDEX(DB_04[標準單位],T228)))</f>
        <v/>
      </c>
      <c r="L228" s="92">
        <f>IF(COUNTA($A228:$D228)=0,"",IF(OR(C228="",K228=""),"",IF(C228=K228,1,IF(COUNTIFS(DB_06[換算鍵],C228&amp;"|"&amp;K228,DB_06[換算檢查],"OK")=1,INDEX(DB_06[乘數],MATCH(C228&amp;"|"&amp;K228,DB_06[換算鍵],0)),""))))</f>
        <v/>
      </c>
      <c r="M228" s="92">
        <f>UPPER(SUBSTITUTE(SUBSTITUTE(SUBSTITUTE(SUBSTITUTE(TRIM(B228&amp;""),"＜","&lt;"),"＞","&gt;"),"≤","&lt;="),"≥","&gt;="))</f>
        <v/>
      </c>
      <c r="N228" s="92">
        <f>IF(M228="","",IF(OR(M228="ND",M228="N.D."),"ND",IF(OR(M228="NA",M228="N/A",M228="N.A."),"NA",IF(OR(LEFT(M228,2)="&lt;=",LEFT(M228,2)="&gt;="),LEFT(M228,2),IF(OR(LEFT(M228,1)="&lt;",LEFT(M228,1)="&gt;"),LEFT(M228,1),"數值")))))</f>
        <v/>
      </c>
      <c r="O228" s="92">
        <f>IF(OR(N228="",N228="ND",N228="NA"),"",IF(N228="數值",M228,TRIM(MID(M228,LEN(N228)+1,99))))</f>
        <v/>
      </c>
      <c r="P228" s="92">
        <f>IF(O228="","",IFERROR(IF(OR(OR(ISNUMBER(SEARCH("%",O228)),ISNUMBER(SEARCH(" ",O228)),ISNUMBER(SEARCH(",",O228))),OR(SUBSTITUTE(SUBSTITUTE(SUBSTITUTE(SUBSTITUTE(SUBSTITUTE(SUBSTITUTE(SUBSTITUTE(SUBSTITUTE(SUBSTITUTE(SUBSTITUTE(SUBSTITUTE(SUBSTITUTE(SUBSTITUTE(SUBSTITUTE(SUBSTITUTE(SUBSTITUTE(SUBSTITUTE(SUBSTITUTE("x"&amp;O228,"0",""),"1",""),"2",""),"3",""),"4",""),"5",""),"6",""),"7",""),"8",""),"9",""),".",""),"E",""),"+",""),"-",""),"&lt;",""),"&gt;",""),"=","")," ","")&lt;&gt;"x",ISNUMBER(SEARCH("-",SUBSTITUTE(SUBSTITUTE("x"&amp;MID(O228,2,99),"E-","E"),"E+","E"))),ISNUMBER(SEARCH("+",SUBSTITUTE(SUBSTITUTE("x"&amp;MID(O228,2,99),"E-","E"),"E+","E"))))),"",IF(ISNUMBER(AH228),AH228,NA())),""))</f>
        <v/>
      </c>
      <c r="Q228" s="92">
        <f>IF(AND(ISNUMBER(L228),ISNUMBER(P228)),L228*P228,"")</f>
        <v/>
      </c>
      <c r="R228" s="92">
        <f>IF(OR(COUNTA($A228:$D228)=0,U228=0),"",IF(INDEX(DB_05[管制設定值],U228)="","",INDEX(DB_05[管制設定值],U228)))</f>
        <v/>
      </c>
      <c r="S228" s="92">
        <f>IF(OR(COUNTA($A228:$D228)=0,U228=0),"",IF(INDEX(DB_05[監測設定值],U228)="","",INDEX(DB_05[監測設定值],U228)))</f>
        <v/>
      </c>
      <c r="T228" s="92">
        <f>IF(COUNTA($A228:$D228)=0,"",IF(COUNTIFS(DB_04[測項鍵],V228)=1,MATCH(V228,DB_04[測項鍵],0),0))</f>
        <v/>
      </c>
      <c r="U228" s="92">
        <f>IF(COUNTA($A228:$D228)=0,"",IF(COUNTIFS(DB_05[標準鍵],W228)=1,MATCH(W228,DB_05[標準鍵],0),0))</f>
        <v/>
      </c>
      <c r="V228" s="92">
        <f>IF(OR(J228="",A228=""),"",J228&amp;"|"&amp;A228)</f>
        <v/>
      </c>
      <c r="W228" s="92">
        <f>IF(OR('07_QAQC'!$C$3="",V228=""),"",'07_QAQC'!$C$3&amp;"|"&amp;V228)</f>
        <v/>
      </c>
      <c r="X228" s="92">
        <f>IF(OR(H228="",A228=""),"",LEN(H228)&amp;":"&amp;H228&amp;LEN(A228)&amp;":"&amp;A228)</f>
        <v/>
      </c>
      <c r="Y228" s="93">
        <f>IF(COUNTA($A228:$D228)=0,"",IF(I228=0,"樣品未建或重複",IF(INDEX(Samples[樣品檢查],I228)="","OK",INDEX(Samples[樣品檢查],I228))))</f>
        <v/>
      </c>
      <c r="Z228" s="93">
        <f>IF(COUNTA($A228:$D228)=0,"",IF(B228="","缺原始值",IF(OR(B228="-",B228="--"),"無資料",IF(N228="NA","不適用",IF(N228="ND","OK",IF(NOT(ISNUMBER(P228)),"格式待核",IF(AND(N228&lt;&gt;"數值",P228&lt;0),"界限不得為負","OK")))))))</f>
        <v/>
      </c>
      <c r="AA228" s="93">
        <f>IF(COUNTA(A228:D228)=0,"",IF(OR(A228="",H228=""),"缺識別欄位",IF(IF(LEN("="&amp;SUBSTITUTE(SUBSTITUTE(SUBSTITUTE(X228,"~","~~"),"*","~*"),"?","~?"))&lt;=255,COUNTIF(Results[結果識別鍵],"="&amp;SUBSTITUTE(SUBSTITUTE(SUBSTITUTE(X228,"~","~~"),"*","~*"),"?","~?")),COUNTIFS(Results[關聯鍵],"="&amp;SUBSTITUTE(SUBSTITUTE(SUBSTITUTE(H228,"~","~~"),"*","~*"),"?","~?"),Results[分析項目],"="&amp;SUBSTITUTE(SUBSTITUTE(SUBSTITUTE(A228,"~","~~"),"*","~*"),"?","~?")))&gt;1,"同關聯鍵測項重複","OK")))</f>
        <v/>
      </c>
      <c r="AB228" s="93">
        <f>IF(COUNTA($A228:$D228)=0,"",IF(OR(C228="",K228=""),"缺單位",IF(NOT(ISNUMBER(L228)),"單位不相容",IF(L228=1,"OK","已換算"))))</f>
        <v/>
      </c>
      <c r="AC228" s="93">
        <f>IF(COUNTA($A228:$D228)=0,"",IF('07_QAQC'!$C$3="","未選比較版本",IF(U228=0,IF(COUNTIFS(DB_05[標準鍵],W228)&gt;1,"標準鍵重複","未訂此介質／測項門檻"),IF(INDEX(DB_05[版本檢查],U228)&lt;&gt;"OK","標準主檔待核",IF(INDEX(DB_05[標準單位],U228)&lt;&gt;K228,"標準單位不符",IF(INDEX(DB_05[核對狀態],U228)="停用","停用",IF(F228="","缺採樣日期",IF(OR(AND(INDEX(DB_05[生效日],U228)&lt;&gt;"",F228&lt;INDEX(DB_05[生效日],U228)),AND(INDEX(DB_05[失效日],U228)&lt;&gt;"",F228&gt;INDEX(DB_05[失效日],U228))),"日期不適用",INDEX(DB_05[核對狀態],U228)))))))))</f>
        <v/>
      </c>
      <c r="AD228" s="93">
        <f>IF(COUNTA($A228:$D228)=0,"",IF(AC228="未訂此介質／測項門檻",AC228,IF(AC228&lt;&gt;"已核對","標準待核",IF(R228="","未訂管制值",IF(NOT(ISNUMBER(L228)),"單位待核",IF(N228="ND","無法判定（ND無界限）",IF(N228="NA","不適用",IF(Z228&lt;&gt;"OK",Z228,IF(N228="數值",IF(Q228&gt;=R228,"達管制值","未達管制值"),IF(OR(N228="&lt;",N228="&lt;="),IF(OR(Q228&lt;R228,AND(N228="&lt;",Q228=R228)),"未達管制值","無法判定"),IF(OR(N228="&gt;",N228="&gt;="),IF(Q228&gt;=R228,"達管制值","無法判定"),"格式待核")))))))))))</f>
        <v/>
      </c>
      <c r="AE228" s="93">
        <f>IF(COUNTA($A228:$D228)=0,"",IF(AC228="未訂此介質／測項門檻",AC228,IF(AC228&lt;&gt;"已核對","標準待核",IF(S228="","未訂監測值",IF(NOT(ISNUMBER(L228)),"單位待核",IF(N228="ND","無法判定（ND無界限）",IF(N228="NA","不適用",IF(Z228&lt;&gt;"OK",Z228,IF(N228="數值",IF(Q228&gt;=S228,"達監測值","未達監測值"),IF(OR(N228="&lt;",N228="&lt;="),IF(OR(Q228&lt;S228,AND(N228="&lt;",Q228=S228)),"未達監測值","無法判定"),IF(OR(N228="&gt;",N228="&gt;="),IF(Q228&gt;=S228,"達監測值","無法判定"),"格式待核")))))))))))</f>
        <v/>
      </c>
      <c r="AF228" s="93">
        <f>IF(COUNTA($A228:$D228)=0,"",IF(OR(E228="",A228="",B228="",C228=""),"缺必要欄位",IF(Y228&lt;&gt;"OK","樣品資料待補",IF(T228=0,"測項未建或重複",IF(INDEX(DB_04[啟用],T228)&lt;&gt;"是","測項停用",IF(AND(Z228&lt;&gt;"OK",Z228&lt;&gt;"不適用"),Z228,IF(AND(AB228&lt;&gt;"OK",AB228&lt;&gt;"已換算"),"單位待核",IF(AA228&lt;&gt;"OK",AA228,"OK"))))))))</f>
        <v/>
      </c>
      <c r="AG228" s="93">
        <f>IF(COUNTA($A228:$D228)=0,"",IF(N228="ND","ND取0",IF(OR(N228="&lt;",N228="&lt;="),"界限除以2",IF(N228="NA","不適用",IF(OR(N228="&gt;",N228="&gt;="),"保留界限數值","保留原數值")))))</f>
        <v/>
      </c>
      <c r="AH228" s="92">
        <f>IF(O228="","",IFERROR(_xlfn.NUMBERVALUE(O228,".",","),""))</f>
        <v/>
      </c>
      <c r="AI228" s="92">
        <f>IF(H228="","",IFERROR(MATCH(H228,Samples[樣品編號],0),0))</f>
        <v/>
      </c>
    </row>
    <row r="229">
      <c r="A229" s="27" t="inlineStr">
        <is>
          <t>EC</t>
        </is>
      </c>
      <c r="B229" s="28" t="inlineStr">
        <is>
          <t>0.66</t>
        </is>
      </c>
      <c r="C229" s="27" t="inlineStr">
        <is>
          <t>mS/cm</t>
        </is>
      </c>
      <c r="D229" s="39" t="inlineStr">
        <is>
          <t>合成資料，非實測；method=field; temperature=25; temperature_compensated=25C; reference_temperature=25</t>
        </is>
      </c>
      <c r="E229" s="29">
        <f>IF(OR(I229="",I229=0),"",IF(INDEX(Samples[監測點],I229)="","",INDEX(Samples[監測點],I229)))</f>
        <v/>
      </c>
      <c r="F229" s="90">
        <f>IF(OR(I229="",I229=0),"",IF(INDEX(Samples[採樣日期],I229)="","",INDEX(Samples[採樣日期],I229)))</f>
        <v/>
      </c>
      <c r="G229" s="91">
        <f>IF(OR(M229="",M229="NA",M229="N/A"),"",IF(OR(M229="ND",M229="N.D."),0,IFERROR(IF(OR(OR(ISNUMBER(SEARCH("%",O229)),ISNUMBER(SEARCH(" ",O229)),ISNUMBER(SEARCH(",",O229))),OR(SUBSTITUTE(SUBSTITUTE(SUBSTITUTE(SUBSTITUTE(SUBSTITUTE(SUBSTITUTE(SUBSTITUTE(SUBSTITUTE(SUBSTITUTE(SUBSTITUTE(SUBSTITUTE(SUBSTITUTE(SUBSTITUTE(SUBSTITUTE(SUBSTITUTE(SUBSTITUTE(SUBSTITUTE(SUBSTITUTE("x"&amp;M229,"0",""),"1",""),"2",""),"3",""),"4",""),"5",""),"6",""),"7",""),"8",""),"9",""),".",""),"E",""),"+",""),"-",""),"&lt;",""),"&gt;",""),"=","")," ","")&lt;&gt;"x",ISNUMBER(SEARCH("-",SUBSTITUTE(SUBSTITUTE("x"&amp;MID(M229,2,99),"E-","E"),"E+","E"))),ISNUMBER(SEARCH("+",SUBSTITUTE(SUBSTITUTE("x"&amp;MID(M229,2,99),"E-","E"),"E+","E"))))),"",IF(AND(OR(LEFT(M229,1)="&lt;",LEFT(M229,1)="&gt;"),IF(O229="",0,IF(ISNUMBER(AH229),AH229,NA()))&lt;0),"",IF(O229="",0,IF(ISNUMBER(AH229),AH229,NA()))/IF(LEFT(M229,1)="&lt;",2,1))),"")))</f>
        <v/>
      </c>
      <c r="H229" s="57" t="inlineStr">
        <is>
          <t>BH05-W_20260415_02</t>
        </is>
      </c>
      <c r="I229" s="92">
        <f>IF(OR(H229="",AI229=0),0,IF(INDEX(Samples[樣品重複筆數],AI229)=1,AI229,0))</f>
        <v/>
      </c>
      <c r="J229" s="92">
        <f>IF(OR(COUNTA($A229:$D229)=0,I229=0),"",IF(INDEX(Samples[介質],I229)="","",INDEX(Samples[介質],I229)))</f>
        <v/>
      </c>
      <c r="K229" s="92">
        <f>IF(OR(COUNTA($A229:$D229)=0,T229=0),"",IF(INDEX(DB_04[標準單位],T229)="","",INDEX(DB_04[標準單位],T229)))</f>
        <v/>
      </c>
      <c r="L229" s="92">
        <f>IF(COUNTA($A229:$D229)=0,"",IF(OR(C229="",K229=""),"",IF(C229=K229,1,IF(COUNTIFS(DB_06[換算鍵],C229&amp;"|"&amp;K229,DB_06[換算檢查],"OK")=1,INDEX(DB_06[乘數],MATCH(C229&amp;"|"&amp;K229,DB_06[換算鍵],0)),""))))</f>
        <v/>
      </c>
      <c r="M229" s="92">
        <f>UPPER(SUBSTITUTE(SUBSTITUTE(SUBSTITUTE(SUBSTITUTE(TRIM(B229&amp;""),"＜","&lt;"),"＞","&gt;"),"≤","&lt;="),"≥","&gt;="))</f>
        <v/>
      </c>
      <c r="N229" s="92">
        <f>IF(M229="","",IF(OR(M229="ND",M229="N.D."),"ND",IF(OR(M229="NA",M229="N/A",M229="N.A."),"NA",IF(OR(LEFT(M229,2)="&lt;=",LEFT(M229,2)="&gt;="),LEFT(M229,2),IF(OR(LEFT(M229,1)="&lt;",LEFT(M229,1)="&gt;"),LEFT(M229,1),"數值")))))</f>
        <v/>
      </c>
      <c r="O229" s="92">
        <f>IF(OR(N229="",N229="ND",N229="NA"),"",IF(N229="數值",M229,TRIM(MID(M229,LEN(N229)+1,99))))</f>
        <v/>
      </c>
      <c r="P229" s="92">
        <f>IF(O229="","",IFERROR(IF(OR(OR(ISNUMBER(SEARCH("%",O229)),ISNUMBER(SEARCH(" ",O229)),ISNUMBER(SEARCH(",",O229))),OR(SUBSTITUTE(SUBSTITUTE(SUBSTITUTE(SUBSTITUTE(SUBSTITUTE(SUBSTITUTE(SUBSTITUTE(SUBSTITUTE(SUBSTITUTE(SUBSTITUTE(SUBSTITUTE(SUBSTITUTE(SUBSTITUTE(SUBSTITUTE(SUBSTITUTE(SUBSTITUTE(SUBSTITUTE(SUBSTITUTE("x"&amp;O229,"0",""),"1",""),"2",""),"3",""),"4",""),"5",""),"6",""),"7",""),"8",""),"9",""),".",""),"E",""),"+",""),"-",""),"&lt;",""),"&gt;",""),"=","")," ","")&lt;&gt;"x",ISNUMBER(SEARCH("-",SUBSTITUTE(SUBSTITUTE("x"&amp;MID(O229,2,99),"E-","E"),"E+","E"))),ISNUMBER(SEARCH("+",SUBSTITUTE(SUBSTITUTE("x"&amp;MID(O229,2,99),"E-","E"),"E+","E"))))),"",IF(ISNUMBER(AH229),AH229,NA())),""))</f>
        <v/>
      </c>
      <c r="Q229" s="92">
        <f>IF(AND(ISNUMBER(L229),ISNUMBER(P229)),L229*P229,"")</f>
        <v/>
      </c>
      <c r="R229" s="92">
        <f>IF(OR(COUNTA($A229:$D229)=0,U229=0),"",IF(INDEX(DB_05[管制設定值],U229)="","",INDEX(DB_05[管制設定值],U229)))</f>
        <v/>
      </c>
      <c r="S229" s="92">
        <f>IF(OR(COUNTA($A229:$D229)=0,U229=0),"",IF(INDEX(DB_05[監測設定值],U229)="","",INDEX(DB_05[監測設定值],U229)))</f>
        <v/>
      </c>
      <c r="T229" s="92">
        <f>IF(COUNTA($A229:$D229)=0,"",IF(COUNTIFS(DB_04[測項鍵],V229)=1,MATCH(V229,DB_04[測項鍵],0),0))</f>
        <v/>
      </c>
      <c r="U229" s="92">
        <f>IF(COUNTA($A229:$D229)=0,"",IF(COUNTIFS(DB_05[標準鍵],W229)=1,MATCH(W229,DB_05[標準鍵],0),0))</f>
        <v/>
      </c>
      <c r="V229" s="92">
        <f>IF(OR(J229="",A229=""),"",J229&amp;"|"&amp;A229)</f>
        <v/>
      </c>
      <c r="W229" s="92">
        <f>IF(OR('07_QAQC'!$C$3="",V229=""),"",'07_QAQC'!$C$3&amp;"|"&amp;V229)</f>
        <v/>
      </c>
      <c r="X229" s="92">
        <f>IF(OR(H229="",A229=""),"",LEN(H229)&amp;":"&amp;H229&amp;LEN(A229)&amp;":"&amp;A229)</f>
        <v/>
      </c>
      <c r="Y229" s="93">
        <f>IF(COUNTA($A229:$D229)=0,"",IF(I229=0,"樣品未建或重複",IF(INDEX(Samples[樣品檢查],I229)="","OK",INDEX(Samples[樣品檢查],I229))))</f>
        <v/>
      </c>
      <c r="Z229" s="93">
        <f>IF(COUNTA($A229:$D229)=0,"",IF(B229="","缺原始值",IF(OR(B229="-",B229="--"),"無資料",IF(N229="NA","不適用",IF(N229="ND","OK",IF(NOT(ISNUMBER(P229)),"格式待核",IF(AND(N229&lt;&gt;"數值",P229&lt;0),"界限不得為負","OK")))))))</f>
        <v/>
      </c>
      <c r="AA229" s="93">
        <f>IF(COUNTA(A229:D229)=0,"",IF(OR(A229="",H229=""),"缺識別欄位",IF(IF(LEN("="&amp;SUBSTITUTE(SUBSTITUTE(SUBSTITUTE(X229,"~","~~"),"*","~*"),"?","~?"))&lt;=255,COUNTIF(Results[結果識別鍵],"="&amp;SUBSTITUTE(SUBSTITUTE(SUBSTITUTE(X229,"~","~~"),"*","~*"),"?","~?")),COUNTIFS(Results[關聯鍵],"="&amp;SUBSTITUTE(SUBSTITUTE(SUBSTITUTE(H229,"~","~~"),"*","~*"),"?","~?"),Results[分析項目],"="&amp;SUBSTITUTE(SUBSTITUTE(SUBSTITUTE(A229,"~","~~"),"*","~*"),"?","~?")))&gt;1,"同關聯鍵測項重複","OK")))</f>
        <v/>
      </c>
      <c r="AB229" s="93">
        <f>IF(COUNTA($A229:$D229)=0,"",IF(OR(C229="",K229=""),"缺單位",IF(NOT(ISNUMBER(L229)),"單位不相容",IF(L229=1,"OK","已換算"))))</f>
        <v/>
      </c>
      <c r="AC229" s="93">
        <f>IF(COUNTA($A229:$D229)=0,"",IF('07_QAQC'!$C$3="","未選比較版本",IF(U229=0,IF(COUNTIFS(DB_05[標準鍵],W229)&gt;1,"標準鍵重複","未訂此介質／測項門檻"),IF(INDEX(DB_05[版本檢查],U229)&lt;&gt;"OK","標準主檔待核",IF(INDEX(DB_05[標準單位],U229)&lt;&gt;K229,"標準單位不符",IF(INDEX(DB_05[核對狀態],U229)="停用","停用",IF(F229="","缺採樣日期",IF(OR(AND(INDEX(DB_05[生效日],U229)&lt;&gt;"",F229&lt;INDEX(DB_05[生效日],U229)),AND(INDEX(DB_05[失效日],U229)&lt;&gt;"",F229&gt;INDEX(DB_05[失效日],U229))),"日期不適用",INDEX(DB_05[核對狀態],U229)))))))))</f>
        <v/>
      </c>
      <c r="AD229" s="93">
        <f>IF(COUNTA($A229:$D229)=0,"",IF(AC229="未訂此介質／測項門檻",AC229,IF(AC229&lt;&gt;"已核對","標準待核",IF(R229="","未訂管制值",IF(NOT(ISNUMBER(L229)),"單位待核",IF(N229="ND","無法判定（ND無界限）",IF(N229="NA","不適用",IF(Z229&lt;&gt;"OK",Z229,IF(N229="數值",IF(Q229&gt;=R229,"達管制值","未達管制值"),IF(OR(N229="&lt;",N229="&lt;="),IF(OR(Q229&lt;R229,AND(N229="&lt;",Q229=R229)),"未達管制值","無法判定"),IF(OR(N229="&gt;",N229="&gt;="),IF(Q229&gt;=R229,"達管制值","無法判定"),"格式待核")))))))))))</f>
        <v/>
      </c>
      <c r="AE229" s="93">
        <f>IF(COUNTA($A229:$D229)=0,"",IF(AC229="未訂此介質／測項門檻",AC229,IF(AC229&lt;&gt;"已核對","標準待核",IF(S229="","未訂監測值",IF(NOT(ISNUMBER(L229)),"單位待核",IF(N229="ND","無法判定（ND無界限）",IF(N229="NA","不適用",IF(Z229&lt;&gt;"OK",Z229,IF(N229="數值",IF(Q229&gt;=S229,"達監測值","未達監測值"),IF(OR(N229="&lt;",N229="&lt;="),IF(OR(Q229&lt;S229,AND(N229="&lt;",Q229=S229)),"未達監測值","無法判定"),IF(OR(N229="&gt;",N229="&gt;="),IF(Q229&gt;=S229,"達監測值","無法判定"),"格式待核")))))))))))</f>
        <v/>
      </c>
      <c r="AF229" s="93">
        <f>IF(COUNTA($A229:$D229)=0,"",IF(OR(E229="",A229="",B229="",C229=""),"缺必要欄位",IF(Y229&lt;&gt;"OK","樣品資料待補",IF(T229=0,"測項未建或重複",IF(INDEX(DB_04[啟用],T229)&lt;&gt;"是","測項停用",IF(AND(Z229&lt;&gt;"OK",Z229&lt;&gt;"不適用"),Z229,IF(AND(AB229&lt;&gt;"OK",AB229&lt;&gt;"已換算"),"單位待核",IF(AA229&lt;&gt;"OK",AA229,"OK"))))))))</f>
        <v/>
      </c>
      <c r="AG229" s="93">
        <f>IF(COUNTA($A229:$D229)=0,"",IF(N229="ND","ND取0",IF(OR(N229="&lt;",N229="&lt;="),"界限除以2",IF(N229="NA","不適用",IF(OR(N229="&gt;",N229="&gt;="),"保留界限數值","保留原數值")))))</f>
        <v/>
      </c>
      <c r="AH229" s="92">
        <f>IF(O229="","",IFERROR(_xlfn.NUMBERVALUE(O229,".",","),""))</f>
        <v/>
      </c>
      <c r="AI229" s="92">
        <f>IF(H229="","",IFERROR(MATCH(H229,Samples[樣品編號],0),0))</f>
        <v/>
      </c>
    </row>
    <row r="230">
      <c r="A230" s="27" t="inlineStr">
        <is>
          <t>DO</t>
        </is>
      </c>
      <c r="B230" s="28" t="inlineStr">
        <is>
          <t>4.7</t>
        </is>
      </c>
      <c r="C230" s="27" t="inlineStr">
        <is>
          <t>mg/L</t>
        </is>
      </c>
      <c r="D230" s="39" t="inlineStr">
        <is>
          <t>合成資料，非實測；method=field</t>
        </is>
      </c>
      <c r="E230" s="29">
        <f>IF(OR(I230="",I230=0),"",IF(INDEX(Samples[監測點],I230)="","",INDEX(Samples[監測點],I230)))</f>
        <v/>
      </c>
      <c r="F230" s="90">
        <f>IF(OR(I230="",I230=0),"",IF(INDEX(Samples[採樣日期],I230)="","",INDEX(Samples[採樣日期],I230)))</f>
        <v/>
      </c>
      <c r="G230" s="91">
        <f>IF(OR(M230="",M230="NA",M230="N/A"),"",IF(OR(M230="ND",M230="N.D."),0,IFERROR(IF(OR(OR(ISNUMBER(SEARCH("%",O230)),ISNUMBER(SEARCH(" ",O230)),ISNUMBER(SEARCH(",",O230))),OR(SUBSTITUTE(SUBSTITUTE(SUBSTITUTE(SUBSTITUTE(SUBSTITUTE(SUBSTITUTE(SUBSTITUTE(SUBSTITUTE(SUBSTITUTE(SUBSTITUTE(SUBSTITUTE(SUBSTITUTE(SUBSTITUTE(SUBSTITUTE(SUBSTITUTE(SUBSTITUTE(SUBSTITUTE(SUBSTITUTE("x"&amp;M230,"0",""),"1",""),"2",""),"3",""),"4",""),"5",""),"6",""),"7",""),"8",""),"9",""),".",""),"E",""),"+",""),"-",""),"&lt;",""),"&gt;",""),"=","")," ","")&lt;&gt;"x",ISNUMBER(SEARCH("-",SUBSTITUTE(SUBSTITUTE("x"&amp;MID(M230,2,99),"E-","E"),"E+","E"))),ISNUMBER(SEARCH("+",SUBSTITUTE(SUBSTITUTE("x"&amp;MID(M230,2,99),"E-","E"),"E+","E"))))),"",IF(AND(OR(LEFT(M230,1)="&lt;",LEFT(M230,1)="&gt;"),IF(O230="",0,IF(ISNUMBER(AH230),AH230,NA()))&lt;0),"",IF(O230="",0,IF(ISNUMBER(AH230),AH230,NA()))/IF(LEFT(M230,1)="&lt;",2,1))),"")))</f>
        <v/>
      </c>
      <c r="H230" s="57" t="inlineStr">
        <is>
          <t>BH05-W_20260415_02</t>
        </is>
      </c>
      <c r="I230" s="92">
        <f>IF(OR(H230="",AI230=0),0,IF(INDEX(Samples[樣品重複筆數],AI230)=1,AI230,0))</f>
        <v/>
      </c>
      <c r="J230" s="92">
        <f>IF(OR(COUNTA($A230:$D230)=0,I230=0),"",IF(INDEX(Samples[介質],I230)="","",INDEX(Samples[介質],I230)))</f>
        <v/>
      </c>
      <c r="K230" s="92">
        <f>IF(OR(COUNTA($A230:$D230)=0,T230=0),"",IF(INDEX(DB_04[標準單位],T230)="","",INDEX(DB_04[標準單位],T230)))</f>
        <v/>
      </c>
      <c r="L230" s="92">
        <f>IF(COUNTA($A230:$D230)=0,"",IF(OR(C230="",K230=""),"",IF(C230=K230,1,IF(COUNTIFS(DB_06[換算鍵],C230&amp;"|"&amp;K230,DB_06[換算檢查],"OK")=1,INDEX(DB_06[乘數],MATCH(C230&amp;"|"&amp;K230,DB_06[換算鍵],0)),""))))</f>
        <v/>
      </c>
      <c r="M230" s="92">
        <f>UPPER(SUBSTITUTE(SUBSTITUTE(SUBSTITUTE(SUBSTITUTE(TRIM(B230&amp;""),"＜","&lt;"),"＞","&gt;"),"≤","&lt;="),"≥","&gt;="))</f>
        <v/>
      </c>
      <c r="N230" s="92">
        <f>IF(M230="","",IF(OR(M230="ND",M230="N.D."),"ND",IF(OR(M230="NA",M230="N/A",M230="N.A."),"NA",IF(OR(LEFT(M230,2)="&lt;=",LEFT(M230,2)="&gt;="),LEFT(M230,2),IF(OR(LEFT(M230,1)="&lt;",LEFT(M230,1)="&gt;"),LEFT(M230,1),"數值")))))</f>
        <v/>
      </c>
      <c r="O230" s="92">
        <f>IF(OR(N230="",N230="ND",N230="NA"),"",IF(N230="數值",M230,TRIM(MID(M230,LEN(N230)+1,99))))</f>
        <v/>
      </c>
      <c r="P230" s="92">
        <f>IF(O230="","",IFERROR(IF(OR(OR(ISNUMBER(SEARCH("%",O230)),ISNUMBER(SEARCH(" ",O230)),ISNUMBER(SEARCH(",",O230))),OR(SUBSTITUTE(SUBSTITUTE(SUBSTITUTE(SUBSTITUTE(SUBSTITUTE(SUBSTITUTE(SUBSTITUTE(SUBSTITUTE(SUBSTITUTE(SUBSTITUTE(SUBSTITUTE(SUBSTITUTE(SUBSTITUTE(SUBSTITUTE(SUBSTITUTE(SUBSTITUTE(SUBSTITUTE(SUBSTITUTE("x"&amp;O230,"0",""),"1",""),"2",""),"3",""),"4",""),"5",""),"6",""),"7",""),"8",""),"9",""),".",""),"E",""),"+",""),"-",""),"&lt;",""),"&gt;",""),"=","")," ","")&lt;&gt;"x",ISNUMBER(SEARCH("-",SUBSTITUTE(SUBSTITUTE("x"&amp;MID(O230,2,99),"E-","E"),"E+","E"))),ISNUMBER(SEARCH("+",SUBSTITUTE(SUBSTITUTE("x"&amp;MID(O230,2,99),"E-","E"),"E+","E"))))),"",IF(ISNUMBER(AH230),AH230,NA())),""))</f>
        <v/>
      </c>
      <c r="Q230" s="92">
        <f>IF(AND(ISNUMBER(L230),ISNUMBER(P230)),L230*P230,"")</f>
        <v/>
      </c>
      <c r="R230" s="92">
        <f>IF(OR(COUNTA($A230:$D230)=0,U230=0),"",IF(INDEX(DB_05[管制設定值],U230)="","",INDEX(DB_05[管制設定值],U230)))</f>
        <v/>
      </c>
      <c r="S230" s="92">
        <f>IF(OR(COUNTA($A230:$D230)=0,U230=0),"",IF(INDEX(DB_05[監測設定值],U230)="","",INDEX(DB_05[監測設定值],U230)))</f>
        <v/>
      </c>
      <c r="T230" s="92">
        <f>IF(COUNTA($A230:$D230)=0,"",IF(COUNTIFS(DB_04[測項鍵],V230)=1,MATCH(V230,DB_04[測項鍵],0),0))</f>
        <v/>
      </c>
      <c r="U230" s="92">
        <f>IF(COUNTA($A230:$D230)=0,"",IF(COUNTIFS(DB_05[標準鍵],W230)=1,MATCH(W230,DB_05[標準鍵],0),0))</f>
        <v/>
      </c>
      <c r="V230" s="92">
        <f>IF(OR(J230="",A230=""),"",J230&amp;"|"&amp;A230)</f>
        <v/>
      </c>
      <c r="W230" s="92">
        <f>IF(OR('07_QAQC'!$C$3="",V230=""),"",'07_QAQC'!$C$3&amp;"|"&amp;V230)</f>
        <v/>
      </c>
      <c r="X230" s="92">
        <f>IF(OR(H230="",A230=""),"",LEN(H230)&amp;":"&amp;H230&amp;LEN(A230)&amp;":"&amp;A230)</f>
        <v/>
      </c>
      <c r="Y230" s="93">
        <f>IF(COUNTA($A230:$D230)=0,"",IF(I230=0,"樣品未建或重複",IF(INDEX(Samples[樣品檢查],I230)="","OK",INDEX(Samples[樣品檢查],I230))))</f>
        <v/>
      </c>
      <c r="Z230" s="93">
        <f>IF(COUNTA($A230:$D230)=0,"",IF(B230="","缺原始值",IF(OR(B230="-",B230="--"),"無資料",IF(N230="NA","不適用",IF(N230="ND","OK",IF(NOT(ISNUMBER(P230)),"格式待核",IF(AND(N230&lt;&gt;"數值",P230&lt;0),"界限不得為負","OK")))))))</f>
        <v/>
      </c>
      <c r="AA230" s="93">
        <f>IF(COUNTA(A230:D230)=0,"",IF(OR(A230="",H230=""),"缺識別欄位",IF(IF(LEN("="&amp;SUBSTITUTE(SUBSTITUTE(SUBSTITUTE(X230,"~","~~"),"*","~*"),"?","~?"))&lt;=255,COUNTIF(Results[結果識別鍵],"="&amp;SUBSTITUTE(SUBSTITUTE(SUBSTITUTE(X230,"~","~~"),"*","~*"),"?","~?")),COUNTIFS(Results[關聯鍵],"="&amp;SUBSTITUTE(SUBSTITUTE(SUBSTITUTE(H230,"~","~~"),"*","~*"),"?","~?"),Results[分析項目],"="&amp;SUBSTITUTE(SUBSTITUTE(SUBSTITUTE(A230,"~","~~"),"*","~*"),"?","~?")))&gt;1,"同關聯鍵測項重複","OK")))</f>
        <v/>
      </c>
      <c r="AB230" s="93">
        <f>IF(COUNTA($A230:$D230)=0,"",IF(OR(C230="",K230=""),"缺單位",IF(NOT(ISNUMBER(L230)),"單位不相容",IF(L230=1,"OK","已換算"))))</f>
        <v/>
      </c>
      <c r="AC230" s="93">
        <f>IF(COUNTA($A230:$D230)=0,"",IF('07_QAQC'!$C$3="","未選比較版本",IF(U230=0,IF(COUNTIFS(DB_05[標準鍵],W230)&gt;1,"標準鍵重複","未訂此介質／測項門檻"),IF(INDEX(DB_05[版本檢查],U230)&lt;&gt;"OK","標準主檔待核",IF(INDEX(DB_05[標準單位],U230)&lt;&gt;K230,"標準單位不符",IF(INDEX(DB_05[核對狀態],U230)="停用","停用",IF(F230="","缺採樣日期",IF(OR(AND(INDEX(DB_05[生效日],U230)&lt;&gt;"",F230&lt;INDEX(DB_05[生效日],U230)),AND(INDEX(DB_05[失效日],U230)&lt;&gt;"",F230&gt;INDEX(DB_05[失效日],U230))),"日期不適用",INDEX(DB_05[核對狀態],U230)))))))))</f>
        <v/>
      </c>
      <c r="AD230" s="93">
        <f>IF(COUNTA($A230:$D230)=0,"",IF(AC230="未訂此介質／測項門檻",AC230,IF(AC230&lt;&gt;"已核對","標準待核",IF(R230="","未訂管制值",IF(NOT(ISNUMBER(L230)),"單位待核",IF(N230="ND","無法判定（ND無界限）",IF(N230="NA","不適用",IF(Z230&lt;&gt;"OK",Z230,IF(N230="數值",IF(Q230&gt;=R230,"達管制值","未達管制值"),IF(OR(N230="&lt;",N230="&lt;="),IF(OR(Q230&lt;R230,AND(N230="&lt;",Q230=R230)),"未達管制值","無法判定"),IF(OR(N230="&gt;",N230="&gt;="),IF(Q230&gt;=R230,"達管制值","無法判定"),"格式待核")))))))))))</f>
        <v/>
      </c>
      <c r="AE230" s="93">
        <f>IF(COUNTA($A230:$D230)=0,"",IF(AC230="未訂此介質／測項門檻",AC230,IF(AC230&lt;&gt;"已核對","標準待核",IF(S230="","未訂監測值",IF(NOT(ISNUMBER(L230)),"單位待核",IF(N230="ND","無法判定（ND無界限）",IF(N230="NA","不適用",IF(Z230&lt;&gt;"OK",Z230,IF(N230="數值",IF(Q230&gt;=S230,"達監測值","未達監測值"),IF(OR(N230="&lt;",N230="&lt;="),IF(OR(Q230&lt;S230,AND(N230="&lt;",Q230=S230)),"未達監測值","無法判定"),IF(OR(N230="&gt;",N230="&gt;="),IF(Q230&gt;=S230,"達監測值","無法判定"),"格式待核")))))))))))</f>
        <v/>
      </c>
      <c r="AF230" s="93">
        <f>IF(COUNTA($A230:$D230)=0,"",IF(OR(E230="",A230="",B230="",C230=""),"缺必要欄位",IF(Y230&lt;&gt;"OK","樣品資料待補",IF(T230=0,"測項未建或重複",IF(INDEX(DB_04[啟用],T230)&lt;&gt;"是","測項停用",IF(AND(Z230&lt;&gt;"OK",Z230&lt;&gt;"不適用"),Z230,IF(AND(AB230&lt;&gt;"OK",AB230&lt;&gt;"已換算"),"單位待核",IF(AA230&lt;&gt;"OK",AA230,"OK"))))))))</f>
        <v/>
      </c>
      <c r="AG230" s="93">
        <f>IF(COUNTA($A230:$D230)=0,"",IF(N230="ND","ND取0",IF(OR(N230="&lt;",N230="&lt;="),"界限除以2",IF(N230="NA","不適用",IF(OR(N230="&gt;",N230="&gt;="),"保留界限數值","保留原數值")))))</f>
        <v/>
      </c>
      <c r="AH230" s="92">
        <f>IF(O230="","",IFERROR(_xlfn.NUMBERVALUE(O230,".",","),""))</f>
        <v/>
      </c>
      <c r="AI230" s="92">
        <f>IF(H230="","",IFERROR(MATCH(H230,Samples[樣品編號],0),0))</f>
        <v/>
      </c>
    </row>
    <row r="231">
      <c r="A231" s="27" t="inlineStr">
        <is>
          <t>溶氧飽和度</t>
        </is>
      </c>
      <c r="B231" s="28" t="inlineStr">
        <is>
          <t>59</t>
        </is>
      </c>
      <c r="C231" s="27" t="inlineStr">
        <is>
          <t>%</t>
        </is>
      </c>
      <c r="D231" s="39" t="inlineStr">
        <is>
          <t>合成資料，非實測；method=field</t>
        </is>
      </c>
      <c r="E231" s="29">
        <f>IF(OR(I231="",I231=0),"",IF(INDEX(Samples[監測點],I231)="","",INDEX(Samples[監測點],I231)))</f>
        <v/>
      </c>
      <c r="F231" s="90">
        <f>IF(OR(I231="",I231=0),"",IF(INDEX(Samples[採樣日期],I231)="","",INDEX(Samples[採樣日期],I231)))</f>
        <v/>
      </c>
      <c r="G231" s="91">
        <f>IF(OR(M231="",M231="NA",M231="N/A"),"",IF(OR(M231="ND",M231="N.D."),0,IFERROR(IF(OR(OR(ISNUMBER(SEARCH("%",O231)),ISNUMBER(SEARCH(" ",O231)),ISNUMBER(SEARCH(",",O231))),OR(SUBSTITUTE(SUBSTITUTE(SUBSTITUTE(SUBSTITUTE(SUBSTITUTE(SUBSTITUTE(SUBSTITUTE(SUBSTITUTE(SUBSTITUTE(SUBSTITUTE(SUBSTITUTE(SUBSTITUTE(SUBSTITUTE(SUBSTITUTE(SUBSTITUTE(SUBSTITUTE(SUBSTITUTE(SUBSTITUTE("x"&amp;M231,"0",""),"1",""),"2",""),"3",""),"4",""),"5",""),"6",""),"7",""),"8",""),"9",""),".",""),"E",""),"+",""),"-",""),"&lt;",""),"&gt;",""),"=","")," ","")&lt;&gt;"x",ISNUMBER(SEARCH("-",SUBSTITUTE(SUBSTITUTE("x"&amp;MID(M231,2,99),"E-","E"),"E+","E"))),ISNUMBER(SEARCH("+",SUBSTITUTE(SUBSTITUTE("x"&amp;MID(M231,2,99),"E-","E"),"E+","E"))))),"",IF(AND(OR(LEFT(M231,1)="&lt;",LEFT(M231,1)="&gt;"),IF(O231="",0,IF(ISNUMBER(AH231),AH231,NA()))&lt;0),"",IF(O231="",0,IF(ISNUMBER(AH231),AH231,NA()))/IF(LEFT(M231,1)="&lt;",2,1))),"")))</f>
        <v/>
      </c>
      <c r="H231" s="57" t="inlineStr">
        <is>
          <t>BH05-W_20260415_02</t>
        </is>
      </c>
      <c r="I231" s="92">
        <f>IF(OR(H231="",AI231=0),0,IF(INDEX(Samples[樣品重複筆數],AI231)=1,AI231,0))</f>
        <v/>
      </c>
      <c r="J231" s="92">
        <f>IF(OR(COUNTA($A231:$D231)=0,I231=0),"",IF(INDEX(Samples[介質],I231)="","",INDEX(Samples[介質],I231)))</f>
        <v/>
      </c>
      <c r="K231" s="92">
        <f>IF(OR(COUNTA($A231:$D231)=0,T231=0),"",IF(INDEX(DB_04[標準單位],T231)="","",INDEX(DB_04[標準單位],T231)))</f>
        <v/>
      </c>
      <c r="L231" s="92">
        <f>IF(COUNTA($A231:$D231)=0,"",IF(OR(C231="",K231=""),"",IF(C231=K231,1,IF(COUNTIFS(DB_06[換算鍵],C231&amp;"|"&amp;K231,DB_06[換算檢查],"OK")=1,INDEX(DB_06[乘數],MATCH(C231&amp;"|"&amp;K231,DB_06[換算鍵],0)),""))))</f>
        <v/>
      </c>
      <c r="M231" s="92">
        <f>UPPER(SUBSTITUTE(SUBSTITUTE(SUBSTITUTE(SUBSTITUTE(TRIM(B231&amp;""),"＜","&lt;"),"＞","&gt;"),"≤","&lt;="),"≥","&gt;="))</f>
        <v/>
      </c>
      <c r="N231" s="92">
        <f>IF(M231="","",IF(OR(M231="ND",M231="N.D."),"ND",IF(OR(M231="NA",M231="N/A",M231="N.A."),"NA",IF(OR(LEFT(M231,2)="&lt;=",LEFT(M231,2)="&gt;="),LEFT(M231,2),IF(OR(LEFT(M231,1)="&lt;",LEFT(M231,1)="&gt;"),LEFT(M231,1),"數值")))))</f>
        <v/>
      </c>
      <c r="O231" s="92">
        <f>IF(OR(N231="",N231="ND",N231="NA"),"",IF(N231="數值",M231,TRIM(MID(M231,LEN(N231)+1,99))))</f>
        <v/>
      </c>
      <c r="P231" s="92">
        <f>IF(O231="","",IFERROR(IF(OR(OR(ISNUMBER(SEARCH("%",O231)),ISNUMBER(SEARCH(" ",O231)),ISNUMBER(SEARCH(",",O231))),OR(SUBSTITUTE(SUBSTITUTE(SUBSTITUTE(SUBSTITUTE(SUBSTITUTE(SUBSTITUTE(SUBSTITUTE(SUBSTITUTE(SUBSTITUTE(SUBSTITUTE(SUBSTITUTE(SUBSTITUTE(SUBSTITUTE(SUBSTITUTE(SUBSTITUTE(SUBSTITUTE(SUBSTITUTE(SUBSTITUTE("x"&amp;O231,"0",""),"1",""),"2",""),"3",""),"4",""),"5",""),"6",""),"7",""),"8",""),"9",""),".",""),"E",""),"+",""),"-",""),"&lt;",""),"&gt;",""),"=","")," ","")&lt;&gt;"x",ISNUMBER(SEARCH("-",SUBSTITUTE(SUBSTITUTE("x"&amp;MID(O231,2,99),"E-","E"),"E+","E"))),ISNUMBER(SEARCH("+",SUBSTITUTE(SUBSTITUTE("x"&amp;MID(O231,2,99),"E-","E"),"E+","E"))))),"",IF(ISNUMBER(AH231),AH231,NA())),""))</f>
        <v/>
      </c>
      <c r="Q231" s="92">
        <f>IF(AND(ISNUMBER(L231),ISNUMBER(P231)),L231*P231,"")</f>
        <v/>
      </c>
      <c r="R231" s="92">
        <f>IF(OR(COUNTA($A231:$D231)=0,U231=0),"",IF(INDEX(DB_05[管制設定值],U231)="","",INDEX(DB_05[管制設定值],U231)))</f>
        <v/>
      </c>
      <c r="S231" s="92">
        <f>IF(OR(COUNTA($A231:$D231)=0,U231=0),"",IF(INDEX(DB_05[監測設定值],U231)="","",INDEX(DB_05[監測設定值],U231)))</f>
        <v/>
      </c>
      <c r="T231" s="92">
        <f>IF(COUNTA($A231:$D231)=0,"",IF(COUNTIFS(DB_04[測項鍵],V231)=1,MATCH(V231,DB_04[測項鍵],0),0))</f>
        <v/>
      </c>
      <c r="U231" s="92">
        <f>IF(COUNTA($A231:$D231)=0,"",IF(COUNTIFS(DB_05[標準鍵],W231)=1,MATCH(W231,DB_05[標準鍵],0),0))</f>
        <v/>
      </c>
      <c r="V231" s="92">
        <f>IF(OR(J231="",A231=""),"",J231&amp;"|"&amp;A231)</f>
        <v/>
      </c>
      <c r="W231" s="92">
        <f>IF(OR('07_QAQC'!$C$3="",V231=""),"",'07_QAQC'!$C$3&amp;"|"&amp;V231)</f>
        <v/>
      </c>
      <c r="X231" s="92">
        <f>IF(OR(H231="",A231=""),"",LEN(H231)&amp;":"&amp;H231&amp;LEN(A231)&amp;":"&amp;A231)</f>
        <v/>
      </c>
      <c r="Y231" s="93">
        <f>IF(COUNTA($A231:$D231)=0,"",IF(I231=0,"樣品未建或重複",IF(INDEX(Samples[樣品檢查],I231)="","OK",INDEX(Samples[樣品檢查],I231))))</f>
        <v/>
      </c>
      <c r="Z231" s="93">
        <f>IF(COUNTA($A231:$D231)=0,"",IF(B231="","缺原始值",IF(OR(B231="-",B231="--"),"無資料",IF(N231="NA","不適用",IF(N231="ND","OK",IF(NOT(ISNUMBER(P231)),"格式待核",IF(AND(N231&lt;&gt;"數值",P231&lt;0),"界限不得為負","OK")))))))</f>
        <v/>
      </c>
      <c r="AA231" s="93">
        <f>IF(COUNTA(A231:D231)=0,"",IF(OR(A231="",H231=""),"缺識別欄位",IF(IF(LEN("="&amp;SUBSTITUTE(SUBSTITUTE(SUBSTITUTE(X231,"~","~~"),"*","~*"),"?","~?"))&lt;=255,COUNTIF(Results[結果識別鍵],"="&amp;SUBSTITUTE(SUBSTITUTE(SUBSTITUTE(X231,"~","~~"),"*","~*"),"?","~?")),COUNTIFS(Results[關聯鍵],"="&amp;SUBSTITUTE(SUBSTITUTE(SUBSTITUTE(H231,"~","~~"),"*","~*"),"?","~?"),Results[分析項目],"="&amp;SUBSTITUTE(SUBSTITUTE(SUBSTITUTE(A231,"~","~~"),"*","~*"),"?","~?")))&gt;1,"同關聯鍵測項重複","OK")))</f>
        <v/>
      </c>
      <c r="AB231" s="93">
        <f>IF(COUNTA($A231:$D231)=0,"",IF(OR(C231="",K231=""),"缺單位",IF(NOT(ISNUMBER(L231)),"單位不相容",IF(L231=1,"OK","已換算"))))</f>
        <v/>
      </c>
      <c r="AC231" s="93">
        <f>IF(COUNTA($A231:$D231)=0,"",IF('07_QAQC'!$C$3="","未選比較版本",IF(U231=0,IF(COUNTIFS(DB_05[標準鍵],W231)&gt;1,"標準鍵重複","未訂此介質／測項門檻"),IF(INDEX(DB_05[版本檢查],U231)&lt;&gt;"OK","標準主檔待核",IF(INDEX(DB_05[標準單位],U231)&lt;&gt;K231,"標準單位不符",IF(INDEX(DB_05[核對狀態],U231)="停用","停用",IF(F231="","缺採樣日期",IF(OR(AND(INDEX(DB_05[生效日],U231)&lt;&gt;"",F231&lt;INDEX(DB_05[生效日],U231)),AND(INDEX(DB_05[失效日],U231)&lt;&gt;"",F231&gt;INDEX(DB_05[失效日],U231))),"日期不適用",INDEX(DB_05[核對狀態],U231)))))))))</f>
        <v/>
      </c>
      <c r="AD231" s="93">
        <f>IF(COUNTA($A231:$D231)=0,"",IF(AC231="未訂此介質／測項門檻",AC231,IF(AC231&lt;&gt;"已核對","標準待核",IF(R231="","未訂管制值",IF(NOT(ISNUMBER(L231)),"單位待核",IF(N231="ND","無法判定（ND無界限）",IF(N231="NA","不適用",IF(Z231&lt;&gt;"OK",Z231,IF(N231="數值",IF(Q231&gt;=R231,"達管制值","未達管制值"),IF(OR(N231="&lt;",N231="&lt;="),IF(OR(Q231&lt;R231,AND(N231="&lt;",Q231=R231)),"未達管制值","無法判定"),IF(OR(N231="&gt;",N231="&gt;="),IF(Q231&gt;=R231,"達管制值","無法判定"),"格式待核")))))))))))</f>
        <v/>
      </c>
      <c r="AE231" s="93">
        <f>IF(COUNTA($A231:$D231)=0,"",IF(AC231="未訂此介質／測項門檻",AC231,IF(AC231&lt;&gt;"已核對","標準待核",IF(S231="","未訂監測值",IF(NOT(ISNUMBER(L231)),"單位待核",IF(N231="ND","無法判定（ND無界限）",IF(N231="NA","不適用",IF(Z231&lt;&gt;"OK",Z231,IF(N231="數值",IF(Q231&gt;=S231,"達監測值","未達監測值"),IF(OR(N231="&lt;",N231="&lt;="),IF(OR(Q231&lt;S231,AND(N231="&lt;",Q231=S231)),"未達監測值","無法判定"),IF(OR(N231="&gt;",N231="&gt;="),IF(Q231&gt;=S231,"達監測值","無法判定"),"格式待核")))))))))))</f>
        <v/>
      </c>
      <c r="AF231" s="93">
        <f>IF(COUNTA($A231:$D231)=0,"",IF(OR(E231="",A231="",B231="",C231=""),"缺必要欄位",IF(Y231&lt;&gt;"OK","樣品資料待補",IF(T231=0,"測項未建或重複",IF(INDEX(DB_04[啟用],T231)&lt;&gt;"是","測項停用",IF(AND(Z231&lt;&gt;"OK",Z231&lt;&gt;"不適用"),Z231,IF(AND(AB231&lt;&gt;"OK",AB231&lt;&gt;"已換算"),"單位待核",IF(AA231&lt;&gt;"OK",AA231,"OK"))))))))</f>
        <v/>
      </c>
      <c r="AG231" s="93">
        <f>IF(COUNTA($A231:$D231)=0,"",IF(N231="ND","ND取0",IF(OR(N231="&lt;",N231="&lt;="),"界限除以2",IF(N231="NA","不適用",IF(OR(N231="&gt;",N231="&gt;="),"保留界限數值","保留原數值")))))</f>
        <v/>
      </c>
      <c r="AH231" s="92">
        <f>IF(O231="","",IFERROR(_xlfn.NUMBERVALUE(O231,".",","),""))</f>
        <v/>
      </c>
      <c r="AI231" s="92">
        <f>IF(H231="","",IFERROR(MATCH(H231,Samples[樣品編號],0),0))</f>
        <v/>
      </c>
    </row>
    <row r="232">
      <c r="A232" s="27" t="inlineStr">
        <is>
          <t>ORP</t>
        </is>
      </c>
      <c r="B232" s="28" t="inlineStr">
        <is>
          <t>-80</t>
        </is>
      </c>
      <c r="C232" s="27" t="inlineStr">
        <is>
          <t>mV</t>
        </is>
      </c>
      <c r="D232" s="39" t="inlineStr">
        <is>
          <t>合成資料，非實測；method=field; reference_electrode=Ag/AgCl; calibration=verified</t>
        </is>
      </c>
      <c r="E232" s="29">
        <f>IF(OR(I232="",I232=0),"",IF(INDEX(Samples[監測點],I232)="","",INDEX(Samples[監測點],I232)))</f>
        <v/>
      </c>
      <c r="F232" s="90">
        <f>IF(OR(I232="",I232=0),"",IF(INDEX(Samples[採樣日期],I232)="","",INDEX(Samples[採樣日期],I232)))</f>
        <v/>
      </c>
      <c r="G232" s="91">
        <f>IF(OR(M232="",M232="NA",M232="N/A"),"",IF(OR(M232="ND",M232="N.D."),0,IFERROR(IF(OR(OR(ISNUMBER(SEARCH("%",O232)),ISNUMBER(SEARCH(" ",O232)),ISNUMBER(SEARCH(",",O232))),OR(SUBSTITUTE(SUBSTITUTE(SUBSTITUTE(SUBSTITUTE(SUBSTITUTE(SUBSTITUTE(SUBSTITUTE(SUBSTITUTE(SUBSTITUTE(SUBSTITUTE(SUBSTITUTE(SUBSTITUTE(SUBSTITUTE(SUBSTITUTE(SUBSTITUTE(SUBSTITUTE(SUBSTITUTE(SUBSTITUTE("x"&amp;M232,"0",""),"1",""),"2",""),"3",""),"4",""),"5",""),"6",""),"7",""),"8",""),"9",""),".",""),"E",""),"+",""),"-",""),"&lt;",""),"&gt;",""),"=","")," ","")&lt;&gt;"x",ISNUMBER(SEARCH("-",SUBSTITUTE(SUBSTITUTE("x"&amp;MID(M232,2,99),"E-","E"),"E+","E"))),ISNUMBER(SEARCH("+",SUBSTITUTE(SUBSTITUTE("x"&amp;MID(M232,2,99),"E-","E"),"E+","E"))))),"",IF(AND(OR(LEFT(M232,1)="&lt;",LEFT(M232,1)="&gt;"),IF(O232="",0,IF(ISNUMBER(AH232),AH232,NA()))&lt;0),"",IF(O232="",0,IF(ISNUMBER(AH232),AH232,NA()))/IF(LEFT(M232,1)="&lt;",2,1))),"")))</f>
        <v/>
      </c>
      <c r="H232" s="57" t="inlineStr">
        <is>
          <t>BH05-W_20260415_02</t>
        </is>
      </c>
      <c r="I232" s="92">
        <f>IF(OR(H232="",AI232=0),0,IF(INDEX(Samples[樣品重複筆數],AI232)=1,AI232,0))</f>
        <v/>
      </c>
      <c r="J232" s="92">
        <f>IF(OR(COUNTA($A232:$D232)=0,I232=0),"",IF(INDEX(Samples[介質],I232)="","",INDEX(Samples[介質],I232)))</f>
        <v/>
      </c>
      <c r="K232" s="92">
        <f>IF(OR(COUNTA($A232:$D232)=0,T232=0),"",IF(INDEX(DB_04[標準單位],T232)="","",INDEX(DB_04[標準單位],T232)))</f>
        <v/>
      </c>
      <c r="L232" s="92">
        <f>IF(COUNTA($A232:$D232)=0,"",IF(OR(C232="",K232=""),"",IF(C232=K232,1,IF(COUNTIFS(DB_06[換算鍵],C232&amp;"|"&amp;K232,DB_06[換算檢查],"OK")=1,INDEX(DB_06[乘數],MATCH(C232&amp;"|"&amp;K232,DB_06[換算鍵],0)),""))))</f>
        <v/>
      </c>
      <c r="M232" s="92">
        <f>UPPER(SUBSTITUTE(SUBSTITUTE(SUBSTITUTE(SUBSTITUTE(TRIM(B232&amp;""),"＜","&lt;"),"＞","&gt;"),"≤","&lt;="),"≥","&gt;="))</f>
        <v/>
      </c>
      <c r="N232" s="92">
        <f>IF(M232="","",IF(OR(M232="ND",M232="N.D."),"ND",IF(OR(M232="NA",M232="N/A",M232="N.A."),"NA",IF(OR(LEFT(M232,2)="&lt;=",LEFT(M232,2)="&gt;="),LEFT(M232,2),IF(OR(LEFT(M232,1)="&lt;",LEFT(M232,1)="&gt;"),LEFT(M232,1),"數值")))))</f>
        <v/>
      </c>
      <c r="O232" s="92">
        <f>IF(OR(N232="",N232="ND",N232="NA"),"",IF(N232="數值",M232,TRIM(MID(M232,LEN(N232)+1,99))))</f>
        <v/>
      </c>
      <c r="P232" s="92">
        <f>IF(O232="","",IFERROR(IF(OR(OR(ISNUMBER(SEARCH("%",O232)),ISNUMBER(SEARCH(" ",O232)),ISNUMBER(SEARCH(",",O232))),OR(SUBSTITUTE(SUBSTITUTE(SUBSTITUTE(SUBSTITUTE(SUBSTITUTE(SUBSTITUTE(SUBSTITUTE(SUBSTITUTE(SUBSTITUTE(SUBSTITUTE(SUBSTITUTE(SUBSTITUTE(SUBSTITUTE(SUBSTITUTE(SUBSTITUTE(SUBSTITUTE(SUBSTITUTE(SUBSTITUTE("x"&amp;O232,"0",""),"1",""),"2",""),"3",""),"4",""),"5",""),"6",""),"7",""),"8",""),"9",""),".",""),"E",""),"+",""),"-",""),"&lt;",""),"&gt;",""),"=","")," ","")&lt;&gt;"x",ISNUMBER(SEARCH("-",SUBSTITUTE(SUBSTITUTE("x"&amp;MID(O232,2,99),"E-","E"),"E+","E"))),ISNUMBER(SEARCH("+",SUBSTITUTE(SUBSTITUTE("x"&amp;MID(O232,2,99),"E-","E"),"E+","E"))))),"",IF(ISNUMBER(AH232),AH232,NA())),""))</f>
        <v/>
      </c>
      <c r="Q232" s="92">
        <f>IF(AND(ISNUMBER(L232),ISNUMBER(P232)),L232*P232,"")</f>
        <v/>
      </c>
      <c r="R232" s="92">
        <f>IF(OR(COUNTA($A232:$D232)=0,U232=0),"",IF(INDEX(DB_05[管制設定值],U232)="","",INDEX(DB_05[管制設定值],U232)))</f>
        <v/>
      </c>
      <c r="S232" s="92">
        <f>IF(OR(COUNTA($A232:$D232)=0,U232=0),"",IF(INDEX(DB_05[監測設定值],U232)="","",INDEX(DB_05[監測設定值],U232)))</f>
        <v/>
      </c>
      <c r="T232" s="92">
        <f>IF(COUNTA($A232:$D232)=0,"",IF(COUNTIFS(DB_04[測項鍵],V232)=1,MATCH(V232,DB_04[測項鍵],0),0))</f>
        <v/>
      </c>
      <c r="U232" s="92">
        <f>IF(COUNTA($A232:$D232)=0,"",IF(COUNTIFS(DB_05[標準鍵],W232)=1,MATCH(W232,DB_05[標準鍵],0),0))</f>
        <v/>
      </c>
      <c r="V232" s="92">
        <f>IF(OR(J232="",A232=""),"",J232&amp;"|"&amp;A232)</f>
        <v/>
      </c>
      <c r="W232" s="92">
        <f>IF(OR('07_QAQC'!$C$3="",V232=""),"",'07_QAQC'!$C$3&amp;"|"&amp;V232)</f>
        <v/>
      </c>
      <c r="X232" s="92">
        <f>IF(OR(H232="",A232=""),"",LEN(H232)&amp;":"&amp;H232&amp;LEN(A232)&amp;":"&amp;A232)</f>
        <v/>
      </c>
      <c r="Y232" s="93">
        <f>IF(COUNTA($A232:$D232)=0,"",IF(I232=0,"樣品未建或重複",IF(INDEX(Samples[樣品檢查],I232)="","OK",INDEX(Samples[樣品檢查],I232))))</f>
        <v/>
      </c>
      <c r="Z232" s="93">
        <f>IF(COUNTA($A232:$D232)=0,"",IF(B232="","缺原始值",IF(OR(B232="-",B232="--"),"無資料",IF(N232="NA","不適用",IF(N232="ND","OK",IF(NOT(ISNUMBER(P232)),"格式待核",IF(AND(N232&lt;&gt;"數值",P232&lt;0),"界限不得為負","OK")))))))</f>
        <v/>
      </c>
      <c r="AA232" s="93">
        <f>IF(COUNTA(A232:D232)=0,"",IF(OR(A232="",H232=""),"缺識別欄位",IF(IF(LEN("="&amp;SUBSTITUTE(SUBSTITUTE(SUBSTITUTE(X232,"~","~~"),"*","~*"),"?","~?"))&lt;=255,COUNTIF(Results[結果識別鍵],"="&amp;SUBSTITUTE(SUBSTITUTE(SUBSTITUTE(X232,"~","~~"),"*","~*"),"?","~?")),COUNTIFS(Results[關聯鍵],"="&amp;SUBSTITUTE(SUBSTITUTE(SUBSTITUTE(H232,"~","~~"),"*","~*"),"?","~?"),Results[分析項目],"="&amp;SUBSTITUTE(SUBSTITUTE(SUBSTITUTE(A232,"~","~~"),"*","~*"),"?","~?")))&gt;1,"同關聯鍵測項重複","OK")))</f>
        <v/>
      </c>
      <c r="AB232" s="93">
        <f>IF(COUNTA($A232:$D232)=0,"",IF(OR(C232="",K232=""),"缺單位",IF(NOT(ISNUMBER(L232)),"單位不相容",IF(L232=1,"OK","已換算"))))</f>
        <v/>
      </c>
      <c r="AC232" s="93">
        <f>IF(COUNTA($A232:$D232)=0,"",IF('07_QAQC'!$C$3="","未選比較版本",IF(U232=0,IF(COUNTIFS(DB_05[標準鍵],W232)&gt;1,"標準鍵重複","未訂此介質／測項門檻"),IF(INDEX(DB_05[版本檢查],U232)&lt;&gt;"OK","標準主檔待核",IF(INDEX(DB_05[標準單位],U232)&lt;&gt;K232,"標準單位不符",IF(INDEX(DB_05[核對狀態],U232)="停用","停用",IF(F232="","缺採樣日期",IF(OR(AND(INDEX(DB_05[生效日],U232)&lt;&gt;"",F232&lt;INDEX(DB_05[生效日],U232)),AND(INDEX(DB_05[失效日],U232)&lt;&gt;"",F232&gt;INDEX(DB_05[失效日],U232))),"日期不適用",INDEX(DB_05[核對狀態],U232)))))))))</f>
        <v/>
      </c>
      <c r="AD232" s="93">
        <f>IF(COUNTA($A232:$D232)=0,"",IF(AC232="未訂此介質／測項門檻",AC232,IF(AC232&lt;&gt;"已核對","標準待核",IF(R232="","未訂管制值",IF(NOT(ISNUMBER(L232)),"單位待核",IF(N232="ND","無法判定（ND無界限）",IF(N232="NA","不適用",IF(Z232&lt;&gt;"OK",Z232,IF(N232="數值",IF(Q232&gt;=R232,"達管制值","未達管制值"),IF(OR(N232="&lt;",N232="&lt;="),IF(OR(Q232&lt;R232,AND(N232="&lt;",Q232=R232)),"未達管制值","無法判定"),IF(OR(N232="&gt;",N232="&gt;="),IF(Q232&gt;=R232,"達管制值","無法判定"),"格式待核")))))))))))</f>
        <v/>
      </c>
      <c r="AE232" s="93">
        <f>IF(COUNTA($A232:$D232)=0,"",IF(AC232="未訂此介質／測項門檻",AC232,IF(AC232&lt;&gt;"已核對","標準待核",IF(S232="","未訂監測值",IF(NOT(ISNUMBER(L232)),"單位待核",IF(N232="ND","無法判定（ND無界限）",IF(N232="NA","不適用",IF(Z232&lt;&gt;"OK",Z232,IF(N232="數值",IF(Q232&gt;=S232,"達監測值","未達監測值"),IF(OR(N232="&lt;",N232="&lt;="),IF(OR(Q232&lt;S232,AND(N232="&lt;",Q232=S232)),"未達監測值","無法判定"),IF(OR(N232="&gt;",N232="&gt;="),IF(Q232&gt;=S232,"達監測值","無法判定"),"格式待核")))))))))))</f>
        <v/>
      </c>
      <c r="AF232" s="93">
        <f>IF(COUNTA($A232:$D232)=0,"",IF(OR(E232="",A232="",B232="",C232=""),"缺必要欄位",IF(Y232&lt;&gt;"OK","樣品資料待補",IF(T232=0,"測項未建或重複",IF(INDEX(DB_04[啟用],T232)&lt;&gt;"是","測項停用",IF(AND(Z232&lt;&gt;"OK",Z232&lt;&gt;"不適用"),Z232,IF(AND(AB232&lt;&gt;"OK",AB232&lt;&gt;"已換算"),"單位待核",IF(AA232&lt;&gt;"OK",AA232,"OK"))))))))</f>
        <v/>
      </c>
      <c r="AG232" s="93">
        <f>IF(COUNTA($A232:$D232)=0,"",IF(N232="ND","ND取0",IF(OR(N232="&lt;",N232="&lt;="),"界限除以2",IF(N232="NA","不適用",IF(OR(N232="&gt;",N232="&gt;="),"保留界限數值","保留原數值")))))</f>
        <v/>
      </c>
      <c r="AH232" s="92">
        <f>IF(O232="","",IFERROR(_xlfn.NUMBERVALUE(O232,".",","),""))</f>
        <v/>
      </c>
      <c r="AI232" s="92">
        <f>IF(H232="","",IFERROR(MATCH(H232,Samples[樣品編號],0),0))</f>
        <v/>
      </c>
    </row>
    <row r="233">
      <c r="A233" s="27" t="inlineStr">
        <is>
          <t>總有機碳</t>
        </is>
      </c>
      <c r="B233" s="28" t="inlineStr">
        <is>
          <t>3.4</t>
        </is>
      </c>
      <c r="C233" s="27" t="inlineStr">
        <is>
          <t>mg/L</t>
        </is>
      </c>
      <c r="D233" s="39" t="inlineStr">
        <is>
          <t>合成資料，非實測；method=lab</t>
        </is>
      </c>
      <c r="E233" s="29">
        <f>IF(OR(I233="",I233=0),"",IF(INDEX(Samples[監測點],I233)="","",INDEX(Samples[監測點],I233)))</f>
        <v/>
      </c>
      <c r="F233" s="90">
        <f>IF(OR(I233="",I233=0),"",IF(INDEX(Samples[採樣日期],I233)="","",INDEX(Samples[採樣日期],I233)))</f>
        <v/>
      </c>
      <c r="G233" s="91">
        <f>IF(OR(M233="",M233="NA",M233="N/A"),"",IF(OR(M233="ND",M233="N.D."),0,IFERROR(IF(OR(OR(ISNUMBER(SEARCH("%",O233)),ISNUMBER(SEARCH(" ",O233)),ISNUMBER(SEARCH(",",O233))),OR(SUBSTITUTE(SUBSTITUTE(SUBSTITUTE(SUBSTITUTE(SUBSTITUTE(SUBSTITUTE(SUBSTITUTE(SUBSTITUTE(SUBSTITUTE(SUBSTITUTE(SUBSTITUTE(SUBSTITUTE(SUBSTITUTE(SUBSTITUTE(SUBSTITUTE(SUBSTITUTE(SUBSTITUTE(SUBSTITUTE("x"&amp;M233,"0",""),"1",""),"2",""),"3",""),"4",""),"5",""),"6",""),"7",""),"8",""),"9",""),".",""),"E",""),"+",""),"-",""),"&lt;",""),"&gt;",""),"=","")," ","")&lt;&gt;"x",ISNUMBER(SEARCH("-",SUBSTITUTE(SUBSTITUTE("x"&amp;MID(M233,2,99),"E-","E"),"E+","E"))),ISNUMBER(SEARCH("+",SUBSTITUTE(SUBSTITUTE("x"&amp;MID(M233,2,99),"E-","E"),"E+","E"))))),"",IF(AND(OR(LEFT(M233,1)="&lt;",LEFT(M233,1)="&gt;"),IF(O233="",0,IF(ISNUMBER(AH233),AH233,NA()))&lt;0),"",IF(O233="",0,IF(ISNUMBER(AH233),AH233,NA()))/IF(LEFT(M233,1)="&lt;",2,1))),"")))</f>
        <v/>
      </c>
      <c r="H233" s="57" t="inlineStr">
        <is>
          <t>BH05-W_20260415_02</t>
        </is>
      </c>
      <c r="I233" s="92">
        <f>IF(OR(H233="",AI233=0),0,IF(INDEX(Samples[樣品重複筆數],AI233)=1,AI233,0))</f>
        <v/>
      </c>
      <c r="J233" s="92">
        <f>IF(OR(COUNTA($A233:$D233)=0,I233=0),"",IF(INDEX(Samples[介質],I233)="","",INDEX(Samples[介質],I233)))</f>
        <v/>
      </c>
      <c r="K233" s="92">
        <f>IF(OR(COUNTA($A233:$D233)=0,T233=0),"",IF(INDEX(DB_04[標準單位],T233)="","",INDEX(DB_04[標準單位],T233)))</f>
        <v/>
      </c>
      <c r="L233" s="92">
        <f>IF(COUNTA($A233:$D233)=0,"",IF(OR(C233="",K233=""),"",IF(C233=K233,1,IF(COUNTIFS(DB_06[換算鍵],C233&amp;"|"&amp;K233,DB_06[換算檢查],"OK")=1,INDEX(DB_06[乘數],MATCH(C233&amp;"|"&amp;K233,DB_06[換算鍵],0)),""))))</f>
        <v/>
      </c>
      <c r="M233" s="92">
        <f>UPPER(SUBSTITUTE(SUBSTITUTE(SUBSTITUTE(SUBSTITUTE(TRIM(B233&amp;""),"＜","&lt;"),"＞","&gt;"),"≤","&lt;="),"≥","&gt;="))</f>
        <v/>
      </c>
      <c r="N233" s="92">
        <f>IF(M233="","",IF(OR(M233="ND",M233="N.D."),"ND",IF(OR(M233="NA",M233="N/A",M233="N.A."),"NA",IF(OR(LEFT(M233,2)="&lt;=",LEFT(M233,2)="&gt;="),LEFT(M233,2),IF(OR(LEFT(M233,1)="&lt;",LEFT(M233,1)="&gt;"),LEFT(M233,1),"數值")))))</f>
        <v/>
      </c>
      <c r="O233" s="92">
        <f>IF(OR(N233="",N233="ND",N233="NA"),"",IF(N233="數值",M233,TRIM(MID(M233,LEN(N233)+1,99))))</f>
        <v/>
      </c>
      <c r="P233" s="92">
        <f>IF(O233="","",IFERROR(IF(OR(OR(ISNUMBER(SEARCH("%",O233)),ISNUMBER(SEARCH(" ",O233)),ISNUMBER(SEARCH(",",O233))),OR(SUBSTITUTE(SUBSTITUTE(SUBSTITUTE(SUBSTITUTE(SUBSTITUTE(SUBSTITUTE(SUBSTITUTE(SUBSTITUTE(SUBSTITUTE(SUBSTITUTE(SUBSTITUTE(SUBSTITUTE(SUBSTITUTE(SUBSTITUTE(SUBSTITUTE(SUBSTITUTE(SUBSTITUTE(SUBSTITUTE("x"&amp;O233,"0",""),"1",""),"2",""),"3",""),"4",""),"5",""),"6",""),"7",""),"8",""),"9",""),".",""),"E",""),"+",""),"-",""),"&lt;",""),"&gt;",""),"=","")," ","")&lt;&gt;"x",ISNUMBER(SEARCH("-",SUBSTITUTE(SUBSTITUTE("x"&amp;MID(O233,2,99),"E-","E"),"E+","E"))),ISNUMBER(SEARCH("+",SUBSTITUTE(SUBSTITUTE("x"&amp;MID(O233,2,99),"E-","E"),"E+","E"))))),"",IF(ISNUMBER(AH233),AH233,NA())),""))</f>
        <v/>
      </c>
      <c r="Q233" s="92">
        <f>IF(AND(ISNUMBER(L233),ISNUMBER(P233)),L233*P233,"")</f>
        <v/>
      </c>
      <c r="R233" s="92">
        <f>IF(OR(COUNTA($A233:$D233)=0,U233=0),"",IF(INDEX(DB_05[管制設定值],U233)="","",INDEX(DB_05[管制設定值],U233)))</f>
        <v/>
      </c>
      <c r="S233" s="92">
        <f>IF(OR(COUNTA($A233:$D233)=0,U233=0),"",IF(INDEX(DB_05[監測設定值],U233)="","",INDEX(DB_05[監測設定值],U233)))</f>
        <v/>
      </c>
      <c r="T233" s="92">
        <f>IF(COUNTA($A233:$D233)=0,"",IF(COUNTIFS(DB_04[測項鍵],V233)=1,MATCH(V233,DB_04[測項鍵],0),0))</f>
        <v/>
      </c>
      <c r="U233" s="92">
        <f>IF(COUNTA($A233:$D233)=0,"",IF(COUNTIFS(DB_05[標準鍵],W233)=1,MATCH(W233,DB_05[標準鍵],0),0))</f>
        <v/>
      </c>
      <c r="V233" s="92">
        <f>IF(OR(J233="",A233=""),"",J233&amp;"|"&amp;A233)</f>
        <v/>
      </c>
      <c r="W233" s="92">
        <f>IF(OR('07_QAQC'!$C$3="",V233=""),"",'07_QAQC'!$C$3&amp;"|"&amp;V233)</f>
        <v/>
      </c>
      <c r="X233" s="92">
        <f>IF(OR(H233="",A233=""),"",LEN(H233)&amp;":"&amp;H233&amp;LEN(A233)&amp;":"&amp;A233)</f>
        <v/>
      </c>
      <c r="Y233" s="93">
        <f>IF(COUNTA($A233:$D233)=0,"",IF(I233=0,"樣品未建或重複",IF(INDEX(Samples[樣品檢查],I233)="","OK",INDEX(Samples[樣品檢查],I233))))</f>
        <v/>
      </c>
      <c r="Z233" s="93">
        <f>IF(COUNTA($A233:$D233)=0,"",IF(B233="","缺原始值",IF(OR(B233="-",B233="--"),"無資料",IF(N233="NA","不適用",IF(N233="ND","OK",IF(NOT(ISNUMBER(P233)),"格式待核",IF(AND(N233&lt;&gt;"數值",P233&lt;0),"界限不得為負","OK")))))))</f>
        <v/>
      </c>
      <c r="AA233" s="93">
        <f>IF(COUNTA(A233:D233)=0,"",IF(OR(A233="",H233=""),"缺識別欄位",IF(IF(LEN("="&amp;SUBSTITUTE(SUBSTITUTE(SUBSTITUTE(X233,"~","~~"),"*","~*"),"?","~?"))&lt;=255,COUNTIF(Results[結果識別鍵],"="&amp;SUBSTITUTE(SUBSTITUTE(SUBSTITUTE(X233,"~","~~"),"*","~*"),"?","~?")),COUNTIFS(Results[關聯鍵],"="&amp;SUBSTITUTE(SUBSTITUTE(SUBSTITUTE(H233,"~","~~"),"*","~*"),"?","~?"),Results[分析項目],"="&amp;SUBSTITUTE(SUBSTITUTE(SUBSTITUTE(A233,"~","~~"),"*","~*"),"?","~?")))&gt;1,"同關聯鍵測項重複","OK")))</f>
        <v/>
      </c>
      <c r="AB233" s="93">
        <f>IF(COUNTA($A233:$D233)=0,"",IF(OR(C233="",K233=""),"缺單位",IF(NOT(ISNUMBER(L233)),"單位不相容",IF(L233=1,"OK","已換算"))))</f>
        <v/>
      </c>
      <c r="AC233" s="93">
        <f>IF(COUNTA($A233:$D233)=0,"",IF('07_QAQC'!$C$3="","未選比較版本",IF(U233=0,IF(COUNTIFS(DB_05[標準鍵],W233)&gt;1,"標準鍵重複","未訂此介質／測項門檻"),IF(INDEX(DB_05[版本檢查],U233)&lt;&gt;"OK","標準主檔待核",IF(INDEX(DB_05[標準單位],U233)&lt;&gt;K233,"標準單位不符",IF(INDEX(DB_05[核對狀態],U233)="停用","停用",IF(F233="","缺採樣日期",IF(OR(AND(INDEX(DB_05[生效日],U233)&lt;&gt;"",F233&lt;INDEX(DB_05[生效日],U233)),AND(INDEX(DB_05[失效日],U233)&lt;&gt;"",F233&gt;INDEX(DB_05[失效日],U233))),"日期不適用",INDEX(DB_05[核對狀態],U233)))))))))</f>
        <v/>
      </c>
      <c r="AD233" s="93">
        <f>IF(COUNTA($A233:$D233)=0,"",IF(AC233="未訂此介質／測項門檻",AC233,IF(AC233&lt;&gt;"已核對","標準待核",IF(R233="","未訂管制值",IF(NOT(ISNUMBER(L233)),"單位待核",IF(N233="ND","無法判定（ND無界限）",IF(N233="NA","不適用",IF(Z233&lt;&gt;"OK",Z233,IF(N233="數值",IF(Q233&gt;=R233,"達管制值","未達管制值"),IF(OR(N233="&lt;",N233="&lt;="),IF(OR(Q233&lt;R233,AND(N233="&lt;",Q233=R233)),"未達管制值","無法判定"),IF(OR(N233="&gt;",N233="&gt;="),IF(Q233&gt;=R233,"達管制值","無法判定"),"格式待核")))))))))))</f>
        <v/>
      </c>
      <c r="AE233" s="93">
        <f>IF(COUNTA($A233:$D233)=0,"",IF(AC233="未訂此介質／測項門檻",AC233,IF(AC233&lt;&gt;"已核對","標準待核",IF(S233="","未訂監測值",IF(NOT(ISNUMBER(L233)),"單位待核",IF(N233="ND","無法判定（ND無界限）",IF(N233="NA","不適用",IF(Z233&lt;&gt;"OK",Z233,IF(N233="數值",IF(Q233&gt;=S233,"達監測值","未達監測值"),IF(OR(N233="&lt;",N233="&lt;="),IF(OR(Q233&lt;S233,AND(N233="&lt;",Q233=S233)),"未達監測值","無法判定"),IF(OR(N233="&gt;",N233="&gt;="),IF(Q233&gt;=S233,"達監測值","無法判定"),"格式待核")))))))))))</f>
        <v/>
      </c>
      <c r="AF233" s="93">
        <f>IF(COUNTA($A233:$D233)=0,"",IF(OR(E233="",A233="",B233="",C233=""),"缺必要欄位",IF(Y233&lt;&gt;"OK","樣品資料待補",IF(T233=0,"測項未建或重複",IF(INDEX(DB_04[啟用],T233)&lt;&gt;"是","測項停用",IF(AND(Z233&lt;&gt;"OK",Z233&lt;&gt;"不適用"),Z233,IF(AND(AB233&lt;&gt;"OK",AB233&lt;&gt;"已換算"),"單位待核",IF(AA233&lt;&gt;"OK",AA233,"OK"))))))))</f>
        <v/>
      </c>
      <c r="AG233" s="93">
        <f>IF(COUNTA($A233:$D233)=0,"",IF(N233="ND","ND取0",IF(OR(N233="&lt;",N233="&lt;="),"界限除以2",IF(N233="NA","不適用",IF(OR(N233="&gt;",N233="&gt;="),"保留界限數值","保留原數值")))))</f>
        <v/>
      </c>
      <c r="AH233" s="92">
        <f>IF(O233="","",IFERROR(_xlfn.NUMBERVALUE(O233,".",","),""))</f>
        <v/>
      </c>
      <c r="AI233" s="92">
        <f>IF(H233="","",IFERROR(MATCH(H233,Samples[樣品編號],0),0))</f>
        <v/>
      </c>
    </row>
    <row r="234">
      <c r="A234" s="27" t="inlineStr">
        <is>
          <t>鋅</t>
        </is>
      </c>
      <c r="B234" s="28" t="inlineStr">
        <is>
          <t>184</t>
        </is>
      </c>
      <c r="C234" s="27" t="inlineStr">
        <is>
          <t>mg/kg</t>
        </is>
      </c>
      <c r="D234" s="39" t="inlineStr">
        <is>
          <t>合成資料，非實測；method=XRF; basis=dry</t>
        </is>
      </c>
      <c r="E234" s="29">
        <f>IF(OR(I234="",I234=0),"",IF(INDEX(Samples[監測點],I234)="","",INDEX(Samples[監測點],I234)))</f>
        <v/>
      </c>
      <c r="F234" s="90">
        <f>IF(OR(I234="",I234=0),"",IF(INDEX(Samples[採樣日期],I234)="","",INDEX(Samples[採樣日期],I234)))</f>
        <v/>
      </c>
      <c r="G234" s="91">
        <f>IF(OR(M234="",M234="NA",M234="N/A"),"",IF(OR(M234="ND",M234="N.D."),0,IFERROR(IF(OR(OR(ISNUMBER(SEARCH("%",O234)),ISNUMBER(SEARCH(" ",O234)),ISNUMBER(SEARCH(",",O234))),OR(SUBSTITUTE(SUBSTITUTE(SUBSTITUTE(SUBSTITUTE(SUBSTITUTE(SUBSTITUTE(SUBSTITUTE(SUBSTITUTE(SUBSTITUTE(SUBSTITUTE(SUBSTITUTE(SUBSTITUTE(SUBSTITUTE(SUBSTITUTE(SUBSTITUTE(SUBSTITUTE(SUBSTITUTE(SUBSTITUTE("x"&amp;M234,"0",""),"1",""),"2",""),"3",""),"4",""),"5",""),"6",""),"7",""),"8",""),"9",""),".",""),"E",""),"+",""),"-",""),"&lt;",""),"&gt;",""),"=","")," ","")&lt;&gt;"x",ISNUMBER(SEARCH("-",SUBSTITUTE(SUBSTITUTE("x"&amp;MID(M234,2,99),"E-","E"),"E+","E"))),ISNUMBER(SEARCH("+",SUBSTITUTE(SUBSTITUTE("x"&amp;MID(M234,2,99),"E-","E"),"E+","E"))))),"",IF(AND(OR(LEFT(M234,1)="&lt;",LEFT(M234,1)="&gt;"),IF(O234="",0,IF(ISNUMBER(AH234),AH234,NA()))&lt;0),"",IF(O234="",0,IF(ISNUMBER(AH234),AH234,NA()))/IF(LEFT(M234,1)="&lt;",2,1))),"")))</f>
        <v/>
      </c>
      <c r="H234" s="57" t="inlineStr">
        <is>
          <t>BH05-S_20260415_03</t>
        </is>
      </c>
      <c r="I234" s="92">
        <f>IF(OR(H234="",AI234=0),0,IF(INDEX(Samples[樣品重複筆數],AI234)=1,AI234,0))</f>
        <v/>
      </c>
      <c r="J234" s="92">
        <f>IF(OR(COUNTA($A234:$D234)=0,I234=0),"",IF(INDEX(Samples[介質],I234)="","",INDEX(Samples[介質],I234)))</f>
        <v/>
      </c>
      <c r="K234" s="92">
        <f>IF(OR(COUNTA($A234:$D234)=0,T234=0),"",IF(INDEX(DB_04[標準單位],T234)="","",INDEX(DB_04[標準單位],T234)))</f>
        <v/>
      </c>
      <c r="L234" s="92">
        <f>IF(COUNTA($A234:$D234)=0,"",IF(OR(C234="",K234=""),"",IF(C234=K234,1,IF(COUNTIFS(DB_06[換算鍵],C234&amp;"|"&amp;K234,DB_06[換算檢查],"OK")=1,INDEX(DB_06[乘數],MATCH(C234&amp;"|"&amp;K234,DB_06[換算鍵],0)),""))))</f>
        <v/>
      </c>
      <c r="M234" s="92">
        <f>UPPER(SUBSTITUTE(SUBSTITUTE(SUBSTITUTE(SUBSTITUTE(TRIM(B234&amp;""),"＜","&lt;"),"＞","&gt;"),"≤","&lt;="),"≥","&gt;="))</f>
        <v/>
      </c>
      <c r="N234" s="92">
        <f>IF(M234="","",IF(OR(M234="ND",M234="N.D."),"ND",IF(OR(M234="NA",M234="N/A",M234="N.A."),"NA",IF(OR(LEFT(M234,2)="&lt;=",LEFT(M234,2)="&gt;="),LEFT(M234,2),IF(OR(LEFT(M234,1)="&lt;",LEFT(M234,1)="&gt;"),LEFT(M234,1),"數值")))))</f>
        <v/>
      </c>
      <c r="O234" s="92">
        <f>IF(OR(N234="",N234="ND",N234="NA"),"",IF(N234="數值",M234,TRIM(MID(M234,LEN(N234)+1,99))))</f>
        <v/>
      </c>
      <c r="P234" s="92">
        <f>IF(O234="","",IFERROR(IF(OR(OR(ISNUMBER(SEARCH("%",O234)),ISNUMBER(SEARCH(" ",O234)),ISNUMBER(SEARCH(",",O234))),OR(SUBSTITUTE(SUBSTITUTE(SUBSTITUTE(SUBSTITUTE(SUBSTITUTE(SUBSTITUTE(SUBSTITUTE(SUBSTITUTE(SUBSTITUTE(SUBSTITUTE(SUBSTITUTE(SUBSTITUTE(SUBSTITUTE(SUBSTITUTE(SUBSTITUTE(SUBSTITUTE(SUBSTITUTE(SUBSTITUTE("x"&amp;O234,"0",""),"1",""),"2",""),"3",""),"4",""),"5",""),"6",""),"7",""),"8",""),"9",""),".",""),"E",""),"+",""),"-",""),"&lt;",""),"&gt;",""),"=","")," ","")&lt;&gt;"x",ISNUMBER(SEARCH("-",SUBSTITUTE(SUBSTITUTE("x"&amp;MID(O234,2,99),"E-","E"),"E+","E"))),ISNUMBER(SEARCH("+",SUBSTITUTE(SUBSTITUTE("x"&amp;MID(O234,2,99),"E-","E"),"E+","E"))))),"",IF(ISNUMBER(AH234),AH234,NA())),""))</f>
        <v/>
      </c>
      <c r="Q234" s="92">
        <f>IF(AND(ISNUMBER(L234),ISNUMBER(P234)),L234*P234,"")</f>
        <v/>
      </c>
      <c r="R234" s="92">
        <f>IF(OR(COUNTA($A234:$D234)=0,U234=0),"",IF(INDEX(DB_05[管制設定值],U234)="","",INDEX(DB_05[管制設定值],U234)))</f>
        <v/>
      </c>
      <c r="S234" s="92">
        <f>IF(OR(COUNTA($A234:$D234)=0,U234=0),"",IF(INDEX(DB_05[監測設定值],U234)="","",INDEX(DB_05[監測設定值],U234)))</f>
        <v/>
      </c>
      <c r="T234" s="92">
        <f>IF(COUNTA($A234:$D234)=0,"",IF(COUNTIFS(DB_04[測項鍵],V234)=1,MATCH(V234,DB_04[測項鍵],0),0))</f>
        <v/>
      </c>
      <c r="U234" s="92">
        <f>IF(COUNTA($A234:$D234)=0,"",IF(COUNTIFS(DB_05[標準鍵],W234)=1,MATCH(W234,DB_05[標準鍵],0),0))</f>
        <v/>
      </c>
      <c r="V234" s="92">
        <f>IF(OR(J234="",A234=""),"",J234&amp;"|"&amp;A234)</f>
        <v/>
      </c>
      <c r="W234" s="92">
        <f>IF(OR('07_QAQC'!$C$3="",V234=""),"",'07_QAQC'!$C$3&amp;"|"&amp;V234)</f>
        <v/>
      </c>
      <c r="X234" s="92">
        <f>IF(OR(H234="",A234=""),"",LEN(H234)&amp;":"&amp;H234&amp;LEN(A234)&amp;":"&amp;A234)</f>
        <v/>
      </c>
      <c r="Y234" s="93">
        <f>IF(COUNTA($A234:$D234)=0,"",IF(I234=0,"樣品未建或重複",IF(INDEX(Samples[樣品檢查],I234)="","OK",INDEX(Samples[樣品檢查],I234))))</f>
        <v/>
      </c>
      <c r="Z234" s="93">
        <f>IF(COUNTA($A234:$D234)=0,"",IF(B234="","缺原始值",IF(OR(B234="-",B234="--"),"無資料",IF(N234="NA","不適用",IF(N234="ND","OK",IF(NOT(ISNUMBER(P234)),"格式待核",IF(AND(N234&lt;&gt;"數值",P234&lt;0),"界限不得為負","OK")))))))</f>
        <v/>
      </c>
      <c r="AA234" s="93">
        <f>IF(COUNTA(A234:D234)=0,"",IF(OR(A234="",H234=""),"缺識別欄位",IF(IF(LEN("="&amp;SUBSTITUTE(SUBSTITUTE(SUBSTITUTE(X234,"~","~~"),"*","~*"),"?","~?"))&lt;=255,COUNTIF(Results[結果識別鍵],"="&amp;SUBSTITUTE(SUBSTITUTE(SUBSTITUTE(X234,"~","~~"),"*","~*"),"?","~?")),COUNTIFS(Results[關聯鍵],"="&amp;SUBSTITUTE(SUBSTITUTE(SUBSTITUTE(H234,"~","~~"),"*","~*"),"?","~?"),Results[分析項目],"="&amp;SUBSTITUTE(SUBSTITUTE(SUBSTITUTE(A234,"~","~~"),"*","~*"),"?","~?")))&gt;1,"同關聯鍵測項重複","OK")))</f>
        <v/>
      </c>
      <c r="AB234" s="93">
        <f>IF(COUNTA($A234:$D234)=0,"",IF(OR(C234="",K234=""),"缺單位",IF(NOT(ISNUMBER(L234)),"單位不相容",IF(L234=1,"OK","已換算"))))</f>
        <v/>
      </c>
      <c r="AC234" s="93">
        <f>IF(COUNTA($A234:$D234)=0,"",IF('07_QAQC'!$C$3="","未選比較版本",IF(U234=0,IF(COUNTIFS(DB_05[標準鍵],W234)&gt;1,"標準鍵重複","未訂此介質／測項門檻"),IF(INDEX(DB_05[版本檢查],U234)&lt;&gt;"OK","標準主檔待核",IF(INDEX(DB_05[標準單位],U234)&lt;&gt;K234,"標準單位不符",IF(INDEX(DB_05[核對狀態],U234)="停用","停用",IF(F234="","缺採樣日期",IF(OR(AND(INDEX(DB_05[生效日],U234)&lt;&gt;"",F234&lt;INDEX(DB_05[生效日],U234)),AND(INDEX(DB_05[失效日],U234)&lt;&gt;"",F234&gt;INDEX(DB_05[失效日],U234))),"日期不適用",INDEX(DB_05[核對狀態],U234)))))))))</f>
        <v/>
      </c>
      <c r="AD234" s="93">
        <f>IF(COUNTA($A234:$D234)=0,"",IF(AC234="未訂此介質／測項門檻",AC234,IF(AC234&lt;&gt;"已核對","標準待核",IF(R234="","未訂管制值",IF(NOT(ISNUMBER(L234)),"單位待核",IF(N234="ND","無法判定（ND無界限）",IF(N234="NA","不適用",IF(Z234&lt;&gt;"OK",Z234,IF(N234="數值",IF(Q234&gt;=R234,"達管制值","未達管制值"),IF(OR(N234="&lt;",N234="&lt;="),IF(OR(Q234&lt;R234,AND(N234="&lt;",Q234=R234)),"未達管制值","無法判定"),IF(OR(N234="&gt;",N234="&gt;="),IF(Q234&gt;=R234,"達管制值","無法判定"),"格式待核")))))))))))</f>
        <v/>
      </c>
      <c r="AE234" s="93">
        <f>IF(COUNTA($A234:$D234)=0,"",IF(AC234="未訂此介質／測項門檻",AC234,IF(AC234&lt;&gt;"已核對","標準待核",IF(S234="","未訂監測值",IF(NOT(ISNUMBER(L234)),"單位待核",IF(N234="ND","無法判定（ND無界限）",IF(N234="NA","不適用",IF(Z234&lt;&gt;"OK",Z234,IF(N234="數值",IF(Q234&gt;=S234,"達監測值","未達監測值"),IF(OR(N234="&lt;",N234="&lt;="),IF(OR(Q234&lt;S234,AND(N234="&lt;",Q234=S234)),"未達監測值","無法判定"),IF(OR(N234="&gt;",N234="&gt;="),IF(Q234&gt;=S234,"達監測值","無法判定"),"格式待核")))))))))))</f>
        <v/>
      </c>
      <c r="AF234" s="93">
        <f>IF(COUNTA($A234:$D234)=0,"",IF(OR(E234="",A234="",B234="",C234=""),"缺必要欄位",IF(Y234&lt;&gt;"OK","樣品資料待補",IF(T234=0,"測項未建或重複",IF(INDEX(DB_04[啟用],T234)&lt;&gt;"是","測項停用",IF(AND(Z234&lt;&gt;"OK",Z234&lt;&gt;"不適用"),Z234,IF(AND(AB234&lt;&gt;"OK",AB234&lt;&gt;"已換算"),"單位待核",IF(AA234&lt;&gt;"OK",AA234,"OK"))))))))</f>
        <v/>
      </c>
      <c r="AG234" s="93">
        <f>IF(COUNTA($A234:$D234)=0,"",IF(N234="ND","ND取0",IF(OR(N234="&lt;",N234="&lt;="),"界限除以2",IF(N234="NA","不適用",IF(OR(N234="&gt;",N234="&gt;="),"保留界限數值","保留原數值")))))</f>
        <v/>
      </c>
      <c r="AH234" s="92">
        <f>IF(O234="","",IFERROR(_xlfn.NUMBERVALUE(O234,".",","),""))</f>
        <v/>
      </c>
      <c r="AI234" s="92">
        <f>IF(H234="","",IFERROR(MATCH(H234,Samples[樣品編號],0),0))</f>
        <v/>
      </c>
    </row>
    <row r="235">
      <c r="A235" s="27" t="inlineStr">
        <is>
          <t>總有機碳</t>
        </is>
      </c>
      <c r="B235" s="28" t="inlineStr">
        <is>
          <t>0.56</t>
        </is>
      </c>
      <c r="C235" s="27" t="inlineStr">
        <is>
          <t>%</t>
        </is>
      </c>
      <c r="D235" s="39" t="inlineStr">
        <is>
          <t>合成資料，非實測；method=lab; basis=dry</t>
        </is>
      </c>
      <c r="E235" s="29">
        <f>IF(OR(I235="",I235=0),"",IF(INDEX(Samples[監測點],I235)="","",INDEX(Samples[監測點],I235)))</f>
        <v/>
      </c>
      <c r="F235" s="90">
        <f>IF(OR(I235="",I235=0),"",IF(INDEX(Samples[採樣日期],I235)="","",INDEX(Samples[採樣日期],I235)))</f>
        <v/>
      </c>
      <c r="G235" s="91">
        <f>IF(OR(M235="",M235="NA",M235="N/A"),"",IF(OR(M235="ND",M235="N.D."),0,IFERROR(IF(OR(OR(ISNUMBER(SEARCH("%",O235)),ISNUMBER(SEARCH(" ",O235)),ISNUMBER(SEARCH(",",O235))),OR(SUBSTITUTE(SUBSTITUTE(SUBSTITUTE(SUBSTITUTE(SUBSTITUTE(SUBSTITUTE(SUBSTITUTE(SUBSTITUTE(SUBSTITUTE(SUBSTITUTE(SUBSTITUTE(SUBSTITUTE(SUBSTITUTE(SUBSTITUTE(SUBSTITUTE(SUBSTITUTE(SUBSTITUTE(SUBSTITUTE("x"&amp;M235,"0",""),"1",""),"2",""),"3",""),"4",""),"5",""),"6",""),"7",""),"8",""),"9",""),".",""),"E",""),"+",""),"-",""),"&lt;",""),"&gt;",""),"=","")," ","")&lt;&gt;"x",ISNUMBER(SEARCH("-",SUBSTITUTE(SUBSTITUTE("x"&amp;MID(M235,2,99),"E-","E"),"E+","E"))),ISNUMBER(SEARCH("+",SUBSTITUTE(SUBSTITUTE("x"&amp;MID(M235,2,99),"E-","E"),"E+","E"))))),"",IF(AND(OR(LEFT(M235,1)="&lt;",LEFT(M235,1)="&gt;"),IF(O235="",0,IF(ISNUMBER(AH235),AH235,NA()))&lt;0),"",IF(O235="",0,IF(ISNUMBER(AH235),AH235,NA()))/IF(LEFT(M235,1)="&lt;",2,1))),"")))</f>
        <v/>
      </c>
      <c r="H235" s="57" t="inlineStr">
        <is>
          <t>BH05-S_20260415_03</t>
        </is>
      </c>
      <c r="I235" s="92">
        <f>IF(OR(H235="",AI235=0),0,IF(INDEX(Samples[樣品重複筆數],AI235)=1,AI235,0))</f>
        <v/>
      </c>
      <c r="J235" s="92">
        <f>IF(OR(COUNTA($A235:$D235)=0,I235=0),"",IF(INDEX(Samples[介質],I235)="","",INDEX(Samples[介質],I235)))</f>
        <v/>
      </c>
      <c r="K235" s="92">
        <f>IF(OR(COUNTA($A235:$D235)=0,T235=0),"",IF(INDEX(DB_04[標準單位],T235)="","",INDEX(DB_04[標準單位],T235)))</f>
        <v/>
      </c>
      <c r="L235" s="92">
        <f>IF(COUNTA($A235:$D235)=0,"",IF(OR(C235="",K235=""),"",IF(C235=K235,1,IF(COUNTIFS(DB_06[換算鍵],C235&amp;"|"&amp;K235,DB_06[換算檢查],"OK")=1,INDEX(DB_06[乘數],MATCH(C235&amp;"|"&amp;K235,DB_06[換算鍵],0)),""))))</f>
        <v/>
      </c>
      <c r="M235" s="92">
        <f>UPPER(SUBSTITUTE(SUBSTITUTE(SUBSTITUTE(SUBSTITUTE(TRIM(B235&amp;""),"＜","&lt;"),"＞","&gt;"),"≤","&lt;="),"≥","&gt;="))</f>
        <v/>
      </c>
      <c r="N235" s="92">
        <f>IF(M235="","",IF(OR(M235="ND",M235="N.D."),"ND",IF(OR(M235="NA",M235="N/A",M235="N.A."),"NA",IF(OR(LEFT(M235,2)="&lt;=",LEFT(M235,2)="&gt;="),LEFT(M235,2),IF(OR(LEFT(M235,1)="&lt;",LEFT(M235,1)="&gt;"),LEFT(M235,1),"數值")))))</f>
        <v/>
      </c>
      <c r="O235" s="92">
        <f>IF(OR(N235="",N235="ND",N235="NA"),"",IF(N235="數值",M235,TRIM(MID(M235,LEN(N235)+1,99))))</f>
        <v/>
      </c>
      <c r="P235" s="92">
        <f>IF(O235="","",IFERROR(IF(OR(OR(ISNUMBER(SEARCH("%",O235)),ISNUMBER(SEARCH(" ",O235)),ISNUMBER(SEARCH(",",O235))),OR(SUBSTITUTE(SUBSTITUTE(SUBSTITUTE(SUBSTITUTE(SUBSTITUTE(SUBSTITUTE(SUBSTITUTE(SUBSTITUTE(SUBSTITUTE(SUBSTITUTE(SUBSTITUTE(SUBSTITUTE(SUBSTITUTE(SUBSTITUTE(SUBSTITUTE(SUBSTITUTE(SUBSTITUTE(SUBSTITUTE("x"&amp;O235,"0",""),"1",""),"2",""),"3",""),"4",""),"5",""),"6",""),"7",""),"8",""),"9",""),".",""),"E",""),"+",""),"-",""),"&lt;",""),"&gt;",""),"=","")," ","")&lt;&gt;"x",ISNUMBER(SEARCH("-",SUBSTITUTE(SUBSTITUTE("x"&amp;MID(O235,2,99),"E-","E"),"E+","E"))),ISNUMBER(SEARCH("+",SUBSTITUTE(SUBSTITUTE("x"&amp;MID(O235,2,99),"E-","E"),"E+","E"))))),"",IF(ISNUMBER(AH235),AH235,NA())),""))</f>
        <v/>
      </c>
      <c r="Q235" s="92">
        <f>IF(AND(ISNUMBER(L235),ISNUMBER(P235)),L235*P235,"")</f>
        <v/>
      </c>
      <c r="R235" s="92">
        <f>IF(OR(COUNTA($A235:$D235)=0,U235=0),"",IF(INDEX(DB_05[管制設定值],U235)="","",INDEX(DB_05[管制設定值],U235)))</f>
        <v/>
      </c>
      <c r="S235" s="92">
        <f>IF(OR(COUNTA($A235:$D235)=0,U235=0),"",IF(INDEX(DB_05[監測設定值],U235)="","",INDEX(DB_05[監測設定值],U235)))</f>
        <v/>
      </c>
      <c r="T235" s="92">
        <f>IF(COUNTA($A235:$D235)=0,"",IF(COUNTIFS(DB_04[測項鍵],V235)=1,MATCH(V235,DB_04[測項鍵],0),0))</f>
        <v/>
      </c>
      <c r="U235" s="92">
        <f>IF(COUNTA($A235:$D235)=0,"",IF(COUNTIFS(DB_05[標準鍵],W235)=1,MATCH(W235,DB_05[標準鍵],0),0))</f>
        <v/>
      </c>
      <c r="V235" s="92">
        <f>IF(OR(J235="",A235=""),"",J235&amp;"|"&amp;A235)</f>
        <v/>
      </c>
      <c r="W235" s="92">
        <f>IF(OR('07_QAQC'!$C$3="",V235=""),"",'07_QAQC'!$C$3&amp;"|"&amp;V235)</f>
        <v/>
      </c>
      <c r="X235" s="92">
        <f>IF(OR(H235="",A235=""),"",LEN(H235)&amp;":"&amp;H235&amp;LEN(A235)&amp;":"&amp;A235)</f>
        <v/>
      </c>
      <c r="Y235" s="93">
        <f>IF(COUNTA($A235:$D235)=0,"",IF(I235=0,"樣品未建或重複",IF(INDEX(Samples[樣品檢查],I235)="","OK",INDEX(Samples[樣品檢查],I235))))</f>
        <v/>
      </c>
      <c r="Z235" s="93">
        <f>IF(COUNTA($A235:$D235)=0,"",IF(B235="","缺原始值",IF(OR(B235="-",B235="--"),"無資料",IF(N235="NA","不適用",IF(N235="ND","OK",IF(NOT(ISNUMBER(P235)),"格式待核",IF(AND(N235&lt;&gt;"數值",P235&lt;0),"界限不得為負","OK")))))))</f>
        <v/>
      </c>
      <c r="AA235" s="93">
        <f>IF(COUNTA(A235:D235)=0,"",IF(OR(A235="",H235=""),"缺識別欄位",IF(IF(LEN("="&amp;SUBSTITUTE(SUBSTITUTE(SUBSTITUTE(X235,"~","~~"),"*","~*"),"?","~?"))&lt;=255,COUNTIF(Results[結果識別鍵],"="&amp;SUBSTITUTE(SUBSTITUTE(SUBSTITUTE(X235,"~","~~"),"*","~*"),"?","~?")),COUNTIFS(Results[關聯鍵],"="&amp;SUBSTITUTE(SUBSTITUTE(SUBSTITUTE(H235,"~","~~"),"*","~*"),"?","~?"),Results[分析項目],"="&amp;SUBSTITUTE(SUBSTITUTE(SUBSTITUTE(A235,"~","~~"),"*","~*"),"?","~?")))&gt;1,"同關聯鍵測項重複","OK")))</f>
        <v/>
      </c>
      <c r="AB235" s="93">
        <f>IF(COUNTA($A235:$D235)=0,"",IF(OR(C235="",K235=""),"缺單位",IF(NOT(ISNUMBER(L235)),"單位不相容",IF(L235=1,"OK","已換算"))))</f>
        <v/>
      </c>
      <c r="AC235" s="93">
        <f>IF(COUNTA($A235:$D235)=0,"",IF('07_QAQC'!$C$3="","未選比較版本",IF(U235=0,IF(COUNTIFS(DB_05[標準鍵],W235)&gt;1,"標準鍵重複","未訂此介質／測項門檻"),IF(INDEX(DB_05[版本檢查],U235)&lt;&gt;"OK","標準主檔待核",IF(INDEX(DB_05[標準單位],U235)&lt;&gt;K235,"標準單位不符",IF(INDEX(DB_05[核對狀態],U235)="停用","停用",IF(F235="","缺採樣日期",IF(OR(AND(INDEX(DB_05[生效日],U235)&lt;&gt;"",F235&lt;INDEX(DB_05[生效日],U235)),AND(INDEX(DB_05[失效日],U235)&lt;&gt;"",F235&gt;INDEX(DB_05[失效日],U235))),"日期不適用",INDEX(DB_05[核對狀態],U235)))))))))</f>
        <v/>
      </c>
      <c r="AD235" s="93">
        <f>IF(COUNTA($A235:$D235)=0,"",IF(AC235="未訂此介質／測項門檻",AC235,IF(AC235&lt;&gt;"已核對","標準待核",IF(R235="","未訂管制值",IF(NOT(ISNUMBER(L235)),"單位待核",IF(N235="ND","無法判定（ND無界限）",IF(N235="NA","不適用",IF(Z235&lt;&gt;"OK",Z235,IF(N235="數值",IF(Q235&gt;=R235,"達管制值","未達管制值"),IF(OR(N235="&lt;",N235="&lt;="),IF(OR(Q235&lt;R235,AND(N235="&lt;",Q235=R235)),"未達管制值","無法判定"),IF(OR(N235="&gt;",N235="&gt;="),IF(Q235&gt;=R235,"達管制值","無法判定"),"格式待核")))))))))))</f>
        <v/>
      </c>
      <c r="AE235" s="93">
        <f>IF(COUNTA($A235:$D235)=0,"",IF(AC235="未訂此介質／測項門檻",AC235,IF(AC235&lt;&gt;"已核對","標準待核",IF(S235="","未訂監測值",IF(NOT(ISNUMBER(L235)),"單位待核",IF(N235="ND","無法判定（ND無界限）",IF(N235="NA","不適用",IF(Z235&lt;&gt;"OK",Z235,IF(N235="數值",IF(Q235&gt;=S235,"達監測值","未達監測值"),IF(OR(N235="&lt;",N235="&lt;="),IF(OR(Q235&lt;S235,AND(N235="&lt;",Q235=S235)),"未達監測值","無法判定"),IF(OR(N235="&gt;",N235="&gt;="),IF(Q235&gt;=S235,"達監測值","無法判定"),"格式待核")))))))))))</f>
        <v/>
      </c>
      <c r="AF235" s="93">
        <f>IF(COUNTA($A235:$D235)=0,"",IF(OR(E235="",A235="",B235="",C235=""),"缺必要欄位",IF(Y235&lt;&gt;"OK","樣品資料待補",IF(T235=0,"測項未建或重複",IF(INDEX(DB_04[啟用],T235)&lt;&gt;"是","測項停用",IF(AND(Z235&lt;&gt;"OK",Z235&lt;&gt;"不適用"),Z235,IF(AND(AB235&lt;&gt;"OK",AB235&lt;&gt;"已換算"),"單位待核",IF(AA235&lt;&gt;"OK",AA235,"OK"))))))))</f>
        <v/>
      </c>
      <c r="AG235" s="93">
        <f>IF(COUNTA($A235:$D235)=0,"",IF(N235="ND","ND取0",IF(OR(N235="&lt;",N235="&lt;="),"界限除以2",IF(N235="NA","不適用",IF(OR(N235="&gt;",N235="&gt;="),"保留界限數值","保留原數值")))))</f>
        <v/>
      </c>
      <c r="AH235" s="92">
        <f>IF(O235="","",IFERROR(_xlfn.NUMBERVALUE(O235,".",","),""))</f>
        <v/>
      </c>
      <c r="AI235" s="92">
        <f>IF(H235="","",IFERROR(MATCH(H235,Samples[樣品編號],0),0))</f>
        <v/>
      </c>
    </row>
    <row r="236">
      <c r="A236" s="27" t="inlineStr">
        <is>
          <t>pH</t>
        </is>
      </c>
      <c r="B236" s="28" t="inlineStr">
        <is>
          <t>6.95</t>
        </is>
      </c>
      <c r="C236" s="27" t="inlineStr">
        <is>
          <t>無因次</t>
        </is>
      </c>
      <c r="D236" s="39" t="inlineStr">
        <is>
          <t>合成資料，非實測；method=field</t>
        </is>
      </c>
      <c r="E236" s="29">
        <f>IF(OR(I236="",I236=0),"",IF(INDEX(Samples[監測點],I236)="","",INDEX(Samples[監測點],I236)))</f>
        <v/>
      </c>
      <c r="F236" s="90">
        <f>IF(OR(I236="",I236=0),"",IF(INDEX(Samples[採樣日期],I236)="","",INDEX(Samples[採樣日期],I236)))</f>
        <v/>
      </c>
      <c r="G236" s="91">
        <f>IF(OR(M236="",M236="NA",M236="N/A"),"",IF(OR(M236="ND",M236="N.D."),0,IFERROR(IF(OR(OR(ISNUMBER(SEARCH("%",O236)),ISNUMBER(SEARCH(" ",O236)),ISNUMBER(SEARCH(",",O236))),OR(SUBSTITUTE(SUBSTITUTE(SUBSTITUTE(SUBSTITUTE(SUBSTITUTE(SUBSTITUTE(SUBSTITUTE(SUBSTITUTE(SUBSTITUTE(SUBSTITUTE(SUBSTITUTE(SUBSTITUTE(SUBSTITUTE(SUBSTITUTE(SUBSTITUTE(SUBSTITUTE(SUBSTITUTE(SUBSTITUTE("x"&amp;M236,"0",""),"1",""),"2",""),"3",""),"4",""),"5",""),"6",""),"7",""),"8",""),"9",""),".",""),"E",""),"+",""),"-",""),"&lt;",""),"&gt;",""),"=","")," ","")&lt;&gt;"x",ISNUMBER(SEARCH("-",SUBSTITUTE(SUBSTITUTE("x"&amp;MID(M236,2,99),"E-","E"),"E+","E"))),ISNUMBER(SEARCH("+",SUBSTITUTE(SUBSTITUTE("x"&amp;MID(M236,2,99),"E-","E"),"E+","E"))))),"",IF(AND(OR(LEFT(M236,1)="&lt;",LEFT(M236,1)="&gt;"),IF(O236="",0,IF(ISNUMBER(AH236),AH236,NA()))&lt;0),"",IF(O236="",0,IF(ISNUMBER(AH236),AH236,NA()))/IF(LEFT(M236,1)="&lt;",2,1))),"")))</f>
        <v/>
      </c>
      <c r="H236" s="57" t="inlineStr">
        <is>
          <t>BH05-W_20260415_03</t>
        </is>
      </c>
      <c r="I236" s="92">
        <f>IF(OR(H236="",AI236=0),0,IF(INDEX(Samples[樣品重複筆數],AI236)=1,AI236,0))</f>
        <v/>
      </c>
      <c r="J236" s="92">
        <f>IF(OR(COUNTA($A236:$D236)=0,I236=0),"",IF(INDEX(Samples[介質],I236)="","",INDEX(Samples[介質],I236)))</f>
        <v/>
      </c>
      <c r="K236" s="92">
        <f>IF(OR(COUNTA($A236:$D236)=0,T236=0),"",IF(INDEX(DB_04[標準單位],T236)="","",INDEX(DB_04[標準單位],T236)))</f>
        <v/>
      </c>
      <c r="L236" s="92">
        <f>IF(COUNTA($A236:$D236)=0,"",IF(OR(C236="",K236=""),"",IF(C236=K236,1,IF(COUNTIFS(DB_06[換算鍵],C236&amp;"|"&amp;K236,DB_06[換算檢查],"OK")=1,INDEX(DB_06[乘數],MATCH(C236&amp;"|"&amp;K236,DB_06[換算鍵],0)),""))))</f>
        <v/>
      </c>
      <c r="M236" s="92">
        <f>UPPER(SUBSTITUTE(SUBSTITUTE(SUBSTITUTE(SUBSTITUTE(TRIM(B236&amp;""),"＜","&lt;"),"＞","&gt;"),"≤","&lt;="),"≥","&gt;="))</f>
        <v/>
      </c>
      <c r="N236" s="92">
        <f>IF(M236="","",IF(OR(M236="ND",M236="N.D."),"ND",IF(OR(M236="NA",M236="N/A",M236="N.A."),"NA",IF(OR(LEFT(M236,2)="&lt;=",LEFT(M236,2)="&gt;="),LEFT(M236,2),IF(OR(LEFT(M236,1)="&lt;",LEFT(M236,1)="&gt;"),LEFT(M236,1),"數值")))))</f>
        <v/>
      </c>
      <c r="O236" s="92">
        <f>IF(OR(N236="",N236="ND",N236="NA"),"",IF(N236="數值",M236,TRIM(MID(M236,LEN(N236)+1,99))))</f>
        <v/>
      </c>
      <c r="P236" s="92">
        <f>IF(O236="","",IFERROR(IF(OR(OR(ISNUMBER(SEARCH("%",O236)),ISNUMBER(SEARCH(" ",O236)),ISNUMBER(SEARCH(",",O236))),OR(SUBSTITUTE(SUBSTITUTE(SUBSTITUTE(SUBSTITUTE(SUBSTITUTE(SUBSTITUTE(SUBSTITUTE(SUBSTITUTE(SUBSTITUTE(SUBSTITUTE(SUBSTITUTE(SUBSTITUTE(SUBSTITUTE(SUBSTITUTE(SUBSTITUTE(SUBSTITUTE(SUBSTITUTE(SUBSTITUTE("x"&amp;O236,"0",""),"1",""),"2",""),"3",""),"4",""),"5",""),"6",""),"7",""),"8",""),"9",""),".",""),"E",""),"+",""),"-",""),"&lt;",""),"&gt;",""),"=","")," ","")&lt;&gt;"x",ISNUMBER(SEARCH("-",SUBSTITUTE(SUBSTITUTE("x"&amp;MID(O236,2,99),"E-","E"),"E+","E"))),ISNUMBER(SEARCH("+",SUBSTITUTE(SUBSTITUTE("x"&amp;MID(O236,2,99),"E-","E"),"E+","E"))))),"",IF(ISNUMBER(AH236),AH236,NA())),""))</f>
        <v/>
      </c>
      <c r="Q236" s="92">
        <f>IF(AND(ISNUMBER(L236),ISNUMBER(P236)),L236*P236,"")</f>
        <v/>
      </c>
      <c r="R236" s="92">
        <f>IF(OR(COUNTA($A236:$D236)=0,U236=0),"",IF(INDEX(DB_05[管制設定值],U236)="","",INDEX(DB_05[管制設定值],U236)))</f>
        <v/>
      </c>
      <c r="S236" s="92">
        <f>IF(OR(COUNTA($A236:$D236)=0,U236=0),"",IF(INDEX(DB_05[監測設定值],U236)="","",INDEX(DB_05[監測設定值],U236)))</f>
        <v/>
      </c>
      <c r="T236" s="92">
        <f>IF(COUNTA($A236:$D236)=0,"",IF(COUNTIFS(DB_04[測項鍵],V236)=1,MATCH(V236,DB_04[測項鍵],0),0))</f>
        <v/>
      </c>
      <c r="U236" s="92">
        <f>IF(COUNTA($A236:$D236)=0,"",IF(COUNTIFS(DB_05[標準鍵],W236)=1,MATCH(W236,DB_05[標準鍵],0),0))</f>
        <v/>
      </c>
      <c r="V236" s="92">
        <f>IF(OR(J236="",A236=""),"",J236&amp;"|"&amp;A236)</f>
        <v/>
      </c>
      <c r="W236" s="92">
        <f>IF(OR('07_QAQC'!$C$3="",V236=""),"",'07_QAQC'!$C$3&amp;"|"&amp;V236)</f>
        <v/>
      </c>
      <c r="X236" s="92">
        <f>IF(OR(H236="",A236=""),"",LEN(H236)&amp;":"&amp;H236&amp;LEN(A236)&amp;":"&amp;A236)</f>
        <v/>
      </c>
      <c r="Y236" s="93">
        <f>IF(COUNTA($A236:$D236)=0,"",IF(I236=0,"樣品未建或重複",IF(INDEX(Samples[樣品檢查],I236)="","OK",INDEX(Samples[樣品檢查],I236))))</f>
        <v/>
      </c>
      <c r="Z236" s="93">
        <f>IF(COUNTA($A236:$D236)=0,"",IF(B236="","缺原始值",IF(OR(B236="-",B236="--"),"無資料",IF(N236="NA","不適用",IF(N236="ND","OK",IF(NOT(ISNUMBER(P236)),"格式待核",IF(AND(N236&lt;&gt;"數值",P236&lt;0),"界限不得為負","OK")))))))</f>
        <v/>
      </c>
      <c r="AA236" s="93">
        <f>IF(COUNTA(A236:D236)=0,"",IF(OR(A236="",H236=""),"缺識別欄位",IF(IF(LEN("="&amp;SUBSTITUTE(SUBSTITUTE(SUBSTITUTE(X236,"~","~~"),"*","~*"),"?","~?"))&lt;=255,COUNTIF(Results[結果識別鍵],"="&amp;SUBSTITUTE(SUBSTITUTE(SUBSTITUTE(X236,"~","~~"),"*","~*"),"?","~?")),COUNTIFS(Results[關聯鍵],"="&amp;SUBSTITUTE(SUBSTITUTE(SUBSTITUTE(H236,"~","~~"),"*","~*"),"?","~?"),Results[分析項目],"="&amp;SUBSTITUTE(SUBSTITUTE(SUBSTITUTE(A236,"~","~~"),"*","~*"),"?","~?")))&gt;1,"同關聯鍵測項重複","OK")))</f>
        <v/>
      </c>
      <c r="AB236" s="93">
        <f>IF(COUNTA($A236:$D236)=0,"",IF(OR(C236="",K236=""),"缺單位",IF(NOT(ISNUMBER(L236)),"單位不相容",IF(L236=1,"OK","已換算"))))</f>
        <v/>
      </c>
      <c r="AC236" s="93">
        <f>IF(COUNTA($A236:$D236)=0,"",IF('07_QAQC'!$C$3="","未選比較版本",IF(U236=0,IF(COUNTIFS(DB_05[標準鍵],W236)&gt;1,"標準鍵重複","未訂此介質／測項門檻"),IF(INDEX(DB_05[版本檢查],U236)&lt;&gt;"OK","標準主檔待核",IF(INDEX(DB_05[標準單位],U236)&lt;&gt;K236,"標準單位不符",IF(INDEX(DB_05[核對狀態],U236)="停用","停用",IF(F236="","缺採樣日期",IF(OR(AND(INDEX(DB_05[生效日],U236)&lt;&gt;"",F236&lt;INDEX(DB_05[生效日],U236)),AND(INDEX(DB_05[失效日],U236)&lt;&gt;"",F236&gt;INDEX(DB_05[失效日],U236))),"日期不適用",INDEX(DB_05[核對狀態],U236)))))))))</f>
        <v/>
      </c>
      <c r="AD236" s="93">
        <f>IF(COUNTA($A236:$D236)=0,"",IF(AC236="未訂此介質／測項門檻",AC236,IF(AC236&lt;&gt;"已核對","標準待核",IF(R236="","未訂管制值",IF(NOT(ISNUMBER(L236)),"單位待核",IF(N236="ND","無法判定（ND無界限）",IF(N236="NA","不適用",IF(Z236&lt;&gt;"OK",Z236,IF(N236="數值",IF(Q236&gt;=R236,"達管制值","未達管制值"),IF(OR(N236="&lt;",N236="&lt;="),IF(OR(Q236&lt;R236,AND(N236="&lt;",Q236=R236)),"未達管制值","無法判定"),IF(OR(N236="&gt;",N236="&gt;="),IF(Q236&gt;=R236,"達管制值","無法判定"),"格式待核")))))))))))</f>
        <v/>
      </c>
      <c r="AE236" s="93">
        <f>IF(COUNTA($A236:$D236)=0,"",IF(AC236="未訂此介質／測項門檻",AC236,IF(AC236&lt;&gt;"已核對","標準待核",IF(S236="","未訂監測值",IF(NOT(ISNUMBER(L236)),"單位待核",IF(N236="ND","無法判定（ND無界限）",IF(N236="NA","不適用",IF(Z236&lt;&gt;"OK",Z236,IF(N236="數值",IF(Q236&gt;=S236,"達監測值","未達監測值"),IF(OR(N236="&lt;",N236="&lt;="),IF(OR(Q236&lt;S236,AND(N236="&lt;",Q236=S236)),"未達監測值","無法判定"),IF(OR(N236="&gt;",N236="&gt;="),IF(Q236&gt;=S236,"達監測值","無法判定"),"格式待核")))))))))))</f>
        <v/>
      </c>
      <c r="AF236" s="93">
        <f>IF(COUNTA($A236:$D236)=0,"",IF(OR(E236="",A236="",B236="",C236=""),"缺必要欄位",IF(Y236&lt;&gt;"OK","樣品資料待補",IF(T236=0,"測項未建或重複",IF(INDEX(DB_04[啟用],T236)&lt;&gt;"是","測項停用",IF(AND(Z236&lt;&gt;"OK",Z236&lt;&gt;"不適用"),Z236,IF(AND(AB236&lt;&gt;"OK",AB236&lt;&gt;"已換算"),"單位待核",IF(AA236&lt;&gt;"OK",AA236,"OK"))))))))</f>
        <v/>
      </c>
      <c r="AG236" s="93">
        <f>IF(COUNTA($A236:$D236)=0,"",IF(N236="ND","ND取0",IF(OR(N236="&lt;",N236="&lt;="),"界限除以2",IF(N236="NA","不適用",IF(OR(N236="&gt;",N236="&gt;="),"保留界限數值","保留原數值")))))</f>
        <v/>
      </c>
      <c r="AH236" s="92">
        <f>IF(O236="","",IFERROR(_xlfn.NUMBERVALUE(O236,".",","),""))</f>
        <v/>
      </c>
      <c r="AI236" s="92">
        <f>IF(H236="","",IFERROR(MATCH(H236,Samples[樣品編號],0),0))</f>
        <v/>
      </c>
    </row>
    <row r="237">
      <c r="A237" s="27" t="inlineStr">
        <is>
          <t>EC</t>
        </is>
      </c>
      <c r="B237" s="28" t="inlineStr">
        <is>
          <t>0.76</t>
        </is>
      </c>
      <c r="C237" s="27" t="inlineStr">
        <is>
          <t>mS/cm</t>
        </is>
      </c>
      <c r="D237" s="39" t="inlineStr">
        <is>
          <t>合成資料，非實測；method=field; temperature=25; temperature_compensated=25C; reference_temperature=25</t>
        </is>
      </c>
      <c r="E237" s="29">
        <f>IF(OR(I237="",I237=0),"",IF(INDEX(Samples[監測點],I237)="","",INDEX(Samples[監測點],I237)))</f>
        <v/>
      </c>
      <c r="F237" s="90">
        <f>IF(OR(I237="",I237=0),"",IF(INDEX(Samples[採樣日期],I237)="","",INDEX(Samples[採樣日期],I237)))</f>
        <v/>
      </c>
      <c r="G237" s="91">
        <f>IF(OR(M237="",M237="NA",M237="N/A"),"",IF(OR(M237="ND",M237="N.D."),0,IFERROR(IF(OR(OR(ISNUMBER(SEARCH("%",O237)),ISNUMBER(SEARCH(" ",O237)),ISNUMBER(SEARCH(",",O237))),OR(SUBSTITUTE(SUBSTITUTE(SUBSTITUTE(SUBSTITUTE(SUBSTITUTE(SUBSTITUTE(SUBSTITUTE(SUBSTITUTE(SUBSTITUTE(SUBSTITUTE(SUBSTITUTE(SUBSTITUTE(SUBSTITUTE(SUBSTITUTE(SUBSTITUTE(SUBSTITUTE(SUBSTITUTE(SUBSTITUTE("x"&amp;M237,"0",""),"1",""),"2",""),"3",""),"4",""),"5",""),"6",""),"7",""),"8",""),"9",""),".",""),"E",""),"+",""),"-",""),"&lt;",""),"&gt;",""),"=","")," ","")&lt;&gt;"x",ISNUMBER(SEARCH("-",SUBSTITUTE(SUBSTITUTE("x"&amp;MID(M237,2,99),"E-","E"),"E+","E"))),ISNUMBER(SEARCH("+",SUBSTITUTE(SUBSTITUTE("x"&amp;MID(M237,2,99),"E-","E"),"E+","E"))))),"",IF(AND(OR(LEFT(M237,1)="&lt;",LEFT(M237,1)="&gt;"),IF(O237="",0,IF(ISNUMBER(AH237),AH237,NA()))&lt;0),"",IF(O237="",0,IF(ISNUMBER(AH237),AH237,NA()))/IF(LEFT(M237,1)="&lt;",2,1))),"")))</f>
        <v/>
      </c>
      <c r="H237" s="57" t="inlineStr">
        <is>
          <t>BH05-W_20260415_03</t>
        </is>
      </c>
      <c r="I237" s="92">
        <f>IF(OR(H237="",AI237=0),0,IF(INDEX(Samples[樣品重複筆數],AI237)=1,AI237,0))</f>
        <v/>
      </c>
      <c r="J237" s="92">
        <f>IF(OR(COUNTA($A237:$D237)=0,I237=0),"",IF(INDEX(Samples[介質],I237)="","",INDEX(Samples[介質],I237)))</f>
        <v/>
      </c>
      <c r="K237" s="92">
        <f>IF(OR(COUNTA($A237:$D237)=0,T237=0),"",IF(INDEX(DB_04[標準單位],T237)="","",INDEX(DB_04[標準單位],T237)))</f>
        <v/>
      </c>
      <c r="L237" s="92">
        <f>IF(COUNTA($A237:$D237)=0,"",IF(OR(C237="",K237=""),"",IF(C237=K237,1,IF(COUNTIFS(DB_06[換算鍵],C237&amp;"|"&amp;K237,DB_06[換算檢查],"OK")=1,INDEX(DB_06[乘數],MATCH(C237&amp;"|"&amp;K237,DB_06[換算鍵],0)),""))))</f>
        <v/>
      </c>
      <c r="M237" s="92">
        <f>UPPER(SUBSTITUTE(SUBSTITUTE(SUBSTITUTE(SUBSTITUTE(TRIM(B237&amp;""),"＜","&lt;"),"＞","&gt;"),"≤","&lt;="),"≥","&gt;="))</f>
        <v/>
      </c>
      <c r="N237" s="92">
        <f>IF(M237="","",IF(OR(M237="ND",M237="N.D."),"ND",IF(OR(M237="NA",M237="N/A",M237="N.A."),"NA",IF(OR(LEFT(M237,2)="&lt;=",LEFT(M237,2)="&gt;="),LEFT(M237,2),IF(OR(LEFT(M237,1)="&lt;",LEFT(M237,1)="&gt;"),LEFT(M237,1),"數值")))))</f>
        <v/>
      </c>
      <c r="O237" s="92">
        <f>IF(OR(N237="",N237="ND",N237="NA"),"",IF(N237="數值",M237,TRIM(MID(M237,LEN(N237)+1,99))))</f>
        <v/>
      </c>
      <c r="P237" s="92">
        <f>IF(O237="","",IFERROR(IF(OR(OR(ISNUMBER(SEARCH("%",O237)),ISNUMBER(SEARCH(" ",O237)),ISNUMBER(SEARCH(",",O237))),OR(SUBSTITUTE(SUBSTITUTE(SUBSTITUTE(SUBSTITUTE(SUBSTITUTE(SUBSTITUTE(SUBSTITUTE(SUBSTITUTE(SUBSTITUTE(SUBSTITUTE(SUBSTITUTE(SUBSTITUTE(SUBSTITUTE(SUBSTITUTE(SUBSTITUTE(SUBSTITUTE(SUBSTITUTE(SUBSTITUTE("x"&amp;O237,"0",""),"1",""),"2",""),"3",""),"4",""),"5",""),"6",""),"7",""),"8",""),"9",""),".",""),"E",""),"+",""),"-",""),"&lt;",""),"&gt;",""),"=","")," ","")&lt;&gt;"x",ISNUMBER(SEARCH("-",SUBSTITUTE(SUBSTITUTE("x"&amp;MID(O237,2,99),"E-","E"),"E+","E"))),ISNUMBER(SEARCH("+",SUBSTITUTE(SUBSTITUTE("x"&amp;MID(O237,2,99),"E-","E"),"E+","E"))))),"",IF(ISNUMBER(AH237),AH237,NA())),""))</f>
        <v/>
      </c>
      <c r="Q237" s="92">
        <f>IF(AND(ISNUMBER(L237),ISNUMBER(P237)),L237*P237,"")</f>
        <v/>
      </c>
      <c r="R237" s="92">
        <f>IF(OR(COUNTA($A237:$D237)=0,U237=0),"",IF(INDEX(DB_05[管制設定值],U237)="","",INDEX(DB_05[管制設定值],U237)))</f>
        <v/>
      </c>
      <c r="S237" s="92">
        <f>IF(OR(COUNTA($A237:$D237)=0,U237=0),"",IF(INDEX(DB_05[監測設定值],U237)="","",INDEX(DB_05[監測設定值],U237)))</f>
        <v/>
      </c>
      <c r="T237" s="92">
        <f>IF(COUNTA($A237:$D237)=0,"",IF(COUNTIFS(DB_04[測項鍵],V237)=1,MATCH(V237,DB_04[測項鍵],0),0))</f>
        <v/>
      </c>
      <c r="U237" s="92">
        <f>IF(COUNTA($A237:$D237)=0,"",IF(COUNTIFS(DB_05[標準鍵],W237)=1,MATCH(W237,DB_05[標準鍵],0),0))</f>
        <v/>
      </c>
      <c r="V237" s="92">
        <f>IF(OR(J237="",A237=""),"",J237&amp;"|"&amp;A237)</f>
        <v/>
      </c>
      <c r="W237" s="92">
        <f>IF(OR('07_QAQC'!$C$3="",V237=""),"",'07_QAQC'!$C$3&amp;"|"&amp;V237)</f>
        <v/>
      </c>
      <c r="X237" s="92">
        <f>IF(OR(H237="",A237=""),"",LEN(H237)&amp;":"&amp;H237&amp;LEN(A237)&amp;":"&amp;A237)</f>
        <v/>
      </c>
      <c r="Y237" s="93">
        <f>IF(COUNTA($A237:$D237)=0,"",IF(I237=0,"樣品未建或重複",IF(INDEX(Samples[樣品檢查],I237)="","OK",INDEX(Samples[樣品檢查],I237))))</f>
        <v/>
      </c>
      <c r="Z237" s="93">
        <f>IF(COUNTA($A237:$D237)=0,"",IF(B237="","缺原始值",IF(OR(B237="-",B237="--"),"無資料",IF(N237="NA","不適用",IF(N237="ND","OK",IF(NOT(ISNUMBER(P237)),"格式待核",IF(AND(N237&lt;&gt;"數值",P237&lt;0),"界限不得為負","OK")))))))</f>
        <v/>
      </c>
      <c r="AA237" s="93">
        <f>IF(COUNTA(A237:D237)=0,"",IF(OR(A237="",H237=""),"缺識別欄位",IF(IF(LEN("="&amp;SUBSTITUTE(SUBSTITUTE(SUBSTITUTE(X237,"~","~~"),"*","~*"),"?","~?"))&lt;=255,COUNTIF(Results[結果識別鍵],"="&amp;SUBSTITUTE(SUBSTITUTE(SUBSTITUTE(X237,"~","~~"),"*","~*"),"?","~?")),COUNTIFS(Results[關聯鍵],"="&amp;SUBSTITUTE(SUBSTITUTE(SUBSTITUTE(H237,"~","~~"),"*","~*"),"?","~?"),Results[分析項目],"="&amp;SUBSTITUTE(SUBSTITUTE(SUBSTITUTE(A237,"~","~~"),"*","~*"),"?","~?")))&gt;1,"同關聯鍵測項重複","OK")))</f>
        <v/>
      </c>
      <c r="AB237" s="93">
        <f>IF(COUNTA($A237:$D237)=0,"",IF(OR(C237="",K237=""),"缺單位",IF(NOT(ISNUMBER(L237)),"單位不相容",IF(L237=1,"OK","已換算"))))</f>
        <v/>
      </c>
      <c r="AC237" s="93">
        <f>IF(COUNTA($A237:$D237)=0,"",IF('07_QAQC'!$C$3="","未選比較版本",IF(U237=0,IF(COUNTIFS(DB_05[標準鍵],W237)&gt;1,"標準鍵重複","未訂此介質／測項門檻"),IF(INDEX(DB_05[版本檢查],U237)&lt;&gt;"OK","標準主檔待核",IF(INDEX(DB_05[標準單位],U237)&lt;&gt;K237,"標準單位不符",IF(INDEX(DB_05[核對狀態],U237)="停用","停用",IF(F237="","缺採樣日期",IF(OR(AND(INDEX(DB_05[生效日],U237)&lt;&gt;"",F237&lt;INDEX(DB_05[生效日],U237)),AND(INDEX(DB_05[失效日],U237)&lt;&gt;"",F237&gt;INDEX(DB_05[失效日],U237))),"日期不適用",INDEX(DB_05[核對狀態],U237)))))))))</f>
        <v/>
      </c>
      <c r="AD237" s="93">
        <f>IF(COUNTA($A237:$D237)=0,"",IF(AC237="未訂此介質／測項門檻",AC237,IF(AC237&lt;&gt;"已核對","標準待核",IF(R237="","未訂管制值",IF(NOT(ISNUMBER(L237)),"單位待核",IF(N237="ND","無法判定（ND無界限）",IF(N237="NA","不適用",IF(Z237&lt;&gt;"OK",Z237,IF(N237="數值",IF(Q237&gt;=R237,"達管制值","未達管制值"),IF(OR(N237="&lt;",N237="&lt;="),IF(OR(Q237&lt;R237,AND(N237="&lt;",Q237=R237)),"未達管制值","無法判定"),IF(OR(N237="&gt;",N237="&gt;="),IF(Q237&gt;=R237,"達管制值","無法判定"),"格式待核")))))))))))</f>
        <v/>
      </c>
      <c r="AE237" s="93">
        <f>IF(COUNTA($A237:$D237)=0,"",IF(AC237="未訂此介質／測項門檻",AC237,IF(AC237&lt;&gt;"已核對","標準待核",IF(S237="","未訂監測值",IF(NOT(ISNUMBER(L237)),"單位待核",IF(N237="ND","無法判定（ND無界限）",IF(N237="NA","不適用",IF(Z237&lt;&gt;"OK",Z237,IF(N237="數值",IF(Q237&gt;=S237,"達監測值","未達監測值"),IF(OR(N237="&lt;",N237="&lt;="),IF(OR(Q237&lt;S237,AND(N237="&lt;",Q237=S237)),"未達監測值","無法判定"),IF(OR(N237="&gt;",N237="&gt;="),IF(Q237&gt;=S237,"達監測值","無法判定"),"格式待核")))))))))))</f>
        <v/>
      </c>
      <c r="AF237" s="93">
        <f>IF(COUNTA($A237:$D237)=0,"",IF(OR(E237="",A237="",B237="",C237=""),"缺必要欄位",IF(Y237&lt;&gt;"OK","樣品資料待補",IF(T237=0,"測項未建或重複",IF(INDEX(DB_04[啟用],T237)&lt;&gt;"是","測項停用",IF(AND(Z237&lt;&gt;"OK",Z237&lt;&gt;"不適用"),Z237,IF(AND(AB237&lt;&gt;"OK",AB237&lt;&gt;"已換算"),"單位待核",IF(AA237&lt;&gt;"OK",AA237,"OK"))))))))</f>
        <v/>
      </c>
      <c r="AG237" s="93">
        <f>IF(COUNTA($A237:$D237)=0,"",IF(N237="ND","ND取0",IF(OR(N237="&lt;",N237="&lt;="),"界限除以2",IF(N237="NA","不適用",IF(OR(N237="&gt;",N237="&gt;="),"保留界限數值","保留原數值")))))</f>
        <v/>
      </c>
      <c r="AH237" s="92">
        <f>IF(O237="","",IFERROR(_xlfn.NUMBERVALUE(O237,".",","),""))</f>
        <v/>
      </c>
      <c r="AI237" s="92">
        <f>IF(H237="","",IFERROR(MATCH(H237,Samples[樣品編號],0),0))</f>
        <v/>
      </c>
    </row>
    <row r="238">
      <c r="A238" s="27" t="inlineStr">
        <is>
          <t>DO</t>
        </is>
      </c>
      <c r="B238" s="28" t="inlineStr">
        <is>
          <t>3.9</t>
        </is>
      </c>
      <c r="C238" s="27" t="inlineStr">
        <is>
          <t>mg/L</t>
        </is>
      </c>
      <c r="D238" s="39" t="inlineStr">
        <is>
          <t>合成資料，非實測；method=field</t>
        </is>
      </c>
      <c r="E238" s="29">
        <f>IF(OR(I238="",I238=0),"",IF(INDEX(Samples[監測點],I238)="","",INDEX(Samples[監測點],I238)))</f>
        <v/>
      </c>
      <c r="F238" s="90">
        <f>IF(OR(I238="",I238=0),"",IF(INDEX(Samples[採樣日期],I238)="","",INDEX(Samples[採樣日期],I238)))</f>
        <v/>
      </c>
      <c r="G238" s="91">
        <f>IF(OR(M238="",M238="NA",M238="N/A"),"",IF(OR(M238="ND",M238="N.D."),0,IFERROR(IF(OR(OR(ISNUMBER(SEARCH("%",O238)),ISNUMBER(SEARCH(" ",O238)),ISNUMBER(SEARCH(",",O238))),OR(SUBSTITUTE(SUBSTITUTE(SUBSTITUTE(SUBSTITUTE(SUBSTITUTE(SUBSTITUTE(SUBSTITUTE(SUBSTITUTE(SUBSTITUTE(SUBSTITUTE(SUBSTITUTE(SUBSTITUTE(SUBSTITUTE(SUBSTITUTE(SUBSTITUTE(SUBSTITUTE(SUBSTITUTE(SUBSTITUTE("x"&amp;M238,"0",""),"1",""),"2",""),"3",""),"4",""),"5",""),"6",""),"7",""),"8",""),"9",""),".",""),"E",""),"+",""),"-",""),"&lt;",""),"&gt;",""),"=","")," ","")&lt;&gt;"x",ISNUMBER(SEARCH("-",SUBSTITUTE(SUBSTITUTE("x"&amp;MID(M238,2,99),"E-","E"),"E+","E"))),ISNUMBER(SEARCH("+",SUBSTITUTE(SUBSTITUTE("x"&amp;MID(M238,2,99),"E-","E"),"E+","E"))))),"",IF(AND(OR(LEFT(M238,1)="&lt;",LEFT(M238,1)="&gt;"),IF(O238="",0,IF(ISNUMBER(AH238),AH238,NA()))&lt;0),"",IF(O238="",0,IF(ISNUMBER(AH238),AH238,NA()))/IF(LEFT(M238,1)="&lt;",2,1))),"")))</f>
        <v/>
      </c>
      <c r="H238" s="57" t="inlineStr">
        <is>
          <t>BH05-W_20260415_03</t>
        </is>
      </c>
      <c r="I238" s="92">
        <f>IF(OR(H238="",AI238=0),0,IF(INDEX(Samples[樣品重複筆數],AI238)=1,AI238,0))</f>
        <v/>
      </c>
      <c r="J238" s="92">
        <f>IF(OR(COUNTA($A238:$D238)=0,I238=0),"",IF(INDEX(Samples[介質],I238)="","",INDEX(Samples[介質],I238)))</f>
        <v/>
      </c>
      <c r="K238" s="92">
        <f>IF(OR(COUNTA($A238:$D238)=0,T238=0),"",IF(INDEX(DB_04[標準單位],T238)="","",INDEX(DB_04[標準單位],T238)))</f>
        <v/>
      </c>
      <c r="L238" s="92">
        <f>IF(COUNTA($A238:$D238)=0,"",IF(OR(C238="",K238=""),"",IF(C238=K238,1,IF(COUNTIFS(DB_06[換算鍵],C238&amp;"|"&amp;K238,DB_06[換算檢查],"OK")=1,INDEX(DB_06[乘數],MATCH(C238&amp;"|"&amp;K238,DB_06[換算鍵],0)),""))))</f>
        <v/>
      </c>
      <c r="M238" s="92">
        <f>UPPER(SUBSTITUTE(SUBSTITUTE(SUBSTITUTE(SUBSTITUTE(TRIM(B238&amp;""),"＜","&lt;"),"＞","&gt;"),"≤","&lt;="),"≥","&gt;="))</f>
        <v/>
      </c>
      <c r="N238" s="92">
        <f>IF(M238="","",IF(OR(M238="ND",M238="N.D."),"ND",IF(OR(M238="NA",M238="N/A",M238="N.A."),"NA",IF(OR(LEFT(M238,2)="&lt;=",LEFT(M238,2)="&gt;="),LEFT(M238,2),IF(OR(LEFT(M238,1)="&lt;",LEFT(M238,1)="&gt;"),LEFT(M238,1),"數值")))))</f>
        <v/>
      </c>
      <c r="O238" s="92">
        <f>IF(OR(N238="",N238="ND",N238="NA"),"",IF(N238="數值",M238,TRIM(MID(M238,LEN(N238)+1,99))))</f>
        <v/>
      </c>
      <c r="P238" s="92">
        <f>IF(O238="","",IFERROR(IF(OR(OR(ISNUMBER(SEARCH("%",O238)),ISNUMBER(SEARCH(" ",O238)),ISNUMBER(SEARCH(",",O238))),OR(SUBSTITUTE(SUBSTITUTE(SUBSTITUTE(SUBSTITUTE(SUBSTITUTE(SUBSTITUTE(SUBSTITUTE(SUBSTITUTE(SUBSTITUTE(SUBSTITUTE(SUBSTITUTE(SUBSTITUTE(SUBSTITUTE(SUBSTITUTE(SUBSTITUTE(SUBSTITUTE(SUBSTITUTE(SUBSTITUTE("x"&amp;O238,"0",""),"1",""),"2",""),"3",""),"4",""),"5",""),"6",""),"7",""),"8",""),"9",""),".",""),"E",""),"+",""),"-",""),"&lt;",""),"&gt;",""),"=","")," ","")&lt;&gt;"x",ISNUMBER(SEARCH("-",SUBSTITUTE(SUBSTITUTE("x"&amp;MID(O238,2,99),"E-","E"),"E+","E"))),ISNUMBER(SEARCH("+",SUBSTITUTE(SUBSTITUTE("x"&amp;MID(O238,2,99),"E-","E"),"E+","E"))))),"",IF(ISNUMBER(AH238),AH238,NA())),""))</f>
        <v/>
      </c>
      <c r="Q238" s="92">
        <f>IF(AND(ISNUMBER(L238),ISNUMBER(P238)),L238*P238,"")</f>
        <v/>
      </c>
      <c r="R238" s="92">
        <f>IF(OR(COUNTA($A238:$D238)=0,U238=0),"",IF(INDEX(DB_05[管制設定值],U238)="","",INDEX(DB_05[管制設定值],U238)))</f>
        <v/>
      </c>
      <c r="S238" s="92">
        <f>IF(OR(COUNTA($A238:$D238)=0,U238=0),"",IF(INDEX(DB_05[監測設定值],U238)="","",INDEX(DB_05[監測設定值],U238)))</f>
        <v/>
      </c>
      <c r="T238" s="92">
        <f>IF(COUNTA($A238:$D238)=0,"",IF(COUNTIFS(DB_04[測項鍵],V238)=1,MATCH(V238,DB_04[測項鍵],0),0))</f>
        <v/>
      </c>
      <c r="U238" s="92">
        <f>IF(COUNTA($A238:$D238)=0,"",IF(COUNTIFS(DB_05[標準鍵],W238)=1,MATCH(W238,DB_05[標準鍵],0),0))</f>
        <v/>
      </c>
      <c r="V238" s="92">
        <f>IF(OR(J238="",A238=""),"",J238&amp;"|"&amp;A238)</f>
        <v/>
      </c>
      <c r="W238" s="92">
        <f>IF(OR('07_QAQC'!$C$3="",V238=""),"",'07_QAQC'!$C$3&amp;"|"&amp;V238)</f>
        <v/>
      </c>
      <c r="X238" s="92">
        <f>IF(OR(H238="",A238=""),"",LEN(H238)&amp;":"&amp;H238&amp;LEN(A238)&amp;":"&amp;A238)</f>
        <v/>
      </c>
      <c r="Y238" s="93">
        <f>IF(COUNTA($A238:$D238)=0,"",IF(I238=0,"樣品未建或重複",IF(INDEX(Samples[樣品檢查],I238)="","OK",INDEX(Samples[樣品檢查],I238))))</f>
        <v/>
      </c>
      <c r="Z238" s="93">
        <f>IF(COUNTA($A238:$D238)=0,"",IF(B238="","缺原始值",IF(OR(B238="-",B238="--"),"無資料",IF(N238="NA","不適用",IF(N238="ND","OK",IF(NOT(ISNUMBER(P238)),"格式待核",IF(AND(N238&lt;&gt;"數值",P238&lt;0),"界限不得為負","OK")))))))</f>
        <v/>
      </c>
      <c r="AA238" s="93">
        <f>IF(COUNTA(A238:D238)=0,"",IF(OR(A238="",H238=""),"缺識別欄位",IF(IF(LEN("="&amp;SUBSTITUTE(SUBSTITUTE(SUBSTITUTE(X238,"~","~~"),"*","~*"),"?","~?"))&lt;=255,COUNTIF(Results[結果識別鍵],"="&amp;SUBSTITUTE(SUBSTITUTE(SUBSTITUTE(X238,"~","~~"),"*","~*"),"?","~?")),COUNTIFS(Results[關聯鍵],"="&amp;SUBSTITUTE(SUBSTITUTE(SUBSTITUTE(H238,"~","~~"),"*","~*"),"?","~?"),Results[分析項目],"="&amp;SUBSTITUTE(SUBSTITUTE(SUBSTITUTE(A238,"~","~~"),"*","~*"),"?","~?")))&gt;1,"同關聯鍵測項重複","OK")))</f>
        <v/>
      </c>
      <c r="AB238" s="93">
        <f>IF(COUNTA($A238:$D238)=0,"",IF(OR(C238="",K238=""),"缺單位",IF(NOT(ISNUMBER(L238)),"單位不相容",IF(L238=1,"OK","已換算"))))</f>
        <v/>
      </c>
      <c r="AC238" s="93">
        <f>IF(COUNTA($A238:$D238)=0,"",IF('07_QAQC'!$C$3="","未選比較版本",IF(U238=0,IF(COUNTIFS(DB_05[標準鍵],W238)&gt;1,"標準鍵重複","未訂此介質／測項門檻"),IF(INDEX(DB_05[版本檢查],U238)&lt;&gt;"OK","標準主檔待核",IF(INDEX(DB_05[標準單位],U238)&lt;&gt;K238,"標準單位不符",IF(INDEX(DB_05[核對狀態],U238)="停用","停用",IF(F238="","缺採樣日期",IF(OR(AND(INDEX(DB_05[生效日],U238)&lt;&gt;"",F238&lt;INDEX(DB_05[生效日],U238)),AND(INDEX(DB_05[失效日],U238)&lt;&gt;"",F238&gt;INDEX(DB_05[失效日],U238))),"日期不適用",INDEX(DB_05[核對狀態],U238)))))))))</f>
        <v/>
      </c>
      <c r="AD238" s="93">
        <f>IF(COUNTA($A238:$D238)=0,"",IF(AC238="未訂此介質／測項門檻",AC238,IF(AC238&lt;&gt;"已核對","標準待核",IF(R238="","未訂管制值",IF(NOT(ISNUMBER(L238)),"單位待核",IF(N238="ND","無法判定（ND無界限）",IF(N238="NA","不適用",IF(Z238&lt;&gt;"OK",Z238,IF(N238="數值",IF(Q238&gt;=R238,"達管制值","未達管制值"),IF(OR(N238="&lt;",N238="&lt;="),IF(OR(Q238&lt;R238,AND(N238="&lt;",Q238=R238)),"未達管制值","無法判定"),IF(OR(N238="&gt;",N238="&gt;="),IF(Q238&gt;=R238,"達管制值","無法判定"),"格式待核")))))))))))</f>
        <v/>
      </c>
      <c r="AE238" s="93">
        <f>IF(COUNTA($A238:$D238)=0,"",IF(AC238="未訂此介質／測項門檻",AC238,IF(AC238&lt;&gt;"已核對","標準待核",IF(S238="","未訂監測值",IF(NOT(ISNUMBER(L238)),"單位待核",IF(N238="ND","無法判定（ND無界限）",IF(N238="NA","不適用",IF(Z238&lt;&gt;"OK",Z238,IF(N238="數值",IF(Q238&gt;=S238,"達監測值","未達監測值"),IF(OR(N238="&lt;",N238="&lt;="),IF(OR(Q238&lt;S238,AND(N238="&lt;",Q238=S238)),"未達監測值","無法判定"),IF(OR(N238="&gt;",N238="&gt;="),IF(Q238&gt;=S238,"達監測值","無法判定"),"格式待核")))))))))))</f>
        <v/>
      </c>
      <c r="AF238" s="93">
        <f>IF(COUNTA($A238:$D238)=0,"",IF(OR(E238="",A238="",B238="",C238=""),"缺必要欄位",IF(Y238&lt;&gt;"OK","樣品資料待補",IF(T238=0,"測項未建或重複",IF(INDEX(DB_04[啟用],T238)&lt;&gt;"是","測項停用",IF(AND(Z238&lt;&gt;"OK",Z238&lt;&gt;"不適用"),Z238,IF(AND(AB238&lt;&gt;"OK",AB238&lt;&gt;"已換算"),"單位待核",IF(AA238&lt;&gt;"OK",AA238,"OK"))))))))</f>
        <v/>
      </c>
      <c r="AG238" s="93">
        <f>IF(COUNTA($A238:$D238)=0,"",IF(N238="ND","ND取0",IF(OR(N238="&lt;",N238="&lt;="),"界限除以2",IF(N238="NA","不適用",IF(OR(N238="&gt;",N238="&gt;="),"保留界限數值","保留原數值")))))</f>
        <v/>
      </c>
      <c r="AH238" s="92">
        <f>IF(O238="","",IFERROR(_xlfn.NUMBERVALUE(O238,".",","),""))</f>
        <v/>
      </c>
      <c r="AI238" s="92">
        <f>IF(H238="","",IFERROR(MATCH(H238,Samples[樣品編號],0),0))</f>
        <v/>
      </c>
    </row>
    <row r="239">
      <c r="A239" s="27" t="inlineStr">
        <is>
          <t>溶氧飽和度</t>
        </is>
      </c>
      <c r="B239" s="28" t="inlineStr">
        <is>
          <t>51</t>
        </is>
      </c>
      <c r="C239" s="27" t="inlineStr">
        <is>
          <t>%</t>
        </is>
      </c>
      <c r="D239" s="39" t="inlineStr">
        <is>
          <t>合成資料，非實測；method=field</t>
        </is>
      </c>
      <c r="E239" s="29">
        <f>IF(OR(I239="",I239=0),"",IF(INDEX(Samples[監測點],I239)="","",INDEX(Samples[監測點],I239)))</f>
        <v/>
      </c>
      <c r="F239" s="90">
        <f>IF(OR(I239="",I239=0),"",IF(INDEX(Samples[採樣日期],I239)="","",INDEX(Samples[採樣日期],I239)))</f>
        <v/>
      </c>
      <c r="G239" s="91">
        <f>IF(OR(M239="",M239="NA",M239="N/A"),"",IF(OR(M239="ND",M239="N.D."),0,IFERROR(IF(OR(OR(ISNUMBER(SEARCH("%",O239)),ISNUMBER(SEARCH(" ",O239)),ISNUMBER(SEARCH(",",O239))),OR(SUBSTITUTE(SUBSTITUTE(SUBSTITUTE(SUBSTITUTE(SUBSTITUTE(SUBSTITUTE(SUBSTITUTE(SUBSTITUTE(SUBSTITUTE(SUBSTITUTE(SUBSTITUTE(SUBSTITUTE(SUBSTITUTE(SUBSTITUTE(SUBSTITUTE(SUBSTITUTE(SUBSTITUTE(SUBSTITUTE("x"&amp;M239,"0",""),"1",""),"2",""),"3",""),"4",""),"5",""),"6",""),"7",""),"8",""),"9",""),".",""),"E",""),"+",""),"-",""),"&lt;",""),"&gt;",""),"=","")," ","")&lt;&gt;"x",ISNUMBER(SEARCH("-",SUBSTITUTE(SUBSTITUTE("x"&amp;MID(M239,2,99),"E-","E"),"E+","E"))),ISNUMBER(SEARCH("+",SUBSTITUTE(SUBSTITUTE("x"&amp;MID(M239,2,99),"E-","E"),"E+","E"))))),"",IF(AND(OR(LEFT(M239,1)="&lt;",LEFT(M239,1)="&gt;"),IF(O239="",0,IF(ISNUMBER(AH239),AH239,NA()))&lt;0),"",IF(O239="",0,IF(ISNUMBER(AH239),AH239,NA()))/IF(LEFT(M239,1)="&lt;",2,1))),"")))</f>
        <v/>
      </c>
      <c r="H239" s="57" t="inlineStr">
        <is>
          <t>BH05-W_20260415_03</t>
        </is>
      </c>
      <c r="I239" s="92">
        <f>IF(OR(H239="",AI239=0),0,IF(INDEX(Samples[樣品重複筆數],AI239)=1,AI239,0))</f>
        <v/>
      </c>
      <c r="J239" s="92">
        <f>IF(OR(COUNTA($A239:$D239)=0,I239=0),"",IF(INDEX(Samples[介質],I239)="","",INDEX(Samples[介質],I239)))</f>
        <v/>
      </c>
      <c r="K239" s="92">
        <f>IF(OR(COUNTA($A239:$D239)=0,T239=0),"",IF(INDEX(DB_04[標準單位],T239)="","",INDEX(DB_04[標準單位],T239)))</f>
        <v/>
      </c>
      <c r="L239" s="92">
        <f>IF(COUNTA($A239:$D239)=0,"",IF(OR(C239="",K239=""),"",IF(C239=K239,1,IF(COUNTIFS(DB_06[換算鍵],C239&amp;"|"&amp;K239,DB_06[換算檢查],"OK")=1,INDEX(DB_06[乘數],MATCH(C239&amp;"|"&amp;K239,DB_06[換算鍵],0)),""))))</f>
        <v/>
      </c>
      <c r="M239" s="92">
        <f>UPPER(SUBSTITUTE(SUBSTITUTE(SUBSTITUTE(SUBSTITUTE(TRIM(B239&amp;""),"＜","&lt;"),"＞","&gt;"),"≤","&lt;="),"≥","&gt;="))</f>
        <v/>
      </c>
      <c r="N239" s="92">
        <f>IF(M239="","",IF(OR(M239="ND",M239="N.D."),"ND",IF(OR(M239="NA",M239="N/A",M239="N.A."),"NA",IF(OR(LEFT(M239,2)="&lt;=",LEFT(M239,2)="&gt;="),LEFT(M239,2),IF(OR(LEFT(M239,1)="&lt;",LEFT(M239,1)="&gt;"),LEFT(M239,1),"數值")))))</f>
        <v/>
      </c>
      <c r="O239" s="92">
        <f>IF(OR(N239="",N239="ND",N239="NA"),"",IF(N239="數值",M239,TRIM(MID(M239,LEN(N239)+1,99))))</f>
        <v/>
      </c>
      <c r="P239" s="92">
        <f>IF(O239="","",IFERROR(IF(OR(OR(ISNUMBER(SEARCH("%",O239)),ISNUMBER(SEARCH(" ",O239)),ISNUMBER(SEARCH(",",O239))),OR(SUBSTITUTE(SUBSTITUTE(SUBSTITUTE(SUBSTITUTE(SUBSTITUTE(SUBSTITUTE(SUBSTITUTE(SUBSTITUTE(SUBSTITUTE(SUBSTITUTE(SUBSTITUTE(SUBSTITUTE(SUBSTITUTE(SUBSTITUTE(SUBSTITUTE(SUBSTITUTE(SUBSTITUTE(SUBSTITUTE("x"&amp;O239,"0",""),"1",""),"2",""),"3",""),"4",""),"5",""),"6",""),"7",""),"8",""),"9",""),".",""),"E",""),"+",""),"-",""),"&lt;",""),"&gt;",""),"=","")," ","")&lt;&gt;"x",ISNUMBER(SEARCH("-",SUBSTITUTE(SUBSTITUTE("x"&amp;MID(O239,2,99),"E-","E"),"E+","E"))),ISNUMBER(SEARCH("+",SUBSTITUTE(SUBSTITUTE("x"&amp;MID(O239,2,99),"E-","E"),"E+","E"))))),"",IF(ISNUMBER(AH239),AH239,NA())),""))</f>
        <v/>
      </c>
      <c r="Q239" s="92">
        <f>IF(AND(ISNUMBER(L239),ISNUMBER(P239)),L239*P239,"")</f>
        <v/>
      </c>
      <c r="R239" s="92">
        <f>IF(OR(COUNTA($A239:$D239)=0,U239=0),"",IF(INDEX(DB_05[管制設定值],U239)="","",INDEX(DB_05[管制設定值],U239)))</f>
        <v/>
      </c>
      <c r="S239" s="92">
        <f>IF(OR(COUNTA($A239:$D239)=0,U239=0),"",IF(INDEX(DB_05[監測設定值],U239)="","",INDEX(DB_05[監測設定值],U239)))</f>
        <v/>
      </c>
      <c r="T239" s="92">
        <f>IF(COUNTA($A239:$D239)=0,"",IF(COUNTIFS(DB_04[測項鍵],V239)=1,MATCH(V239,DB_04[測項鍵],0),0))</f>
        <v/>
      </c>
      <c r="U239" s="92">
        <f>IF(COUNTA($A239:$D239)=0,"",IF(COUNTIFS(DB_05[標準鍵],W239)=1,MATCH(W239,DB_05[標準鍵],0),0))</f>
        <v/>
      </c>
      <c r="V239" s="92">
        <f>IF(OR(J239="",A239=""),"",J239&amp;"|"&amp;A239)</f>
        <v/>
      </c>
      <c r="W239" s="92">
        <f>IF(OR('07_QAQC'!$C$3="",V239=""),"",'07_QAQC'!$C$3&amp;"|"&amp;V239)</f>
        <v/>
      </c>
      <c r="X239" s="92">
        <f>IF(OR(H239="",A239=""),"",LEN(H239)&amp;":"&amp;H239&amp;LEN(A239)&amp;":"&amp;A239)</f>
        <v/>
      </c>
      <c r="Y239" s="93">
        <f>IF(COUNTA($A239:$D239)=0,"",IF(I239=0,"樣品未建或重複",IF(INDEX(Samples[樣品檢查],I239)="","OK",INDEX(Samples[樣品檢查],I239))))</f>
        <v/>
      </c>
      <c r="Z239" s="93">
        <f>IF(COUNTA($A239:$D239)=0,"",IF(B239="","缺原始值",IF(OR(B239="-",B239="--"),"無資料",IF(N239="NA","不適用",IF(N239="ND","OK",IF(NOT(ISNUMBER(P239)),"格式待核",IF(AND(N239&lt;&gt;"數值",P239&lt;0),"界限不得為負","OK")))))))</f>
        <v/>
      </c>
      <c r="AA239" s="93">
        <f>IF(COUNTA(A239:D239)=0,"",IF(OR(A239="",H239=""),"缺識別欄位",IF(IF(LEN("="&amp;SUBSTITUTE(SUBSTITUTE(SUBSTITUTE(X239,"~","~~"),"*","~*"),"?","~?"))&lt;=255,COUNTIF(Results[結果識別鍵],"="&amp;SUBSTITUTE(SUBSTITUTE(SUBSTITUTE(X239,"~","~~"),"*","~*"),"?","~?")),COUNTIFS(Results[關聯鍵],"="&amp;SUBSTITUTE(SUBSTITUTE(SUBSTITUTE(H239,"~","~~"),"*","~*"),"?","~?"),Results[分析項目],"="&amp;SUBSTITUTE(SUBSTITUTE(SUBSTITUTE(A239,"~","~~"),"*","~*"),"?","~?")))&gt;1,"同關聯鍵測項重複","OK")))</f>
        <v/>
      </c>
      <c r="AB239" s="93">
        <f>IF(COUNTA($A239:$D239)=0,"",IF(OR(C239="",K239=""),"缺單位",IF(NOT(ISNUMBER(L239)),"單位不相容",IF(L239=1,"OK","已換算"))))</f>
        <v/>
      </c>
      <c r="AC239" s="93">
        <f>IF(COUNTA($A239:$D239)=0,"",IF('07_QAQC'!$C$3="","未選比較版本",IF(U239=0,IF(COUNTIFS(DB_05[標準鍵],W239)&gt;1,"標準鍵重複","未訂此介質／測項門檻"),IF(INDEX(DB_05[版本檢查],U239)&lt;&gt;"OK","標準主檔待核",IF(INDEX(DB_05[標準單位],U239)&lt;&gt;K239,"標準單位不符",IF(INDEX(DB_05[核對狀態],U239)="停用","停用",IF(F239="","缺採樣日期",IF(OR(AND(INDEX(DB_05[生效日],U239)&lt;&gt;"",F239&lt;INDEX(DB_05[生效日],U239)),AND(INDEX(DB_05[失效日],U239)&lt;&gt;"",F239&gt;INDEX(DB_05[失效日],U239))),"日期不適用",INDEX(DB_05[核對狀態],U239)))))))))</f>
        <v/>
      </c>
      <c r="AD239" s="93">
        <f>IF(COUNTA($A239:$D239)=0,"",IF(AC239="未訂此介質／測項門檻",AC239,IF(AC239&lt;&gt;"已核對","標準待核",IF(R239="","未訂管制值",IF(NOT(ISNUMBER(L239)),"單位待核",IF(N239="ND","無法判定（ND無界限）",IF(N239="NA","不適用",IF(Z239&lt;&gt;"OK",Z239,IF(N239="數值",IF(Q239&gt;=R239,"達管制值","未達管制值"),IF(OR(N239="&lt;",N239="&lt;="),IF(OR(Q239&lt;R239,AND(N239="&lt;",Q239=R239)),"未達管制值","無法判定"),IF(OR(N239="&gt;",N239="&gt;="),IF(Q239&gt;=R239,"達管制值","無法判定"),"格式待核")))))))))))</f>
        <v/>
      </c>
      <c r="AE239" s="93">
        <f>IF(COUNTA($A239:$D239)=0,"",IF(AC239="未訂此介質／測項門檻",AC239,IF(AC239&lt;&gt;"已核對","標準待核",IF(S239="","未訂監測值",IF(NOT(ISNUMBER(L239)),"單位待核",IF(N239="ND","無法判定（ND無界限）",IF(N239="NA","不適用",IF(Z239&lt;&gt;"OK",Z239,IF(N239="數值",IF(Q239&gt;=S239,"達監測值","未達監測值"),IF(OR(N239="&lt;",N239="&lt;="),IF(OR(Q239&lt;S239,AND(N239="&lt;",Q239=S239)),"未達監測值","無法判定"),IF(OR(N239="&gt;",N239="&gt;="),IF(Q239&gt;=S239,"達監測值","無法判定"),"格式待核")))))))))))</f>
        <v/>
      </c>
      <c r="AF239" s="93">
        <f>IF(COUNTA($A239:$D239)=0,"",IF(OR(E239="",A239="",B239="",C239=""),"缺必要欄位",IF(Y239&lt;&gt;"OK","樣品資料待補",IF(T239=0,"測項未建或重複",IF(INDEX(DB_04[啟用],T239)&lt;&gt;"是","測項停用",IF(AND(Z239&lt;&gt;"OK",Z239&lt;&gt;"不適用"),Z239,IF(AND(AB239&lt;&gt;"OK",AB239&lt;&gt;"已換算"),"單位待核",IF(AA239&lt;&gt;"OK",AA239,"OK"))))))))</f>
        <v/>
      </c>
      <c r="AG239" s="93">
        <f>IF(COUNTA($A239:$D239)=0,"",IF(N239="ND","ND取0",IF(OR(N239="&lt;",N239="&lt;="),"界限除以2",IF(N239="NA","不適用",IF(OR(N239="&gt;",N239="&gt;="),"保留界限數值","保留原數值")))))</f>
        <v/>
      </c>
      <c r="AH239" s="92">
        <f>IF(O239="","",IFERROR(_xlfn.NUMBERVALUE(O239,".",","),""))</f>
        <v/>
      </c>
      <c r="AI239" s="92">
        <f>IF(H239="","",IFERROR(MATCH(H239,Samples[樣品編號],0),0))</f>
        <v/>
      </c>
    </row>
    <row r="240">
      <c r="A240" s="27" t="inlineStr">
        <is>
          <t>ORP</t>
        </is>
      </c>
      <c r="B240" s="28" t="inlineStr">
        <is>
          <t>-115</t>
        </is>
      </c>
      <c r="C240" s="27" t="inlineStr">
        <is>
          <t>mV</t>
        </is>
      </c>
      <c r="D240" s="39" t="inlineStr">
        <is>
          <t>合成資料，非實測；method=field; reference_electrode=Ag/AgCl; calibration=verified</t>
        </is>
      </c>
      <c r="E240" s="29">
        <f>IF(OR(I240="",I240=0),"",IF(INDEX(Samples[監測點],I240)="","",INDEX(Samples[監測點],I240)))</f>
        <v/>
      </c>
      <c r="F240" s="90">
        <f>IF(OR(I240="",I240=0),"",IF(INDEX(Samples[採樣日期],I240)="","",INDEX(Samples[採樣日期],I240)))</f>
        <v/>
      </c>
      <c r="G240" s="91">
        <f>IF(OR(M240="",M240="NA",M240="N/A"),"",IF(OR(M240="ND",M240="N.D."),0,IFERROR(IF(OR(OR(ISNUMBER(SEARCH("%",O240)),ISNUMBER(SEARCH(" ",O240)),ISNUMBER(SEARCH(",",O240))),OR(SUBSTITUTE(SUBSTITUTE(SUBSTITUTE(SUBSTITUTE(SUBSTITUTE(SUBSTITUTE(SUBSTITUTE(SUBSTITUTE(SUBSTITUTE(SUBSTITUTE(SUBSTITUTE(SUBSTITUTE(SUBSTITUTE(SUBSTITUTE(SUBSTITUTE(SUBSTITUTE(SUBSTITUTE(SUBSTITUTE("x"&amp;M240,"0",""),"1",""),"2",""),"3",""),"4",""),"5",""),"6",""),"7",""),"8",""),"9",""),".",""),"E",""),"+",""),"-",""),"&lt;",""),"&gt;",""),"=","")," ","")&lt;&gt;"x",ISNUMBER(SEARCH("-",SUBSTITUTE(SUBSTITUTE("x"&amp;MID(M240,2,99),"E-","E"),"E+","E"))),ISNUMBER(SEARCH("+",SUBSTITUTE(SUBSTITUTE("x"&amp;MID(M240,2,99),"E-","E"),"E+","E"))))),"",IF(AND(OR(LEFT(M240,1)="&lt;",LEFT(M240,1)="&gt;"),IF(O240="",0,IF(ISNUMBER(AH240),AH240,NA()))&lt;0),"",IF(O240="",0,IF(ISNUMBER(AH240),AH240,NA()))/IF(LEFT(M240,1)="&lt;",2,1))),"")))</f>
        <v/>
      </c>
      <c r="H240" s="57" t="inlineStr">
        <is>
          <t>BH05-W_20260415_03</t>
        </is>
      </c>
      <c r="I240" s="92">
        <f>IF(OR(H240="",AI240=0),0,IF(INDEX(Samples[樣品重複筆數],AI240)=1,AI240,0))</f>
        <v/>
      </c>
      <c r="J240" s="92">
        <f>IF(OR(COUNTA($A240:$D240)=0,I240=0),"",IF(INDEX(Samples[介質],I240)="","",INDEX(Samples[介質],I240)))</f>
        <v/>
      </c>
      <c r="K240" s="92">
        <f>IF(OR(COUNTA($A240:$D240)=0,T240=0),"",IF(INDEX(DB_04[標準單位],T240)="","",INDEX(DB_04[標準單位],T240)))</f>
        <v/>
      </c>
      <c r="L240" s="92">
        <f>IF(COUNTA($A240:$D240)=0,"",IF(OR(C240="",K240=""),"",IF(C240=K240,1,IF(COUNTIFS(DB_06[換算鍵],C240&amp;"|"&amp;K240,DB_06[換算檢查],"OK")=1,INDEX(DB_06[乘數],MATCH(C240&amp;"|"&amp;K240,DB_06[換算鍵],0)),""))))</f>
        <v/>
      </c>
      <c r="M240" s="92">
        <f>UPPER(SUBSTITUTE(SUBSTITUTE(SUBSTITUTE(SUBSTITUTE(TRIM(B240&amp;""),"＜","&lt;"),"＞","&gt;"),"≤","&lt;="),"≥","&gt;="))</f>
        <v/>
      </c>
      <c r="N240" s="92">
        <f>IF(M240="","",IF(OR(M240="ND",M240="N.D."),"ND",IF(OR(M240="NA",M240="N/A",M240="N.A."),"NA",IF(OR(LEFT(M240,2)="&lt;=",LEFT(M240,2)="&gt;="),LEFT(M240,2),IF(OR(LEFT(M240,1)="&lt;",LEFT(M240,1)="&gt;"),LEFT(M240,1),"數值")))))</f>
        <v/>
      </c>
      <c r="O240" s="92">
        <f>IF(OR(N240="",N240="ND",N240="NA"),"",IF(N240="數值",M240,TRIM(MID(M240,LEN(N240)+1,99))))</f>
        <v/>
      </c>
      <c r="P240" s="92">
        <f>IF(O240="","",IFERROR(IF(OR(OR(ISNUMBER(SEARCH("%",O240)),ISNUMBER(SEARCH(" ",O240)),ISNUMBER(SEARCH(",",O240))),OR(SUBSTITUTE(SUBSTITUTE(SUBSTITUTE(SUBSTITUTE(SUBSTITUTE(SUBSTITUTE(SUBSTITUTE(SUBSTITUTE(SUBSTITUTE(SUBSTITUTE(SUBSTITUTE(SUBSTITUTE(SUBSTITUTE(SUBSTITUTE(SUBSTITUTE(SUBSTITUTE(SUBSTITUTE(SUBSTITUTE("x"&amp;O240,"0",""),"1",""),"2",""),"3",""),"4",""),"5",""),"6",""),"7",""),"8",""),"9",""),".",""),"E",""),"+",""),"-",""),"&lt;",""),"&gt;",""),"=","")," ","")&lt;&gt;"x",ISNUMBER(SEARCH("-",SUBSTITUTE(SUBSTITUTE("x"&amp;MID(O240,2,99),"E-","E"),"E+","E"))),ISNUMBER(SEARCH("+",SUBSTITUTE(SUBSTITUTE("x"&amp;MID(O240,2,99),"E-","E"),"E+","E"))))),"",IF(ISNUMBER(AH240),AH240,NA())),""))</f>
        <v/>
      </c>
      <c r="Q240" s="92">
        <f>IF(AND(ISNUMBER(L240),ISNUMBER(P240)),L240*P240,"")</f>
        <v/>
      </c>
      <c r="R240" s="92">
        <f>IF(OR(COUNTA($A240:$D240)=0,U240=0),"",IF(INDEX(DB_05[管制設定值],U240)="","",INDEX(DB_05[管制設定值],U240)))</f>
        <v/>
      </c>
      <c r="S240" s="92">
        <f>IF(OR(COUNTA($A240:$D240)=0,U240=0),"",IF(INDEX(DB_05[監測設定值],U240)="","",INDEX(DB_05[監測設定值],U240)))</f>
        <v/>
      </c>
      <c r="T240" s="92">
        <f>IF(COUNTA($A240:$D240)=0,"",IF(COUNTIFS(DB_04[測項鍵],V240)=1,MATCH(V240,DB_04[測項鍵],0),0))</f>
        <v/>
      </c>
      <c r="U240" s="92">
        <f>IF(COUNTA($A240:$D240)=0,"",IF(COUNTIFS(DB_05[標準鍵],W240)=1,MATCH(W240,DB_05[標準鍵],0),0))</f>
        <v/>
      </c>
      <c r="V240" s="92">
        <f>IF(OR(J240="",A240=""),"",J240&amp;"|"&amp;A240)</f>
        <v/>
      </c>
      <c r="W240" s="92">
        <f>IF(OR('07_QAQC'!$C$3="",V240=""),"",'07_QAQC'!$C$3&amp;"|"&amp;V240)</f>
        <v/>
      </c>
      <c r="X240" s="92">
        <f>IF(OR(H240="",A240=""),"",LEN(H240)&amp;":"&amp;H240&amp;LEN(A240)&amp;":"&amp;A240)</f>
        <v/>
      </c>
      <c r="Y240" s="93">
        <f>IF(COUNTA($A240:$D240)=0,"",IF(I240=0,"樣品未建或重複",IF(INDEX(Samples[樣品檢查],I240)="","OK",INDEX(Samples[樣品檢查],I240))))</f>
        <v/>
      </c>
      <c r="Z240" s="93">
        <f>IF(COUNTA($A240:$D240)=0,"",IF(B240="","缺原始值",IF(OR(B240="-",B240="--"),"無資料",IF(N240="NA","不適用",IF(N240="ND","OK",IF(NOT(ISNUMBER(P240)),"格式待核",IF(AND(N240&lt;&gt;"數值",P240&lt;0),"界限不得為負","OK")))))))</f>
        <v/>
      </c>
      <c r="AA240" s="93">
        <f>IF(COUNTA(A240:D240)=0,"",IF(OR(A240="",H240=""),"缺識別欄位",IF(IF(LEN("="&amp;SUBSTITUTE(SUBSTITUTE(SUBSTITUTE(X240,"~","~~"),"*","~*"),"?","~?"))&lt;=255,COUNTIF(Results[結果識別鍵],"="&amp;SUBSTITUTE(SUBSTITUTE(SUBSTITUTE(X240,"~","~~"),"*","~*"),"?","~?")),COUNTIFS(Results[關聯鍵],"="&amp;SUBSTITUTE(SUBSTITUTE(SUBSTITUTE(H240,"~","~~"),"*","~*"),"?","~?"),Results[分析項目],"="&amp;SUBSTITUTE(SUBSTITUTE(SUBSTITUTE(A240,"~","~~"),"*","~*"),"?","~?")))&gt;1,"同關聯鍵測項重複","OK")))</f>
        <v/>
      </c>
      <c r="AB240" s="93">
        <f>IF(COUNTA($A240:$D240)=0,"",IF(OR(C240="",K240=""),"缺單位",IF(NOT(ISNUMBER(L240)),"單位不相容",IF(L240=1,"OK","已換算"))))</f>
        <v/>
      </c>
      <c r="AC240" s="93">
        <f>IF(COUNTA($A240:$D240)=0,"",IF('07_QAQC'!$C$3="","未選比較版本",IF(U240=0,IF(COUNTIFS(DB_05[標準鍵],W240)&gt;1,"標準鍵重複","未訂此介質／測項門檻"),IF(INDEX(DB_05[版本檢查],U240)&lt;&gt;"OK","標準主檔待核",IF(INDEX(DB_05[標準單位],U240)&lt;&gt;K240,"標準單位不符",IF(INDEX(DB_05[核對狀態],U240)="停用","停用",IF(F240="","缺採樣日期",IF(OR(AND(INDEX(DB_05[生效日],U240)&lt;&gt;"",F240&lt;INDEX(DB_05[生效日],U240)),AND(INDEX(DB_05[失效日],U240)&lt;&gt;"",F240&gt;INDEX(DB_05[失效日],U240))),"日期不適用",INDEX(DB_05[核對狀態],U240)))))))))</f>
        <v/>
      </c>
      <c r="AD240" s="93">
        <f>IF(COUNTA($A240:$D240)=0,"",IF(AC240="未訂此介質／測項門檻",AC240,IF(AC240&lt;&gt;"已核對","標準待核",IF(R240="","未訂管制值",IF(NOT(ISNUMBER(L240)),"單位待核",IF(N240="ND","無法判定（ND無界限）",IF(N240="NA","不適用",IF(Z240&lt;&gt;"OK",Z240,IF(N240="數值",IF(Q240&gt;=R240,"達管制值","未達管制值"),IF(OR(N240="&lt;",N240="&lt;="),IF(OR(Q240&lt;R240,AND(N240="&lt;",Q240=R240)),"未達管制值","無法判定"),IF(OR(N240="&gt;",N240="&gt;="),IF(Q240&gt;=R240,"達管制值","無法判定"),"格式待核")))))))))))</f>
        <v/>
      </c>
      <c r="AE240" s="93">
        <f>IF(COUNTA($A240:$D240)=0,"",IF(AC240="未訂此介質／測項門檻",AC240,IF(AC240&lt;&gt;"已核對","標準待核",IF(S240="","未訂監測值",IF(NOT(ISNUMBER(L240)),"單位待核",IF(N240="ND","無法判定（ND無界限）",IF(N240="NA","不適用",IF(Z240&lt;&gt;"OK",Z240,IF(N240="數值",IF(Q240&gt;=S240,"達監測值","未達監測值"),IF(OR(N240="&lt;",N240="&lt;="),IF(OR(Q240&lt;S240,AND(N240="&lt;",Q240=S240)),"未達監測值","無法判定"),IF(OR(N240="&gt;",N240="&gt;="),IF(Q240&gt;=S240,"達監測值","無法判定"),"格式待核")))))))))))</f>
        <v/>
      </c>
      <c r="AF240" s="93">
        <f>IF(COUNTA($A240:$D240)=0,"",IF(OR(E240="",A240="",B240="",C240=""),"缺必要欄位",IF(Y240&lt;&gt;"OK","樣品資料待補",IF(T240=0,"測項未建或重複",IF(INDEX(DB_04[啟用],T240)&lt;&gt;"是","測項停用",IF(AND(Z240&lt;&gt;"OK",Z240&lt;&gt;"不適用"),Z240,IF(AND(AB240&lt;&gt;"OK",AB240&lt;&gt;"已換算"),"單位待核",IF(AA240&lt;&gt;"OK",AA240,"OK"))))))))</f>
        <v/>
      </c>
      <c r="AG240" s="93">
        <f>IF(COUNTA($A240:$D240)=0,"",IF(N240="ND","ND取0",IF(OR(N240="&lt;",N240="&lt;="),"界限除以2",IF(N240="NA","不適用",IF(OR(N240="&gt;",N240="&gt;="),"保留界限數值","保留原數值")))))</f>
        <v/>
      </c>
      <c r="AH240" s="92">
        <f>IF(O240="","",IFERROR(_xlfn.NUMBERVALUE(O240,".",","),""))</f>
        <v/>
      </c>
      <c r="AI240" s="92">
        <f>IF(H240="","",IFERROR(MATCH(H240,Samples[樣品編號],0),0))</f>
        <v/>
      </c>
    </row>
    <row r="241">
      <c r="A241" s="27" t="inlineStr">
        <is>
          <t>總有機碳</t>
        </is>
      </c>
      <c r="B241" s="28" t="inlineStr">
        <is>
          <t>3.7</t>
        </is>
      </c>
      <c r="C241" s="27" t="inlineStr">
        <is>
          <t>mg/L</t>
        </is>
      </c>
      <c r="D241" s="39" t="inlineStr">
        <is>
          <t>合成資料，非實測；method=lab</t>
        </is>
      </c>
      <c r="E241" s="29">
        <f>IF(OR(I241="",I241=0),"",IF(INDEX(Samples[監測點],I241)="","",INDEX(Samples[監測點],I241)))</f>
        <v/>
      </c>
      <c r="F241" s="90">
        <f>IF(OR(I241="",I241=0),"",IF(INDEX(Samples[採樣日期],I241)="","",INDEX(Samples[採樣日期],I241)))</f>
        <v/>
      </c>
      <c r="G241" s="91">
        <f>IF(OR(M241="",M241="NA",M241="N/A"),"",IF(OR(M241="ND",M241="N.D."),0,IFERROR(IF(OR(OR(ISNUMBER(SEARCH("%",O241)),ISNUMBER(SEARCH(" ",O241)),ISNUMBER(SEARCH(",",O241))),OR(SUBSTITUTE(SUBSTITUTE(SUBSTITUTE(SUBSTITUTE(SUBSTITUTE(SUBSTITUTE(SUBSTITUTE(SUBSTITUTE(SUBSTITUTE(SUBSTITUTE(SUBSTITUTE(SUBSTITUTE(SUBSTITUTE(SUBSTITUTE(SUBSTITUTE(SUBSTITUTE(SUBSTITUTE(SUBSTITUTE("x"&amp;M241,"0",""),"1",""),"2",""),"3",""),"4",""),"5",""),"6",""),"7",""),"8",""),"9",""),".",""),"E",""),"+",""),"-",""),"&lt;",""),"&gt;",""),"=","")," ","")&lt;&gt;"x",ISNUMBER(SEARCH("-",SUBSTITUTE(SUBSTITUTE("x"&amp;MID(M241,2,99),"E-","E"),"E+","E"))),ISNUMBER(SEARCH("+",SUBSTITUTE(SUBSTITUTE("x"&amp;MID(M241,2,99),"E-","E"),"E+","E"))))),"",IF(AND(OR(LEFT(M241,1)="&lt;",LEFT(M241,1)="&gt;"),IF(O241="",0,IF(ISNUMBER(AH241),AH241,NA()))&lt;0),"",IF(O241="",0,IF(ISNUMBER(AH241),AH241,NA()))/IF(LEFT(M241,1)="&lt;",2,1))),"")))</f>
        <v/>
      </c>
      <c r="H241" s="57" t="inlineStr">
        <is>
          <t>BH05-W_20260415_03</t>
        </is>
      </c>
      <c r="I241" s="92">
        <f>IF(OR(H241="",AI241=0),0,IF(INDEX(Samples[樣品重複筆數],AI241)=1,AI241,0))</f>
        <v/>
      </c>
      <c r="J241" s="92">
        <f>IF(OR(COUNTA($A241:$D241)=0,I241=0),"",IF(INDEX(Samples[介質],I241)="","",INDEX(Samples[介質],I241)))</f>
        <v/>
      </c>
      <c r="K241" s="92">
        <f>IF(OR(COUNTA($A241:$D241)=0,T241=0),"",IF(INDEX(DB_04[標準單位],T241)="","",INDEX(DB_04[標準單位],T241)))</f>
        <v/>
      </c>
      <c r="L241" s="92">
        <f>IF(COUNTA($A241:$D241)=0,"",IF(OR(C241="",K241=""),"",IF(C241=K241,1,IF(COUNTIFS(DB_06[換算鍵],C241&amp;"|"&amp;K241,DB_06[換算檢查],"OK")=1,INDEX(DB_06[乘數],MATCH(C241&amp;"|"&amp;K241,DB_06[換算鍵],0)),""))))</f>
        <v/>
      </c>
      <c r="M241" s="92">
        <f>UPPER(SUBSTITUTE(SUBSTITUTE(SUBSTITUTE(SUBSTITUTE(TRIM(B241&amp;""),"＜","&lt;"),"＞","&gt;"),"≤","&lt;="),"≥","&gt;="))</f>
        <v/>
      </c>
      <c r="N241" s="92">
        <f>IF(M241="","",IF(OR(M241="ND",M241="N.D."),"ND",IF(OR(M241="NA",M241="N/A",M241="N.A."),"NA",IF(OR(LEFT(M241,2)="&lt;=",LEFT(M241,2)="&gt;="),LEFT(M241,2),IF(OR(LEFT(M241,1)="&lt;",LEFT(M241,1)="&gt;"),LEFT(M241,1),"數值")))))</f>
        <v/>
      </c>
      <c r="O241" s="92">
        <f>IF(OR(N241="",N241="ND",N241="NA"),"",IF(N241="數值",M241,TRIM(MID(M241,LEN(N241)+1,99))))</f>
        <v/>
      </c>
      <c r="P241" s="92">
        <f>IF(O241="","",IFERROR(IF(OR(OR(ISNUMBER(SEARCH("%",O241)),ISNUMBER(SEARCH(" ",O241)),ISNUMBER(SEARCH(",",O241))),OR(SUBSTITUTE(SUBSTITUTE(SUBSTITUTE(SUBSTITUTE(SUBSTITUTE(SUBSTITUTE(SUBSTITUTE(SUBSTITUTE(SUBSTITUTE(SUBSTITUTE(SUBSTITUTE(SUBSTITUTE(SUBSTITUTE(SUBSTITUTE(SUBSTITUTE(SUBSTITUTE(SUBSTITUTE(SUBSTITUTE("x"&amp;O241,"0",""),"1",""),"2",""),"3",""),"4",""),"5",""),"6",""),"7",""),"8",""),"9",""),".",""),"E",""),"+",""),"-",""),"&lt;",""),"&gt;",""),"=","")," ","")&lt;&gt;"x",ISNUMBER(SEARCH("-",SUBSTITUTE(SUBSTITUTE("x"&amp;MID(O241,2,99),"E-","E"),"E+","E"))),ISNUMBER(SEARCH("+",SUBSTITUTE(SUBSTITUTE("x"&amp;MID(O241,2,99),"E-","E"),"E+","E"))))),"",IF(ISNUMBER(AH241),AH241,NA())),""))</f>
        <v/>
      </c>
      <c r="Q241" s="92">
        <f>IF(AND(ISNUMBER(L241),ISNUMBER(P241)),L241*P241,"")</f>
        <v/>
      </c>
      <c r="R241" s="92">
        <f>IF(OR(COUNTA($A241:$D241)=0,U241=0),"",IF(INDEX(DB_05[管制設定值],U241)="","",INDEX(DB_05[管制設定值],U241)))</f>
        <v/>
      </c>
      <c r="S241" s="92">
        <f>IF(OR(COUNTA($A241:$D241)=0,U241=0),"",IF(INDEX(DB_05[監測設定值],U241)="","",INDEX(DB_05[監測設定值],U241)))</f>
        <v/>
      </c>
      <c r="T241" s="92">
        <f>IF(COUNTA($A241:$D241)=0,"",IF(COUNTIFS(DB_04[測項鍵],V241)=1,MATCH(V241,DB_04[測項鍵],0),0))</f>
        <v/>
      </c>
      <c r="U241" s="92">
        <f>IF(COUNTA($A241:$D241)=0,"",IF(COUNTIFS(DB_05[標準鍵],W241)=1,MATCH(W241,DB_05[標準鍵],0),0))</f>
        <v/>
      </c>
      <c r="V241" s="92">
        <f>IF(OR(J241="",A241=""),"",J241&amp;"|"&amp;A241)</f>
        <v/>
      </c>
      <c r="W241" s="92">
        <f>IF(OR('07_QAQC'!$C$3="",V241=""),"",'07_QAQC'!$C$3&amp;"|"&amp;V241)</f>
        <v/>
      </c>
      <c r="X241" s="92">
        <f>IF(OR(H241="",A241=""),"",LEN(H241)&amp;":"&amp;H241&amp;LEN(A241)&amp;":"&amp;A241)</f>
        <v/>
      </c>
      <c r="Y241" s="93">
        <f>IF(COUNTA($A241:$D241)=0,"",IF(I241=0,"樣品未建或重複",IF(INDEX(Samples[樣品檢查],I241)="","OK",INDEX(Samples[樣品檢查],I241))))</f>
        <v/>
      </c>
      <c r="Z241" s="93">
        <f>IF(COUNTA($A241:$D241)=0,"",IF(B241="","缺原始值",IF(OR(B241="-",B241="--"),"無資料",IF(N241="NA","不適用",IF(N241="ND","OK",IF(NOT(ISNUMBER(P241)),"格式待核",IF(AND(N241&lt;&gt;"數值",P241&lt;0),"界限不得為負","OK")))))))</f>
        <v/>
      </c>
      <c r="AA241" s="93">
        <f>IF(COUNTA(A241:D241)=0,"",IF(OR(A241="",H241=""),"缺識別欄位",IF(IF(LEN("="&amp;SUBSTITUTE(SUBSTITUTE(SUBSTITUTE(X241,"~","~~"),"*","~*"),"?","~?"))&lt;=255,COUNTIF(Results[結果識別鍵],"="&amp;SUBSTITUTE(SUBSTITUTE(SUBSTITUTE(X241,"~","~~"),"*","~*"),"?","~?")),COUNTIFS(Results[關聯鍵],"="&amp;SUBSTITUTE(SUBSTITUTE(SUBSTITUTE(H241,"~","~~"),"*","~*"),"?","~?"),Results[分析項目],"="&amp;SUBSTITUTE(SUBSTITUTE(SUBSTITUTE(A241,"~","~~"),"*","~*"),"?","~?")))&gt;1,"同關聯鍵測項重複","OK")))</f>
        <v/>
      </c>
      <c r="AB241" s="93">
        <f>IF(COUNTA($A241:$D241)=0,"",IF(OR(C241="",K241=""),"缺單位",IF(NOT(ISNUMBER(L241)),"單位不相容",IF(L241=1,"OK","已換算"))))</f>
        <v/>
      </c>
      <c r="AC241" s="93">
        <f>IF(COUNTA($A241:$D241)=0,"",IF('07_QAQC'!$C$3="","未選比較版本",IF(U241=0,IF(COUNTIFS(DB_05[標準鍵],W241)&gt;1,"標準鍵重複","未訂此介質／測項門檻"),IF(INDEX(DB_05[版本檢查],U241)&lt;&gt;"OK","標準主檔待核",IF(INDEX(DB_05[標準單位],U241)&lt;&gt;K241,"標準單位不符",IF(INDEX(DB_05[核對狀態],U241)="停用","停用",IF(F241="","缺採樣日期",IF(OR(AND(INDEX(DB_05[生效日],U241)&lt;&gt;"",F241&lt;INDEX(DB_05[生效日],U241)),AND(INDEX(DB_05[失效日],U241)&lt;&gt;"",F241&gt;INDEX(DB_05[失效日],U241))),"日期不適用",INDEX(DB_05[核對狀態],U241)))))))))</f>
        <v/>
      </c>
      <c r="AD241" s="93">
        <f>IF(COUNTA($A241:$D241)=0,"",IF(AC241="未訂此介質／測項門檻",AC241,IF(AC241&lt;&gt;"已核對","標準待核",IF(R241="","未訂管制值",IF(NOT(ISNUMBER(L241)),"單位待核",IF(N241="ND","無法判定（ND無界限）",IF(N241="NA","不適用",IF(Z241&lt;&gt;"OK",Z241,IF(N241="數值",IF(Q241&gt;=R241,"達管制值","未達管制值"),IF(OR(N241="&lt;",N241="&lt;="),IF(OR(Q241&lt;R241,AND(N241="&lt;",Q241=R241)),"未達管制值","無法判定"),IF(OR(N241="&gt;",N241="&gt;="),IF(Q241&gt;=R241,"達管制值","無法判定"),"格式待核")))))))))))</f>
        <v/>
      </c>
      <c r="AE241" s="93">
        <f>IF(COUNTA($A241:$D241)=0,"",IF(AC241="未訂此介質／測項門檻",AC241,IF(AC241&lt;&gt;"已核對","標準待核",IF(S241="","未訂監測值",IF(NOT(ISNUMBER(L241)),"單位待核",IF(N241="ND","無法判定（ND無界限）",IF(N241="NA","不適用",IF(Z241&lt;&gt;"OK",Z241,IF(N241="數值",IF(Q241&gt;=S241,"達監測值","未達監測值"),IF(OR(N241="&lt;",N241="&lt;="),IF(OR(Q241&lt;S241,AND(N241="&lt;",Q241=S241)),"未達監測值","無法判定"),IF(OR(N241="&gt;",N241="&gt;="),IF(Q241&gt;=S241,"達監測值","無法判定"),"格式待核")))))))))))</f>
        <v/>
      </c>
      <c r="AF241" s="93">
        <f>IF(COUNTA($A241:$D241)=0,"",IF(OR(E241="",A241="",B241="",C241=""),"缺必要欄位",IF(Y241&lt;&gt;"OK","樣品資料待補",IF(T241=0,"測項未建或重複",IF(INDEX(DB_04[啟用],T241)&lt;&gt;"是","測項停用",IF(AND(Z241&lt;&gt;"OK",Z241&lt;&gt;"不適用"),Z241,IF(AND(AB241&lt;&gt;"OK",AB241&lt;&gt;"已換算"),"單位待核",IF(AA241&lt;&gt;"OK",AA241,"OK"))))))))</f>
        <v/>
      </c>
      <c r="AG241" s="93">
        <f>IF(COUNTA($A241:$D241)=0,"",IF(N241="ND","ND取0",IF(OR(N241="&lt;",N241="&lt;="),"界限除以2",IF(N241="NA","不適用",IF(OR(N241="&gt;",N241="&gt;="),"保留界限數值","保留原數值")))))</f>
        <v/>
      </c>
      <c r="AH241" s="92">
        <f>IF(O241="","",IFERROR(_xlfn.NUMBERVALUE(O241,".",","),""))</f>
        <v/>
      </c>
      <c r="AI241" s="92">
        <f>IF(H241="","",IFERROR(MATCH(H241,Samples[樣品編號],0),0))</f>
        <v/>
      </c>
    </row>
    <row r="242">
      <c r="A242" s="27" t="inlineStr">
        <is>
          <t>鋅</t>
        </is>
      </c>
      <c r="B242" s="28" t="inlineStr">
        <is>
          <t>144</t>
        </is>
      </c>
      <c r="C242" s="27" t="inlineStr">
        <is>
          <t>mg/kg</t>
        </is>
      </c>
      <c r="D242" s="39" t="inlineStr">
        <is>
          <t>合成資料，非實測；method=XRF; basis=dry</t>
        </is>
      </c>
      <c r="E242" s="29">
        <f>IF(OR(I242="",I242=0),"",IF(INDEX(Samples[監測點],I242)="","",INDEX(Samples[監測點],I242)))</f>
        <v/>
      </c>
      <c r="F242" s="90">
        <f>IF(OR(I242="",I242=0),"",IF(INDEX(Samples[採樣日期],I242)="","",INDEX(Samples[採樣日期],I242)))</f>
        <v/>
      </c>
      <c r="G242" s="91">
        <f>IF(OR(M242="",M242="NA",M242="N/A"),"",IF(OR(M242="ND",M242="N.D."),0,IFERROR(IF(OR(OR(ISNUMBER(SEARCH("%",O242)),ISNUMBER(SEARCH(" ",O242)),ISNUMBER(SEARCH(",",O242))),OR(SUBSTITUTE(SUBSTITUTE(SUBSTITUTE(SUBSTITUTE(SUBSTITUTE(SUBSTITUTE(SUBSTITUTE(SUBSTITUTE(SUBSTITUTE(SUBSTITUTE(SUBSTITUTE(SUBSTITUTE(SUBSTITUTE(SUBSTITUTE(SUBSTITUTE(SUBSTITUTE(SUBSTITUTE(SUBSTITUTE("x"&amp;M242,"0",""),"1",""),"2",""),"3",""),"4",""),"5",""),"6",""),"7",""),"8",""),"9",""),".",""),"E",""),"+",""),"-",""),"&lt;",""),"&gt;",""),"=","")," ","")&lt;&gt;"x",ISNUMBER(SEARCH("-",SUBSTITUTE(SUBSTITUTE("x"&amp;MID(M242,2,99),"E-","E"),"E+","E"))),ISNUMBER(SEARCH("+",SUBSTITUTE(SUBSTITUTE("x"&amp;MID(M242,2,99),"E-","E"),"E+","E"))))),"",IF(AND(OR(LEFT(M242,1)="&lt;",LEFT(M242,1)="&gt;"),IF(O242="",0,IF(ISNUMBER(AH242),AH242,NA()))&lt;0),"",IF(O242="",0,IF(ISNUMBER(AH242),AH242,NA()))/IF(LEFT(M242,1)="&lt;",2,1))),"")))</f>
        <v/>
      </c>
      <c r="H242" s="57" t="inlineStr">
        <is>
          <t>BH06-S_20260115_01</t>
        </is>
      </c>
      <c r="I242" s="92">
        <f>IF(OR(H242="",AI242=0),0,IF(INDEX(Samples[樣品重複筆數],AI242)=1,AI242,0))</f>
        <v/>
      </c>
      <c r="J242" s="92">
        <f>IF(OR(COUNTA($A242:$D242)=0,I242=0),"",IF(INDEX(Samples[介質],I242)="","",INDEX(Samples[介質],I242)))</f>
        <v/>
      </c>
      <c r="K242" s="92">
        <f>IF(OR(COUNTA($A242:$D242)=0,T242=0),"",IF(INDEX(DB_04[標準單位],T242)="","",INDEX(DB_04[標準單位],T242)))</f>
        <v/>
      </c>
      <c r="L242" s="92">
        <f>IF(COUNTA($A242:$D242)=0,"",IF(OR(C242="",K242=""),"",IF(C242=K242,1,IF(COUNTIFS(DB_06[換算鍵],C242&amp;"|"&amp;K242,DB_06[換算檢查],"OK")=1,INDEX(DB_06[乘數],MATCH(C242&amp;"|"&amp;K242,DB_06[換算鍵],0)),""))))</f>
        <v/>
      </c>
      <c r="M242" s="92">
        <f>UPPER(SUBSTITUTE(SUBSTITUTE(SUBSTITUTE(SUBSTITUTE(TRIM(B242&amp;""),"＜","&lt;"),"＞","&gt;"),"≤","&lt;="),"≥","&gt;="))</f>
        <v/>
      </c>
      <c r="N242" s="92">
        <f>IF(M242="","",IF(OR(M242="ND",M242="N.D."),"ND",IF(OR(M242="NA",M242="N/A",M242="N.A."),"NA",IF(OR(LEFT(M242,2)="&lt;=",LEFT(M242,2)="&gt;="),LEFT(M242,2),IF(OR(LEFT(M242,1)="&lt;",LEFT(M242,1)="&gt;"),LEFT(M242,1),"數值")))))</f>
        <v/>
      </c>
      <c r="O242" s="92">
        <f>IF(OR(N242="",N242="ND",N242="NA"),"",IF(N242="數值",M242,TRIM(MID(M242,LEN(N242)+1,99))))</f>
        <v/>
      </c>
      <c r="P242" s="92">
        <f>IF(O242="","",IFERROR(IF(OR(OR(ISNUMBER(SEARCH("%",O242)),ISNUMBER(SEARCH(" ",O242)),ISNUMBER(SEARCH(",",O242))),OR(SUBSTITUTE(SUBSTITUTE(SUBSTITUTE(SUBSTITUTE(SUBSTITUTE(SUBSTITUTE(SUBSTITUTE(SUBSTITUTE(SUBSTITUTE(SUBSTITUTE(SUBSTITUTE(SUBSTITUTE(SUBSTITUTE(SUBSTITUTE(SUBSTITUTE(SUBSTITUTE(SUBSTITUTE(SUBSTITUTE("x"&amp;O242,"0",""),"1",""),"2",""),"3",""),"4",""),"5",""),"6",""),"7",""),"8",""),"9",""),".",""),"E",""),"+",""),"-",""),"&lt;",""),"&gt;",""),"=","")," ","")&lt;&gt;"x",ISNUMBER(SEARCH("-",SUBSTITUTE(SUBSTITUTE("x"&amp;MID(O242,2,99),"E-","E"),"E+","E"))),ISNUMBER(SEARCH("+",SUBSTITUTE(SUBSTITUTE("x"&amp;MID(O242,2,99),"E-","E"),"E+","E"))))),"",IF(ISNUMBER(AH242),AH242,NA())),""))</f>
        <v/>
      </c>
      <c r="Q242" s="92">
        <f>IF(AND(ISNUMBER(L242),ISNUMBER(P242)),L242*P242,"")</f>
        <v/>
      </c>
      <c r="R242" s="92">
        <f>IF(OR(COUNTA($A242:$D242)=0,U242=0),"",IF(INDEX(DB_05[管制設定值],U242)="","",INDEX(DB_05[管制設定值],U242)))</f>
        <v/>
      </c>
      <c r="S242" s="92">
        <f>IF(OR(COUNTA($A242:$D242)=0,U242=0),"",IF(INDEX(DB_05[監測設定值],U242)="","",INDEX(DB_05[監測設定值],U242)))</f>
        <v/>
      </c>
      <c r="T242" s="92">
        <f>IF(COUNTA($A242:$D242)=0,"",IF(COUNTIFS(DB_04[測項鍵],V242)=1,MATCH(V242,DB_04[測項鍵],0),0))</f>
        <v/>
      </c>
      <c r="U242" s="92">
        <f>IF(COUNTA($A242:$D242)=0,"",IF(COUNTIFS(DB_05[標準鍵],W242)=1,MATCH(W242,DB_05[標準鍵],0),0))</f>
        <v/>
      </c>
      <c r="V242" s="92">
        <f>IF(OR(J242="",A242=""),"",J242&amp;"|"&amp;A242)</f>
        <v/>
      </c>
      <c r="W242" s="92">
        <f>IF(OR('07_QAQC'!$C$3="",V242=""),"",'07_QAQC'!$C$3&amp;"|"&amp;V242)</f>
        <v/>
      </c>
      <c r="X242" s="92">
        <f>IF(OR(H242="",A242=""),"",LEN(H242)&amp;":"&amp;H242&amp;LEN(A242)&amp;":"&amp;A242)</f>
        <v/>
      </c>
      <c r="Y242" s="93">
        <f>IF(COUNTA($A242:$D242)=0,"",IF(I242=0,"樣品未建或重複",IF(INDEX(Samples[樣品檢查],I242)="","OK",INDEX(Samples[樣品檢查],I242))))</f>
        <v/>
      </c>
      <c r="Z242" s="93">
        <f>IF(COUNTA($A242:$D242)=0,"",IF(B242="","缺原始值",IF(OR(B242="-",B242="--"),"無資料",IF(N242="NA","不適用",IF(N242="ND","OK",IF(NOT(ISNUMBER(P242)),"格式待核",IF(AND(N242&lt;&gt;"數值",P242&lt;0),"界限不得為負","OK")))))))</f>
        <v/>
      </c>
      <c r="AA242" s="93">
        <f>IF(COUNTA(A242:D242)=0,"",IF(OR(A242="",H242=""),"缺識別欄位",IF(IF(LEN("="&amp;SUBSTITUTE(SUBSTITUTE(SUBSTITUTE(X242,"~","~~"),"*","~*"),"?","~?"))&lt;=255,COUNTIF(Results[結果識別鍵],"="&amp;SUBSTITUTE(SUBSTITUTE(SUBSTITUTE(X242,"~","~~"),"*","~*"),"?","~?")),COUNTIFS(Results[關聯鍵],"="&amp;SUBSTITUTE(SUBSTITUTE(SUBSTITUTE(H242,"~","~~"),"*","~*"),"?","~?"),Results[分析項目],"="&amp;SUBSTITUTE(SUBSTITUTE(SUBSTITUTE(A242,"~","~~"),"*","~*"),"?","~?")))&gt;1,"同關聯鍵測項重複","OK")))</f>
        <v/>
      </c>
      <c r="AB242" s="93">
        <f>IF(COUNTA($A242:$D242)=0,"",IF(OR(C242="",K242=""),"缺單位",IF(NOT(ISNUMBER(L242)),"單位不相容",IF(L242=1,"OK","已換算"))))</f>
        <v/>
      </c>
      <c r="AC242" s="93">
        <f>IF(COUNTA($A242:$D242)=0,"",IF('07_QAQC'!$C$3="","未選比較版本",IF(U242=0,IF(COUNTIFS(DB_05[標準鍵],W242)&gt;1,"標準鍵重複","未訂此介質／測項門檻"),IF(INDEX(DB_05[版本檢查],U242)&lt;&gt;"OK","標準主檔待核",IF(INDEX(DB_05[標準單位],U242)&lt;&gt;K242,"標準單位不符",IF(INDEX(DB_05[核對狀態],U242)="停用","停用",IF(F242="","缺採樣日期",IF(OR(AND(INDEX(DB_05[生效日],U242)&lt;&gt;"",F242&lt;INDEX(DB_05[生效日],U242)),AND(INDEX(DB_05[失效日],U242)&lt;&gt;"",F242&gt;INDEX(DB_05[失效日],U242))),"日期不適用",INDEX(DB_05[核對狀態],U242)))))))))</f>
        <v/>
      </c>
      <c r="AD242" s="93">
        <f>IF(COUNTA($A242:$D242)=0,"",IF(AC242="未訂此介質／測項門檻",AC242,IF(AC242&lt;&gt;"已核對","標準待核",IF(R242="","未訂管制值",IF(NOT(ISNUMBER(L242)),"單位待核",IF(N242="ND","無法判定（ND無界限）",IF(N242="NA","不適用",IF(Z242&lt;&gt;"OK",Z242,IF(N242="數值",IF(Q242&gt;=R242,"達管制值","未達管制值"),IF(OR(N242="&lt;",N242="&lt;="),IF(OR(Q242&lt;R242,AND(N242="&lt;",Q242=R242)),"未達管制值","無法判定"),IF(OR(N242="&gt;",N242="&gt;="),IF(Q242&gt;=R242,"達管制值","無法判定"),"格式待核")))))))))))</f>
        <v/>
      </c>
      <c r="AE242" s="93">
        <f>IF(COUNTA($A242:$D242)=0,"",IF(AC242="未訂此介質／測項門檻",AC242,IF(AC242&lt;&gt;"已核對","標準待核",IF(S242="","未訂監測值",IF(NOT(ISNUMBER(L242)),"單位待核",IF(N242="ND","無法判定（ND無界限）",IF(N242="NA","不適用",IF(Z242&lt;&gt;"OK",Z242,IF(N242="數值",IF(Q242&gt;=S242,"達監測值","未達監測值"),IF(OR(N242="&lt;",N242="&lt;="),IF(OR(Q242&lt;S242,AND(N242="&lt;",Q242=S242)),"未達監測值","無法判定"),IF(OR(N242="&gt;",N242="&gt;="),IF(Q242&gt;=S242,"達監測值","無法判定"),"格式待核")))))))))))</f>
        <v/>
      </c>
      <c r="AF242" s="93">
        <f>IF(COUNTA($A242:$D242)=0,"",IF(OR(E242="",A242="",B242="",C242=""),"缺必要欄位",IF(Y242&lt;&gt;"OK","樣品資料待補",IF(T242=0,"測項未建或重複",IF(INDEX(DB_04[啟用],T242)&lt;&gt;"是","測項停用",IF(AND(Z242&lt;&gt;"OK",Z242&lt;&gt;"不適用"),Z242,IF(AND(AB242&lt;&gt;"OK",AB242&lt;&gt;"已換算"),"單位待核",IF(AA242&lt;&gt;"OK",AA242,"OK"))))))))</f>
        <v/>
      </c>
      <c r="AG242" s="93">
        <f>IF(COUNTA($A242:$D242)=0,"",IF(N242="ND","ND取0",IF(OR(N242="&lt;",N242="&lt;="),"界限除以2",IF(N242="NA","不適用",IF(OR(N242="&gt;",N242="&gt;="),"保留界限數值","保留原數值")))))</f>
        <v/>
      </c>
      <c r="AH242" s="92">
        <f>IF(O242="","",IFERROR(_xlfn.NUMBERVALUE(O242,".",","),""))</f>
        <v/>
      </c>
      <c r="AI242" s="92">
        <f>IF(H242="","",IFERROR(MATCH(H242,Samples[樣品編號],0),0))</f>
        <v/>
      </c>
    </row>
    <row r="243">
      <c r="A243" s="27" t="inlineStr">
        <is>
          <t>總有機碳</t>
        </is>
      </c>
      <c r="B243" s="28" t="inlineStr">
        <is>
          <t>0.56</t>
        </is>
      </c>
      <c r="C243" s="27" t="inlineStr">
        <is>
          <t>%</t>
        </is>
      </c>
      <c r="D243" s="39" t="inlineStr">
        <is>
          <t>合成資料，非實測；method=lab; basis=dry</t>
        </is>
      </c>
      <c r="E243" s="29">
        <f>IF(OR(I243="",I243=0),"",IF(INDEX(Samples[監測點],I243)="","",INDEX(Samples[監測點],I243)))</f>
        <v/>
      </c>
      <c r="F243" s="90">
        <f>IF(OR(I243="",I243=0),"",IF(INDEX(Samples[採樣日期],I243)="","",INDEX(Samples[採樣日期],I243)))</f>
        <v/>
      </c>
      <c r="G243" s="91">
        <f>IF(OR(M243="",M243="NA",M243="N/A"),"",IF(OR(M243="ND",M243="N.D."),0,IFERROR(IF(OR(OR(ISNUMBER(SEARCH("%",O243)),ISNUMBER(SEARCH(" ",O243)),ISNUMBER(SEARCH(",",O243))),OR(SUBSTITUTE(SUBSTITUTE(SUBSTITUTE(SUBSTITUTE(SUBSTITUTE(SUBSTITUTE(SUBSTITUTE(SUBSTITUTE(SUBSTITUTE(SUBSTITUTE(SUBSTITUTE(SUBSTITUTE(SUBSTITUTE(SUBSTITUTE(SUBSTITUTE(SUBSTITUTE(SUBSTITUTE(SUBSTITUTE("x"&amp;M243,"0",""),"1",""),"2",""),"3",""),"4",""),"5",""),"6",""),"7",""),"8",""),"9",""),".",""),"E",""),"+",""),"-",""),"&lt;",""),"&gt;",""),"=","")," ","")&lt;&gt;"x",ISNUMBER(SEARCH("-",SUBSTITUTE(SUBSTITUTE("x"&amp;MID(M243,2,99),"E-","E"),"E+","E"))),ISNUMBER(SEARCH("+",SUBSTITUTE(SUBSTITUTE("x"&amp;MID(M243,2,99),"E-","E"),"E+","E"))))),"",IF(AND(OR(LEFT(M243,1)="&lt;",LEFT(M243,1)="&gt;"),IF(O243="",0,IF(ISNUMBER(AH243),AH243,NA()))&lt;0),"",IF(O243="",0,IF(ISNUMBER(AH243),AH243,NA()))/IF(LEFT(M243,1)="&lt;",2,1))),"")))</f>
        <v/>
      </c>
      <c r="H243" s="57" t="inlineStr">
        <is>
          <t>BH06-S_20260115_01</t>
        </is>
      </c>
      <c r="I243" s="92">
        <f>IF(OR(H243="",AI243=0),0,IF(INDEX(Samples[樣品重複筆數],AI243)=1,AI243,0))</f>
        <v/>
      </c>
      <c r="J243" s="92">
        <f>IF(OR(COUNTA($A243:$D243)=0,I243=0),"",IF(INDEX(Samples[介質],I243)="","",INDEX(Samples[介質],I243)))</f>
        <v/>
      </c>
      <c r="K243" s="92">
        <f>IF(OR(COUNTA($A243:$D243)=0,T243=0),"",IF(INDEX(DB_04[標準單位],T243)="","",INDEX(DB_04[標準單位],T243)))</f>
        <v/>
      </c>
      <c r="L243" s="92">
        <f>IF(COUNTA($A243:$D243)=0,"",IF(OR(C243="",K243=""),"",IF(C243=K243,1,IF(COUNTIFS(DB_06[換算鍵],C243&amp;"|"&amp;K243,DB_06[換算檢查],"OK")=1,INDEX(DB_06[乘數],MATCH(C243&amp;"|"&amp;K243,DB_06[換算鍵],0)),""))))</f>
        <v/>
      </c>
      <c r="M243" s="92">
        <f>UPPER(SUBSTITUTE(SUBSTITUTE(SUBSTITUTE(SUBSTITUTE(TRIM(B243&amp;""),"＜","&lt;"),"＞","&gt;"),"≤","&lt;="),"≥","&gt;="))</f>
        <v/>
      </c>
      <c r="N243" s="92">
        <f>IF(M243="","",IF(OR(M243="ND",M243="N.D."),"ND",IF(OR(M243="NA",M243="N/A",M243="N.A."),"NA",IF(OR(LEFT(M243,2)="&lt;=",LEFT(M243,2)="&gt;="),LEFT(M243,2),IF(OR(LEFT(M243,1)="&lt;",LEFT(M243,1)="&gt;"),LEFT(M243,1),"數值")))))</f>
        <v/>
      </c>
      <c r="O243" s="92">
        <f>IF(OR(N243="",N243="ND",N243="NA"),"",IF(N243="數值",M243,TRIM(MID(M243,LEN(N243)+1,99))))</f>
        <v/>
      </c>
      <c r="P243" s="92">
        <f>IF(O243="","",IFERROR(IF(OR(OR(ISNUMBER(SEARCH("%",O243)),ISNUMBER(SEARCH(" ",O243)),ISNUMBER(SEARCH(",",O243))),OR(SUBSTITUTE(SUBSTITUTE(SUBSTITUTE(SUBSTITUTE(SUBSTITUTE(SUBSTITUTE(SUBSTITUTE(SUBSTITUTE(SUBSTITUTE(SUBSTITUTE(SUBSTITUTE(SUBSTITUTE(SUBSTITUTE(SUBSTITUTE(SUBSTITUTE(SUBSTITUTE(SUBSTITUTE(SUBSTITUTE("x"&amp;O243,"0",""),"1",""),"2",""),"3",""),"4",""),"5",""),"6",""),"7",""),"8",""),"9",""),".",""),"E",""),"+",""),"-",""),"&lt;",""),"&gt;",""),"=","")," ","")&lt;&gt;"x",ISNUMBER(SEARCH("-",SUBSTITUTE(SUBSTITUTE("x"&amp;MID(O243,2,99),"E-","E"),"E+","E"))),ISNUMBER(SEARCH("+",SUBSTITUTE(SUBSTITUTE("x"&amp;MID(O243,2,99),"E-","E"),"E+","E"))))),"",IF(ISNUMBER(AH243),AH243,NA())),""))</f>
        <v/>
      </c>
      <c r="Q243" s="92">
        <f>IF(AND(ISNUMBER(L243),ISNUMBER(P243)),L243*P243,"")</f>
        <v/>
      </c>
      <c r="R243" s="92">
        <f>IF(OR(COUNTA($A243:$D243)=0,U243=0),"",IF(INDEX(DB_05[管制設定值],U243)="","",INDEX(DB_05[管制設定值],U243)))</f>
        <v/>
      </c>
      <c r="S243" s="92">
        <f>IF(OR(COUNTA($A243:$D243)=0,U243=0),"",IF(INDEX(DB_05[監測設定值],U243)="","",INDEX(DB_05[監測設定值],U243)))</f>
        <v/>
      </c>
      <c r="T243" s="92">
        <f>IF(COUNTA($A243:$D243)=0,"",IF(COUNTIFS(DB_04[測項鍵],V243)=1,MATCH(V243,DB_04[測項鍵],0),0))</f>
        <v/>
      </c>
      <c r="U243" s="92">
        <f>IF(COUNTA($A243:$D243)=0,"",IF(COUNTIFS(DB_05[標準鍵],W243)=1,MATCH(W243,DB_05[標準鍵],0),0))</f>
        <v/>
      </c>
      <c r="V243" s="92">
        <f>IF(OR(J243="",A243=""),"",J243&amp;"|"&amp;A243)</f>
        <v/>
      </c>
      <c r="W243" s="92">
        <f>IF(OR('07_QAQC'!$C$3="",V243=""),"",'07_QAQC'!$C$3&amp;"|"&amp;V243)</f>
        <v/>
      </c>
      <c r="X243" s="92">
        <f>IF(OR(H243="",A243=""),"",LEN(H243)&amp;":"&amp;H243&amp;LEN(A243)&amp;":"&amp;A243)</f>
        <v/>
      </c>
      <c r="Y243" s="93">
        <f>IF(COUNTA($A243:$D243)=0,"",IF(I243=0,"樣品未建或重複",IF(INDEX(Samples[樣品檢查],I243)="","OK",INDEX(Samples[樣品檢查],I243))))</f>
        <v/>
      </c>
      <c r="Z243" s="93">
        <f>IF(COUNTA($A243:$D243)=0,"",IF(B243="","缺原始值",IF(OR(B243="-",B243="--"),"無資料",IF(N243="NA","不適用",IF(N243="ND","OK",IF(NOT(ISNUMBER(P243)),"格式待核",IF(AND(N243&lt;&gt;"數值",P243&lt;0),"界限不得為負","OK")))))))</f>
        <v/>
      </c>
      <c r="AA243" s="93">
        <f>IF(COUNTA(A243:D243)=0,"",IF(OR(A243="",H243=""),"缺識別欄位",IF(IF(LEN("="&amp;SUBSTITUTE(SUBSTITUTE(SUBSTITUTE(X243,"~","~~"),"*","~*"),"?","~?"))&lt;=255,COUNTIF(Results[結果識別鍵],"="&amp;SUBSTITUTE(SUBSTITUTE(SUBSTITUTE(X243,"~","~~"),"*","~*"),"?","~?")),COUNTIFS(Results[關聯鍵],"="&amp;SUBSTITUTE(SUBSTITUTE(SUBSTITUTE(H243,"~","~~"),"*","~*"),"?","~?"),Results[分析項目],"="&amp;SUBSTITUTE(SUBSTITUTE(SUBSTITUTE(A243,"~","~~"),"*","~*"),"?","~?")))&gt;1,"同關聯鍵測項重複","OK")))</f>
        <v/>
      </c>
      <c r="AB243" s="93">
        <f>IF(COUNTA($A243:$D243)=0,"",IF(OR(C243="",K243=""),"缺單位",IF(NOT(ISNUMBER(L243)),"單位不相容",IF(L243=1,"OK","已換算"))))</f>
        <v/>
      </c>
      <c r="AC243" s="93">
        <f>IF(COUNTA($A243:$D243)=0,"",IF('07_QAQC'!$C$3="","未選比較版本",IF(U243=0,IF(COUNTIFS(DB_05[標準鍵],W243)&gt;1,"標準鍵重複","未訂此介質／測項門檻"),IF(INDEX(DB_05[版本檢查],U243)&lt;&gt;"OK","標準主檔待核",IF(INDEX(DB_05[標準單位],U243)&lt;&gt;K243,"標準單位不符",IF(INDEX(DB_05[核對狀態],U243)="停用","停用",IF(F243="","缺採樣日期",IF(OR(AND(INDEX(DB_05[生效日],U243)&lt;&gt;"",F243&lt;INDEX(DB_05[生效日],U243)),AND(INDEX(DB_05[失效日],U243)&lt;&gt;"",F243&gt;INDEX(DB_05[失效日],U243))),"日期不適用",INDEX(DB_05[核對狀態],U243)))))))))</f>
        <v/>
      </c>
      <c r="AD243" s="93">
        <f>IF(COUNTA($A243:$D243)=0,"",IF(AC243="未訂此介質／測項門檻",AC243,IF(AC243&lt;&gt;"已核對","標準待核",IF(R243="","未訂管制值",IF(NOT(ISNUMBER(L243)),"單位待核",IF(N243="ND","無法判定（ND無界限）",IF(N243="NA","不適用",IF(Z243&lt;&gt;"OK",Z243,IF(N243="數值",IF(Q243&gt;=R243,"達管制值","未達管制值"),IF(OR(N243="&lt;",N243="&lt;="),IF(OR(Q243&lt;R243,AND(N243="&lt;",Q243=R243)),"未達管制值","無法判定"),IF(OR(N243="&gt;",N243="&gt;="),IF(Q243&gt;=R243,"達管制值","無法判定"),"格式待核")))))))))))</f>
        <v/>
      </c>
      <c r="AE243" s="93">
        <f>IF(COUNTA($A243:$D243)=0,"",IF(AC243="未訂此介質／測項門檻",AC243,IF(AC243&lt;&gt;"已核對","標準待核",IF(S243="","未訂監測值",IF(NOT(ISNUMBER(L243)),"單位待核",IF(N243="ND","無法判定（ND無界限）",IF(N243="NA","不適用",IF(Z243&lt;&gt;"OK",Z243,IF(N243="數值",IF(Q243&gt;=S243,"達監測值","未達監測值"),IF(OR(N243="&lt;",N243="&lt;="),IF(OR(Q243&lt;S243,AND(N243="&lt;",Q243=S243)),"未達監測值","無法判定"),IF(OR(N243="&gt;",N243="&gt;="),IF(Q243&gt;=S243,"達監測值","無法判定"),"格式待核")))))))))))</f>
        <v/>
      </c>
      <c r="AF243" s="93">
        <f>IF(COUNTA($A243:$D243)=0,"",IF(OR(E243="",A243="",B243="",C243=""),"缺必要欄位",IF(Y243&lt;&gt;"OK","樣品資料待補",IF(T243=0,"測項未建或重複",IF(INDEX(DB_04[啟用],T243)&lt;&gt;"是","測項停用",IF(AND(Z243&lt;&gt;"OK",Z243&lt;&gt;"不適用"),Z243,IF(AND(AB243&lt;&gt;"OK",AB243&lt;&gt;"已換算"),"單位待核",IF(AA243&lt;&gt;"OK",AA243,"OK"))))))))</f>
        <v/>
      </c>
      <c r="AG243" s="93">
        <f>IF(COUNTA($A243:$D243)=0,"",IF(N243="ND","ND取0",IF(OR(N243="&lt;",N243="&lt;="),"界限除以2",IF(N243="NA","不適用",IF(OR(N243="&gt;",N243="&gt;="),"保留界限數值","保留原數值")))))</f>
        <v/>
      </c>
      <c r="AH243" s="92">
        <f>IF(O243="","",IFERROR(_xlfn.NUMBERVALUE(O243,".",","),""))</f>
        <v/>
      </c>
      <c r="AI243" s="92">
        <f>IF(H243="","",IFERROR(MATCH(H243,Samples[樣品編號],0),0))</f>
        <v/>
      </c>
    </row>
    <row r="244">
      <c r="A244" s="27" t="inlineStr">
        <is>
          <t>pH</t>
        </is>
      </c>
      <c r="B244" s="28" t="inlineStr">
        <is>
          <t>6.94</t>
        </is>
      </c>
      <c r="C244" s="27" t="inlineStr">
        <is>
          <t>無因次</t>
        </is>
      </c>
      <c r="D244" s="39" t="inlineStr">
        <is>
          <t>合成資料，非實測；method=field</t>
        </is>
      </c>
      <c r="E244" s="29">
        <f>IF(OR(I244="",I244=0),"",IF(INDEX(Samples[監測點],I244)="","",INDEX(Samples[監測點],I244)))</f>
        <v/>
      </c>
      <c r="F244" s="90">
        <f>IF(OR(I244="",I244=0),"",IF(INDEX(Samples[採樣日期],I244)="","",INDEX(Samples[採樣日期],I244)))</f>
        <v/>
      </c>
      <c r="G244" s="91">
        <f>IF(OR(M244="",M244="NA",M244="N/A"),"",IF(OR(M244="ND",M244="N.D."),0,IFERROR(IF(OR(OR(ISNUMBER(SEARCH("%",O244)),ISNUMBER(SEARCH(" ",O244)),ISNUMBER(SEARCH(",",O244))),OR(SUBSTITUTE(SUBSTITUTE(SUBSTITUTE(SUBSTITUTE(SUBSTITUTE(SUBSTITUTE(SUBSTITUTE(SUBSTITUTE(SUBSTITUTE(SUBSTITUTE(SUBSTITUTE(SUBSTITUTE(SUBSTITUTE(SUBSTITUTE(SUBSTITUTE(SUBSTITUTE(SUBSTITUTE(SUBSTITUTE("x"&amp;M244,"0",""),"1",""),"2",""),"3",""),"4",""),"5",""),"6",""),"7",""),"8",""),"9",""),".",""),"E",""),"+",""),"-",""),"&lt;",""),"&gt;",""),"=","")," ","")&lt;&gt;"x",ISNUMBER(SEARCH("-",SUBSTITUTE(SUBSTITUTE("x"&amp;MID(M244,2,99),"E-","E"),"E+","E"))),ISNUMBER(SEARCH("+",SUBSTITUTE(SUBSTITUTE("x"&amp;MID(M244,2,99),"E-","E"),"E+","E"))))),"",IF(AND(OR(LEFT(M244,1)="&lt;",LEFT(M244,1)="&gt;"),IF(O244="",0,IF(ISNUMBER(AH244),AH244,NA()))&lt;0),"",IF(O244="",0,IF(ISNUMBER(AH244),AH244,NA()))/IF(LEFT(M244,1)="&lt;",2,1))),"")))</f>
        <v/>
      </c>
      <c r="H244" s="57" t="inlineStr">
        <is>
          <t>BH06-W_20260115_01</t>
        </is>
      </c>
      <c r="I244" s="92">
        <f>IF(OR(H244="",AI244=0),0,IF(INDEX(Samples[樣品重複筆數],AI244)=1,AI244,0))</f>
        <v/>
      </c>
      <c r="J244" s="92">
        <f>IF(OR(COUNTA($A244:$D244)=0,I244=0),"",IF(INDEX(Samples[介質],I244)="","",INDEX(Samples[介質],I244)))</f>
        <v/>
      </c>
      <c r="K244" s="92">
        <f>IF(OR(COUNTA($A244:$D244)=0,T244=0),"",IF(INDEX(DB_04[標準單位],T244)="","",INDEX(DB_04[標準單位],T244)))</f>
        <v/>
      </c>
      <c r="L244" s="92">
        <f>IF(COUNTA($A244:$D244)=0,"",IF(OR(C244="",K244=""),"",IF(C244=K244,1,IF(COUNTIFS(DB_06[換算鍵],C244&amp;"|"&amp;K244,DB_06[換算檢查],"OK")=1,INDEX(DB_06[乘數],MATCH(C244&amp;"|"&amp;K244,DB_06[換算鍵],0)),""))))</f>
        <v/>
      </c>
      <c r="M244" s="92">
        <f>UPPER(SUBSTITUTE(SUBSTITUTE(SUBSTITUTE(SUBSTITUTE(TRIM(B244&amp;""),"＜","&lt;"),"＞","&gt;"),"≤","&lt;="),"≥","&gt;="))</f>
        <v/>
      </c>
      <c r="N244" s="92">
        <f>IF(M244="","",IF(OR(M244="ND",M244="N.D."),"ND",IF(OR(M244="NA",M244="N/A",M244="N.A."),"NA",IF(OR(LEFT(M244,2)="&lt;=",LEFT(M244,2)="&gt;="),LEFT(M244,2),IF(OR(LEFT(M244,1)="&lt;",LEFT(M244,1)="&gt;"),LEFT(M244,1),"數值")))))</f>
        <v/>
      </c>
      <c r="O244" s="92">
        <f>IF(OR(N244="",N244="ND",N244="NA"),"",IF(N244="數值",M244,TRIM(MID(M244,LEN(N244)+1,99))))</f>
        <v/>
      </c>
      <c r="P244" s="92">
        <f>IF(O244="","",IFERROR(IF(OR(OR(ISNUMBER(SEARCH("%",O244)),ISNUMBER(SEARCH(" ",O244)),ISNUMBER(SEARCH(",",O244))),OR(SUBSTITUTE(SUBSTITUTE(SUBSTITUTE(SUBSTITUTE(SUBSTITUTE(SUBSTITUTE(SUBSTITUTE(SUBSTITUTE(SUBSTITUTE(SUBSTITUTE(SUBSTITUTE(SUBSTITUTE(SUBSTITUTE(SUBSTITUTE(SUBSTITUTE(SUBSTITUTE(SUBSTITUTE(SUBSTITUTE("x"&amp;O244,"0",""),"1",""),"2",""),"3",""),"4",""),"5",""),"6",""),"7",""),"8",""),"9",""),".",""),"E",""),"+",""),"-",""),"&lt;",""),"&gt;",""),"=","")," ","")&lt;&gt;"x",ISNUMBER(SEARCH("-",SUBSTITUTE(SUBSTITUTE("x"&amp;MID(O244,2,99),"E-","E"),"E+","E"))),ISNUMBER(SEARCH("+",SUBSTITUTE(SUBSTITUTE("x"&amp;MID(O244,2,99),"E-","E"),"E+","E"))))),"",IF(ISNUMBER(AH244),AH244,NA())),""))</f>
        <v/>
      </c>
      <c r="Q244" s="92">
        <f>IF(AND(ISNUMBER(L244),ISNUMBER(P244)),L244*P244,"")</f>
        <v/>
      </c>
      <c r="R244" s="92">
        <f>IF(OR(COUNTA($A244:$D244)=0,U244=0),"",IF(INDEX(DB_05[管制設定值],U244)="","",INDEX(DB_05[管制設定值],U244)))</f>
        <v/>
      </c>
      <c r="S244" s="92">
        <f>IF(OR(COUNTA($A244:$D244)=0,U244=0),"",IF(INDEX(DB_05[監測設定值],U244)="","",INDEX(DB_05[監測設定值],U244)))</f>
        <v/>
      </c>
      <c r="T244" s="92">
        <f>IF(COUNTA($A244:$D244)=0,"",IF(COUNTIFS(DB_04[測項鍵],V244)=1,MATCH(V244,DB_04[測項鍵],0),0))</f>
        <v/>
      </c>
      <c r="U244" s="92">
        <f>IF(COUNTA($A244:$D244)=0,"",IF(COUNTIFS(DB_05[標準鍵],W244)=1,MATCH(W244,DB_05[標準鍵],0),0))</f>
        <v/>
      </c>
      <c r="V244" s="92">
        <f>IF(OR(J244="",A244=""),"",J244&amp;"|"&amp;A244)</f>
        <v/>
      </c>
      <c r="W244" s="92">
        <f>IF(OR('07_QAQC'!$C$3="",V244=""),"",'07_QAQC'!$C$3&amp;"|"&amp;V244)</f>
        <v/>
      </c>
      <c r="X244" s="92">
        <f>IF(OR(H244="",A244=""),"",LEN(H244)&amp;":"&amp;H244&amp;LEN(A244)&amp;":"&amp;A244)</f>
        <v/>
      </c>
      <c r="Y244" s="93">
        <f>IF(COUNTA($A244:$D244)=0,"",IF(I244=0,"樣品未建或重複",IF(INDEX(Samples[樣品檢查],I244)="","OK",INDEX(Samples[樣品檢查],I244))))</f>
        <v/>
      </c>
      <c r="Z244" s="93">
        <f>IF(COUNTA($A244:$D244)=0,"",IF(B244="","缺原始值",IF(OR(B244="-",B244="--"),"無資料",IF(N244="NA","不適用",IF(N244="ND","OK",IF(NOT(ISNUMBER(P244)),"格式待核",IF(AND(N244&lt;&gt;"數值",P244&lt;0),"界限不得為負","OK")))))))</f>
        <v/>
      </c>
      <c r="AA244" s="93">
        <f>IF(COUNTA(A244:D244)=0,"",IF(OR(A244="",H244=""),"缺識別欄位",IF(IF(LEN("="&amp;SUBSTITUTE(SUBSTITUTE(SUBSTITUTE(X244,"~","~~"),"*","~*"),"?","~?"))&lt;=255,COUNTIF(Results[結果識別鍵],"="&amp;SUBSTITUTE(SUBSTITUTE(SUBSTITUTE(X244,"~","~~"),"*","~*"),"?","~?")),COUNTIFS(Results[關聯鍵],"="&amp;SUBSTITUTE(SUBSTITUTE(SUBSTITUTE(H244,"~","~~"),"*","~*"),"?","~?"),Results[分析項目],"="&amp;SUBSTITUTE(SUBSTITUTE(SUBSTITUTE(A244,"~","~~"),"*","~*"),"?","~?")))&gt;1,"同關聯鍵測項重複","OK")))</f>
        <v/>
      </c>
      <c r="AB244" s="93">
        <f>IF(COUNTA($A244:$D244)=0,"",IF(OR(C244="",K244=""),"缺單位",IF(NOT(ISNUMBER(L244)),"單位不相容",IF(L244=1,"OK","已換算"))))</f>
        <v/>
      </c>
      <c r="AC244" s="93">
        <f>IF(COUNTA($A244:$D244)=0,"",IF('07_QAQC'!$C$3="","未選比較版本",IF(U244=0,IF(COUNTIFS(DB_05[標準鍵],W244)&gt;1,"標準鍵重複","未訂此介質／測項門檻"),IF(INDEX(DB_05[版本檢查],U244)&lt;&gt;"OK","標準主檔待核",IF(INDEX(DB_05[標準單位],U244)&lt;&gt;K244,"標準單位不符",IF(INDEX(DB_05[核對狀態],U244)="停用","停用",IF(F244="","缺採樣日期",IF(OR(AND(INDEX(DB_05[生效日],U244)&lt;&gt;"",F244&lt;INDEX(DB_05[生效日],U244)),AND(INDEX(DB_05[失效日],U244)&lt;&gt;"",F244&gt;INDEX(DB_05[失效日],U244))),"日期不適用",INDEX(DB_05[核對狀態],U244)))))))))</f>
        <v/>
      </c>
      <c r="AD244" s="93">
        <f>IF(COUNTA($A244:$D244)=0,"",IF(AC244="未訂此介質／測項門檻",AC244,IF(AC244&lt;&gt;"已核對","標準待核",IF(R244="","未訂管制值",IF(NOT(ISNUMBER(L244)),"單位待核",IF(N244="ND","無法判定（ND無界限）",IF(N244="NA","不適用",IF(Z244&lt;&gt;"OK",Z244,IF(N244="數值",IF(Q244&gt;=R244,"達管制值","未達管制值"),IF(OR(N244="&lt;",N244="&lt;="),IF(OR(Q244&lt;R244,AND(N244="&lt;",Q244=R244)),"未達管制值","無法判定"),IF(OR(N244="&gt;",N244="&gt;="),IF(Q244&gt;=R244,"達管制值","無法判定"),"格式待核")))))))))))</f>
        <v/>
      </c>
      <c r="AE244" s="93">
        <f>IF(COUNTA($A244:$D244)=0,"",IF(AC244="未訂此介質／測項門檻",AC244,IF(AC244&lt;&gt;"已核對","標準待核",IF(S244="","未訂監測值",IF(NOT(ISNUMBER(L244)),"單位待核",IF(N244="ND","無法判定（ND無界限）",IF(N244="NA","不適用",IF(Z244&lt;&gt;"OK",Z244,IF(N244="數值",IF(Q244&gt;=S244,"達監測值","未達監測值"),IF(OR(N244="&lt;",N244="&lt;="),IF(OR(Q244&lt;S244,AND(N244="&lt;",Q244=S244)),"未達監測值","無法判定"),IF(OR(N244="&gt;",N244="&gt;="),IF(Q244&gt;=S244,"達監測值","無法判定"),"格式待核")))))))))))</f>
        <v/>
      </c>
      <c r="AF244" s="93">
        <f>IF(COUNTA($A244:$D244)=0,"",IF(OR(E244="",A244="",B244="",C244=""),"缺必要欄位",IF(Y244&lt;&gt;"OK","樣品資料待補",IF(T244=0,"測項未建或重複",IF(INDEX(DB_04[啟用],T244)&lt;&gt;"是","測項停用",IF(AND(Z244&lt;&gt;"OK",Z244&lt;&gt;"不適用"),Z244,IF(AND(AB244&lt;&gt;"OK",AB244&lt;&gt;"已換算"),"單位待核",IF(AA244&lt;&gt;"OK",AA244,"OK"))))))))</f>
        <v/>
      </c>
      <c r="AG244" s="93">
        <f>IF(COUNTA($A244:$D244)=0,"",IF(N244="ND","ND取0",IF(OR(N244="&lt;",N244="&lt;="),"界限除以2",IF(N244="NA","不適用",IF(OR(N244="&gt;",N244="&gt;="),"保留界限數值","保留原數值")))))</f>
        <v/>
      </c>
      <c r="AH244" s="92">
        <f>IF(O244="","",IFERROR(_xlfn.NUMBERVALUE(O244,".",","),""))</f>
        <v/>
      </c>
      <c r="AI244" s="92">
        <f>IF(H244="","",IFERROR(MATCH(H244,Samples[樣品編號],0),0))</f>
        <v/>
      </c>
    </row>
    <row r="245">
      <c r="A245" s="27" t="inlineStr">
        <is>
          <t>EC</t>
        </is>
      </c>
      <c r="B245" s="28" t="inlineStr">
        <is>
          <t>0.58</t>
        </is>
      </c>
      <c r="C245" s="27" t="inlineStr">
        <is>
          <t>mS/cm</t>
        </is>
      </c>
      <c r="D245" s="39" t="inlineStr">
        <is>
          <t>合成資料，非實測；method=field; temperature=25; temperature_compensated=25C; reference_temperature=25</t>
        </is>
      </c>
      <c r="E245" s="29">
        <f>IF(OR(I245="",I245=0),"",IF(INDEX(Samples[監測點],I245)="","",INDEX(Samples[監測點],I245)))</f>
        <v/>
      </c>
      <c r="F245" s="90">
        <f>IF(OR(I245="",I245=0),"",IF(INDEX(Samples[採樣日期],I245)="","",INDEX(Samples[採樣日期],I245)))</f>
        <v/>
      </c>
      <c r="G245" s="91">
        <f>IF(OR(M245="",M245="NA",M245="N/A"),"",IF(OR(M245="ND",M245="N.D."),0,IFERROR(IF(OR(OR(ISNUMBER(SEARCH("%",O245)),ISNUMBER(SEARCH(" ",O245)),ISNUMBER(SEARCH(",",O245))),OR(SUBSTITUTE(SUBSTITUTE(SUBSTITUTE(SUBSTITUTE(SUBSTITUTE(SUBSTITUTE(SUBSTITUTE(SUBSTITUTE(SUBSTITUTE(SUBSTITUTE(SUBSTITUTE(SUBSTITUTE(SUBSTITUTE(SUBSTITUTE(SUBSTITUTE(SUBSTITUTE(SUBSTITUTE(SUBSTITUTE("x"&amp;M245,"0",""),"1",""),"2",""),"3",""),"4",""),"5",""),"6",""),"7",""),"8",""),"9",""),".",""),"E",""),"+",""),"-",""),"&lt;",""),"&gt;",""),"=","")," ","")&lt;&gt;"x",ISNUMBER(SEARCH("-",SUBSTITUTE(SUBSTITUTE("x"&amp;MID(M245,2,99),"E-","E"),"E+","E"))),ISNUMBER(SEARCH("+",SUBSTITUTE(SUBSTITUTE("x"&amp;MID(M245,2,99),"E-","E"),"E+","E"))))),"",IF(AND(OR(LEFT(M245,1)="&lt;",LEFT(M245,1)="&gt;"),IF(O245="",0,IF(ISNUMBER(AH245),AH245,NA()))&lt;0),"",IF(O245="",0,IF(ISNUMBER(AH245),AH245,NA()))/IF(LEFT(M245,1)="&lt;",2,1))),"")))</f>
        <v/>
      </c>
      <c r="H245" s="57" t="inlineStr">
        <is>
          <t>BH06-W_20260115_01</t>
        </is>
      </c>
      <c r="I245" s="92">
        <f>IF(OR(H245="",AI245=0),0,IF(INDEX(Samples[樣品重複筆數],AI245)=1,AI245,0))</f>
        <v/>
      </c>
      <c r="J245" s="92">
        <f>IF(OR(COUNTA($A245:$D245)=0,I245=0),"",IF(INDEX(Samples[介質],I245)="","",INDEX(Samples[介質],I245)))</f>
        <v/>
      </c>
      <c r="K245" s="92">
        <f>IF(OR(COUNTA($A245:$D245)=0,T245=0),"",IF(INDEX(DB_04[標準單位],T245)="","",INDEX(DB_04[標準單位],T245)))</f>
        <v/>
      </c>
      <c r="L245" s="92">
        <f>IF(COUNTA($A245:$D245)=0,"",IF(OR(C245="",K245=""),"",IF(C245=K245,1,IF(COUNTIFS(DB_06[換算鍵],C245&amp;"|"&amp;K245,DB_06[換算檢查],"OK")=1,INDEX(DB_06[乘數],MATCH(C245&amp;"|"&amp;K245,DB_06[換算鍵],0)),""))))</f>
        <v/>
      </c>
      <c r="M245" s="92">
        <f>UPPER(SUBSTITUTE(SUBSTITUTE(SUBSTITUTE(SUBSTITUTE(TRIM(B245&amp;""),"＜","&lt;"),"＞","&gt;"),"≤","&lt;="),"≥","&gt;="))</f>
        <v/>
      </c>
      <c r="N245" s="92">
        <f>IF(M245="","",IF(OR(M245="ND",M245="N.D."),"ND",IF(OR(M245="NA",M245="N/A",M245="N.A."),"NA",IF(OR(LEFT(M245,2)="&lt;=",LEFT(M245,2)="&gt;="),LEFT(M245,2),IF(OR(LEFT(M245,1)="&lt;",LEFT(M245,1)="&gt;"),LEFT(M245,1),"數值")))))</f>
        <v/>
      </c>
      <c r="O245" s="92">
        <f>IF(OR(N245="",N245="ND",N245="NA"),"",IF(N245="數值",M245,TRIM(MID(M245,LEN(N245)+1,99))))</f>
        <v/>
      </c>
      <c r="P245" s="92">
        <f>IF(O245="","",IFERROR(IF(OR(OR(ISNUMBER(SEARCH("%",O245)),ISNUMBER(SEARCH(" ",O245)),ISNUMBER(SEARCH(",",O245))),OR(SUBSTITUTE(SUBSTITUTE(SUBSTITUTE(SUBSTITUTE(SUBSTITUTE(SUBSTITUTE(SUBSTITUTE(SUBSTITUTE(SUBSTITUTE(SUBSTITUTE(SUBSTITUTE(SUBSTITUTE(SUBSTITUTE(SUBSTITUTE(SUBSTITUTE(SUBSTITUTE(SUBSTITUTE(SUBSTITUTE("x"&amp;O245,"0",""),"1",""),"2",""),"3",""),"4",""),"5",""),"6",""),"7",""),"8",""),"9",""),".",""),"E",""),"+",""),"-",""),"&lt;",""),"&gt;",""),"=","")," ","")&lt;&gt;"x",ISNUMBER(SEARCH("-",SUBSTITUTE(SUBSTITUTE("x"&amp;MID(O245,2,99),"E-","E"),"E+","E"))),ISNUMBER(SEARCH("+",SUBSTITUTE(SUBSTITUTE("x"&amp;MID(O245,2,99),"E-","E"),"E+","E"))))),"",IF(ISNUMBER(AH245),AH245,NA())),""))</f>
        <v/>
      </c>
      <c r="Q245" s="92">
        <f>IF(AND(ISNUMBER(L245),ISNUMBER(P245)),L245*P245,"")</f>
        <v/>
      </c>
      <c r="R245" s="92">
        <f>IF(OR(COUNTA($A245:$D245)=0,U245=0),"",IF(INDEX(DB_05[管制設定值],U245)="","",INDEX(DB_05[管制設定值],U245)))</f>
        <v/>
      </c>
      <c r="S245" s="92">
        <f>IF(OR(COUNTA($A245:$D245)=0,U245=0),"",IF(INDEX(DB_05[監測設定值],U245)="","",INDEX(DB_05[監測設定值],U245)))</f>
        <v/>
      </c>
      <c r="T245" s="92">
        <f>IF(COUNTA($A245:$D245)=0,"",IF(COUNTIFS(DB_04[測項鍵],V245)=1,MATCH(V245,DB_04[測項鍵],0),0))</f>
        <v/>
      </c>
      <c r="U245" s="92">
        <f>IF(COUNTA($A245:$D245)=0,"",IF(COUNTIFS(DB_05[標準鍵],W245)=1,MATCH(W245,DB_05[標準鍵],0),0))</f>
        <v/>
      </c>
      <c r="V245" s="92">
        <f>IF(OR(J245="",A245=""),"",J245&amp;"|"&amp;A245)</f>
        <v/>
      </c>
      <c r="W245" s="92">
        <f>IF(OR('07_QAQC'!$C$3="",V245=""),"",'07_QAQC'!$C$3&amp;"|"&amp;V245)</f>
        <v/>
      </c>
      <c r="X245" s="92">
        <f>IF(OR(H245="",A245=""),"",LEN(H245)&amp;":"&amp;H245&amp;LEN(A245)&amp;":"&amp;A245)</f>
        <v/>
      </c>
      <c r="Y245" s="93">
        <f>IF(COUNTA($A245:$D245)=0,"",IF(I245=0,"樣品未建或重複",IF(INDEX(Samples[樣品檢查],I245)="","OK",INDEX(Samples[樣品檢查],I245))))</f>
        <v/>
      </c>
      <c r="Z245" s="93">
        <f>IF(COUNTA($A245:$D245)=0,"",IF(B245="","缺原始值",IF(OR(B245="-",B245="--"),"無資料",IF(N245="NA","不適用",IF(N245="ND","OK",IF(NOT(ISNUMBER(P245)),"格式待核",IF(AND(N245&lt;&gt;"數值",P245&lt;0),"界限不得為負","OK")))))))</f>
        <v/>
      </c>
      <c r="AA245" s="93">
        <f>IF(COUNTA(A245:D245)=0,"",IF(OR(A245="",H245=""),"缺識別欄位",IF(IF(LEN("="&amp;SUBSTITUTE(SUBSTITUTE(SUBSTITUTE(X245,"~","~~"),"*","~*"),"?","~?"))&lt;=255,COUNTIF(Results[結果識別鍵],"="&amp;SUBSTITUTE(SUBSTITUTE(SUBSTITUTE(X245,"~","~~"),"*","~*"),"?","~?")),COUNTIFS(Results[關聯鍵],"="&amp;SUBSTITUTE(SUBSTITUTE(SUBSTITUTE(H245,"~","~~"),"*","~*"),"?","~?"),Results[分析項目],"="&amp;SUBSTITUTE(SUBSTITUTE(SUBSTITUTE(A245,"~","~~"),"*","~*"),"?","~?")))&gt;1,"同關聯鍵測項重複","OK")))</f>
        <v/>
      </c>
      <c r="AB245" s="93">
        <f>IF(COUNTA($A245:$D245)=0,"",IF(OR(C245="",K245=""),"缺單位",IF(NOT(ISNUMBER(L245)),"單位不相容",IF(L245=1,"OK","已換算"))))</f>
        <v/>
      </c>
      <c r="AC245" s="93">
        <f>IF(COUNTA($A245:$D245)=0,"",IF('07_QAQC'!$C$3="","未選比較版本",IF(U245=0,IF(COUNTIFS(DB_05[標準鍵],W245)&gt;1,"標準鍵重複","未訂此介質／測項門檻"),IF(INDEX(DB_05[版本檢查],U245)&lt;&gt;"OK","標準主檔待核",IF(INDEX(DB_05[標準單位],U245)&lt;&gt;K245,"標準單位不符",IF(INDEX(DB_05[核對狀態],U245)="停用","停用",IF(F245="","缺採樣日期",IF(OR(AND(INDEX(DB_05[生效日],U245)&lt;&gt;"",F245&lt;INDEX(DB_05[生效日],U245)),AND(INDEX(DB_05[失效日],U245)&lt;&gt;"",F245&gt;INDEX(DB_05[失效日],U245))),"日期不適用",INDEX(DB_05[核對狀態],U245)))))))))</f>
        <v/>
      </c>
      <c r="AD245" s="93">
        <f>IF(COUNTA($A245:$D245)=0,"",IF(AC245="未訂此介質／測項門檻",AC245,IF(AC245&lt;&gt;"已核對","標準待核",IF(R245="","未訂管制值",IF(NOT(ISNUMBER(L245)),"單位待核",IF(N245="ND","無法判定（ND無界限）",IF(N245="NA","不適用",IF(Z245&lt;&gt;"OK",Z245,IF(N245="數值",IF(Q245&gt;=R245,"達管制值","未達管制值"),IF(OR(N245="&lt;",N245="&lt;="),IF(OR(Q245&lt;R245,AND(N245="&lt;",Q245=R245)),"未達管制值","無法判定"),IF(OR(N245="&gt;",N245="&gt;="),IF(Q245&gt;=R245,"達管制值","無法判定"),"格式待核")))))))))))</f>
        <v/>
      </c>
      <c r="AE245" s="93">
        <f>IF(COUNTA($A245:$D245)=0,"",IF(AC245="未訂此介質／測項門檻",AC245,IF(AC245&lt;&gt;"已核對","標準待核",IF(S245="","未訂監測值",IF(NOT(ISNUMBER(L245)),"單位待核",IF(N245="ND","無法判定（ND無界限）",IF(N245="NA","不適用",IF(Z245&lt;&gt;"OK",Z245,IF(N245="數值",IF(Q245&gt;=S245,"達監測值","未達監測值"),IF(OR(N245="&lt;",N245="&lt;="),IF(OR(Q245&lt;S245,AND(N245="&lt;",Q245=S245)),"未達監測值","無法判定"),IF(OR(N245="&gt;",N245="&gt;="),IF(Q245&gt;=S245,"達監測值","無法判定"),"格式待核")))))))))))</f>
        <v/>
      </c>
      <c r="AF245" s="93">
        <f>IF(COUNTA($A245:$D245)=0,"",IF(OR(E245="",A245="",B245="",C245=""),"缺必要欄位",IF(Y245&lt;&gt;"OK","樣品資料待補",IF(T245=0,"測項未建或重複",IF(INDEX(DB_04[啟用],T245)&lt;&gt;"是","測項停用",IF(AND(Z245&lt;&gt;"OK",Z245&lt;&gt;"不適用"),Z245,IF(AND(AB245&lt;&gt;"OK",AB245&lt;&gt;"已換算"),"單位待核",IF(AA245&lt;&gt;"OK",AA245,"OK"))))))))</f>
        <v/>
      </c>
      <c r="AG245" s="93">
        <f>IF(COUNTA($A245:$D245)=0,"",IF(N245="ND","ND取0",IF(OR(N245="&lt;",N245="&lt;="),"界限除以2",IF(N245="NA","不適用",IF(OR(N245="&gt;",N245="&gt;="),"保留界限數值","保留原數值")))))</f>
        <v/>
      </c>
      <c r="AH245" s="92">
        <f>IF(O245="","",IFERROR(_xlfn.NUMBERVALUE(O245,".",","),""))</f>
        <v/>
      </c>
      <c r="AI245" s="92">
        <f>IF(H245="","",IFERROR(MATCH(H245,Samples[樣品編號],0),0))</f>
        <v/>
      </c>
    </row>
    <row r="246">
      <c r="A246" s="27" t="inlineStr">
        <is>
          <t>DO</t>
        </is>
      </c>
      <c r="B246" s="28" t="inlineStr">
        <is>
          <t>5.0</t>
        </is>
      </c>
      <c r="C246" s="27" t="inlineStr">
        <is>
          <t>mg/L</t>
        </is>
      </c>
      <c r="D246" s="39" t="inlineStr">
        <is>
          <t>合成資料，非實測；method=field</t>
        </is>
      </c>
      <c r="E246" s="29">
        <f>IF(OR(I246="",I246=0),"",IF(INDEX(Samples[監測點],I246)="","",INDEX(Samples[監測點],I246)))</f>
        <v/>
      </c>
      <c r="F246" s="90">
        <f>IF(OR(I246="",I246=0),"",IF(INDEX(Samples[採樣日期],I246)="","",INDEX(Samples[採樣日期],I246)))</f>
        <v/>
      </c>
      <c r="G246" s="91">
        <f>IF(OR(M246="",M246="NA",M246="N/A"),"",IF(OR(M246="ND",M246="N.D."),0,IFERROR(IF(OR(OR(ISNUMBER(SEARCH("%",O246)),ISNUMBER(SEARCH(" ",O246)),ISNUMBER(SEARCH(",",O246))),OR(SUBSTITUTE(SUBSTITUTE(SUBSTITUTE(SUBSTITUTE(SUBSTITUTE(SUBSTITUTE(SUBSTITUTE(SUBSTITUTE(SUBSTITUTE(SUBSTITUTE(SUBSTITUTE(SUBSTITUTE(SUBSTITUTE(SUBSTITUTE(SUBSTITUTE(SUBSTITUTE(SUBSTITUTE(SUBSTITUTE("x"&amp;M246,"0",""),"1",""),"2",""),"3",""),"4",""),"5",""),"6",""),"7",""),"8",""),"9",""),".",""),"E",""),"+",""),"-",""),"&lt;",""),"&gt;",""),"=","")," ","")&lt;&gt;"x",ISNUMBER(SEARCH("-",SUBSTITUTE(SUBSTITUTE("x"&amp;MID(M246,2,99),"E-","E"),"E+","E"))),ISNUMBER(SEARCH("+",SUBSTITUTE(SUBSTITUTE("x"&amp;MID(M246,2,99),"E-","E"),"E+","E"))))),"",IF(AND(OR(LEFT(M246,1)="&lt;",LEFT(M246,1)="&gt;"),IF(O246="",0,IF(ISNUMBER(AH246),AH246,NA()))&lt;0),"",IF(O246="",0,IF(ISNUMBER(AH246),AH246,NA()))/IF(LEFT(M246,1)="&lt;",2,1))),"")))</f>
        <v/>
      </c>
      <c r="H246" s="57" t="inlineStr">
        <is>
          <t>BH06-W_20260115_01</t>
        </is>
      </c>
      <c r="I246" s="92">
        <f>IF(OR(H246="",AI246=0),0,IF(INDEX(Samples[樣品重複筆數],AI246)=1,AI246,0))</f>
        <v/>
      </c>
      <c r="J246" s="92">
        <f>IF(OR(COUNTA($A246:$D246)=0,I246=0),"",IF(INDEX(Samples[介質],I246)="","",INDEX(Samples[介質],I246)))</f>
        <v/>
      </c>
      <c r="K246" s="92">
        <f>IF(OR(COUNTA($A246:$D246)=0,T246=0),"",IF(INDEX(DB_04[標準單位],T246)="","",INDEX(DB_04[標準單位],T246)))</f>
        <v/>
      </c>
      <c r="L246" s="92">
        <f>IF(COUNTA($A246:$D246)=0,"",IF(OR(C246="",K246=""),"",IF(C246=K246,1,IF(COUNTIFS(DB_06[換算鍵],C246&amp;"|"&amp;K246,DB_06[換算檢查],"OK")=1,INDEX(DB_06[乘數],MATCH(C246&amp;"|"&amp;K246,DB_06[換算鍵],0)),""))))</f>
        <v/>
      </c>
      <c r="M246" s="92">
        <f>UPPER(SUBSTITUTE(SUBSTITUTE(SUBSTITUTE(SUBSTITUTE(TRIM(B246&amp;""),"＜","&lt;"),"＞","&gt;"),"≤","&lt;="),"≥","&gt;="))</f>
        <v/>
      </c>
      <c r="N246" s="92">
        <f>IF(M246="","",IF(OR(M246="ND",M246="N.D."),"ND",IF(OR(M246="NA",M246="N/A",M246="N.A."),"NA",IF(OR(LEFT(M246,2)="&lt;=",LEFT(M246,2)="&gt;="),LEFT(M246,2),IF(OR(LEFT(M246,1)="&lt;",LEFT(M246,1)="&gt;"),LEFT(M246,1),"數值")))))</f>
        <v/>
      </c>
      <c r="O246" s="92">
        <f>IF(OR(N246="",N246="ND",N246="NA"),"",IF(N246="數值",M246,TRIM(MID(M246,LEN(N246)+1,99))))</f>
        <v/>
      </c>
      <c r="P246" s="92">
        <f>IF(O246="","",IFERROR(IF(OR(OR(ISNUMBER(SEARCH("%",O246)),ISNUMBER(SEARCH(" ",O246)),ISNUMBER(SEARCH(",",O246))),OR(SUBSTITUTE(SUBSTITUTE(SUBSTITUTE(SUBSTITUTE(SUBSTITUTE(SUBSTITUTE(SUBSTITUTE(SUBSTITUTE(SUBSTITUTE(SUBSTITUTE(SUBSTITUTE(SUBSTITUTE(SUBSTITUTE(SUBSTITUTE(SUBSTITUTE(SUBSTITUTE(SUBSTITUTE(SUBSTITUTE("x"&amp;O246,"0",""),"1",""),"2",""),"3",""),"4",""),"5",""),"6",""),"7",""),"8",""),"9",""),".",""),"E",""),"+",""),"-",""),"&lt;",""),"&gt;",""),"=","")," ","")&lt;&gt;"x",ISNUMBER(SEARCH("-",SUBSTITUTE(SUBSTITUTE("x"&amp;MID(O246,2,99),"E-","E"),"E+","E"))),ISNUMBER(SEARCH("+",SUBSTITUTE(SUBSTITUTE("x"&amp;MID(O246,2,99),"E-","E"),"E+","E"))))),"",IF(ISNUMBER(AH246),AH246,NA())),""))</f>
        <v/>
      </c>
      <c r="Q246" s="92">
        <f>IF(AND(ISNUMBER(L246),ISNUMBER(P246)),L246*P246,"")</f>
        <v/>
      </c>
      <c r="R246" s="92">
        <f>IF(OR(COUNTA($A246:$D246)=0,U246=0),"",IF(INDEX(DB_05[管制設定值],U246)="","",INDEX(DB_05[管制設定值],U246)))</f>
        <v/>
      </c>
      <c r="S246" s="92">
        <f>IF(OR(COUNTA($A246:$D246)=0,U246=0),"",IF(INDEX(DB_05[監測設定值],U246)="","",INDEX(DB_05[監測設定值],U246)))</f>
        <v/>
      </c>
      <c r="T246" s="92">
        <f>IF(COUNTA($A246:$D246)=0,"",IF(COUNTIFS(DB_04[測項鍵],V246)=1,MATCH(V246,DB_04[測項鍵],0),0))</f>
        <v/>
      </c>
      <c r="U246" s="92">
        <f>IF(COUNTA($A246:$D246)=0,"",IF(COUNTIFS(DB_05[標準鍵],W246)=1,MATCH(W246,DB_05[標準鍵],0),0))</f>
        <v/>
      </c>
      <c r="V246" s="92">
        <f>IF(OR(J246="",A246=""),"",J246&amp;"|"&amp;A246)</f>
        <v/>
      </c>
      <c r="W246" s="92">
        <f>IF(OR('07_QAQC'!$C$3="",V246=""),"",'07_QAQC'!$C$3&amp;"|"&amp;V246)</f>
        <v/>
      </c>
      <c r="X246" s="92">
        <f>IF(OR(H246="",A246=""),"",LEN(H246)&amp;":"&amp;H246&amp;LEN(A246)&amp;":"&amp;A246)</f>
        <v/>
      </c>
      <c r="Y246" s="93">
        <f>IF(COUNTA($A246:$D246)=0,"",IF(I246=0,"樣品未建或重複",IF(INDEX(Samples[樣品檢查],I246)="","OK",INDEX(Samples[樣品檢查],I246))))</f>
        <v/>
      </c>
      <c r="Z246" s="93">
        <f>IF(COUNTA($A246:$D246)=0,"",IF(B246="","缺原始值",IF(OR(B246="-",B246="--"),"無資料",IF(N246="NA","不適用",IF(N246="ND","OK",IF(NOT(ISNUMBER(P246)),"格式待核",IF(AND(N246&lt;&gt;"數值",P246&lt;0),"界限不得為負","OK")))))))</f>
        <v/>
      </c>
      <c r="AA246" s="93">
        <f>IF(COUNTA(A246:D246)=0,"",IF(OR(A246="",H246=""),"缺識別欄位",IF(IF(LEN("="&amp;SUBSTITUTE(SUBSTITUTE(SUBSTITUTE(X246,"~","~~"),"*","~*"),"?","~?"))&lt;=255,COUNTIF(Results[結果識別鍵],"="&amp;SUBSTITUTE(SUBSTITUTE(SUBSTITUTE(X246,"~","~~"),"*","~*"),"?","~?")),COUNTIFS(Results[關聯鍵],"="&amp;SUBSTITUTE(SUBSTITUTE(SUBSTITUTE(H246,"~","~~"),"*","~*"),"?","~?"),Results[分析項目],"="&amp;SUBSTITUTE(SUBSTITUTE(SUBSTITUTE(A246,"~","~~"),"*","~*"),"?","~?")))&gt;1,"同關聯鍵測項重複","OK")))</f>
        <v/>
      </c>
      <c r="AB246" s="93">
        <f>IF(COUNTA($A246:$D246)=0,"",IF(OR(C246="",K246=""),"缺單位",IF(NOT(ISNUMBER(L246)),"單位不相容",IF(L246=1,"OK","已換算"))))</f>
        <v/>
      </c>
      <c r="AC246" s="93">
        <f>IF(COUNTA($A246:$D246)=0,"",IF('07_QAQC'!$C$3="","未選比較版本",IF(U246=0,IF(COUNTIFS(DB_05[標準鍵],W246)&gt;1,"標準鍵重複","未訂此介質／測項門檻"),IF(INDEX(DB_05[版本檢查],U246)&lt;&gt;"OK","標準主檔待核",IF(INDEX(DB_05[標準單位],U246)&lt;&gt;K246,"標準單位不符",IF(INDEX(DB_05[核對狀態],U246)="停用","停用",IF(F246="","缺採樣日期",IF(OR(AND(INDEX(DB_05[生效日],U246)&lt;&gt;"",F246&lt;INDEX(DB_05[生效日],U246)),AND(INDEX(DB_05[失效日],U246)&lt;&gt;"",F246&gt;INDEX(DB_05[失效日],U246))),"日期不適用",INDEX(DB_05[核對狀態],U246)))))))))</f>
        <v/>
      </c>
      <c r="AD246" s="93">
        <f>IF(COUNTA($A246:$D246)=0,"",IF(AC246="未訂此介質／測項門檻",AC246,IF(AC246&lt;&gt;"已核對","標準待核",IF(R246="","未訂管制值",IF(NOT(ISNUMBER(L246)),"單位待核",IF(N246="ND","無法判定（ND無界限）",IF(N246="NA","不適用",IF(Z246&lt;&gt;"OK",Z246,IF(N246="數值",IF(Q246&gt;=R246,"達管制值","未達管制值"),IF(OR(N246="&lt;",N246="&lt;="),IF(OR(Q246&lt;R246,AND(N246="&lt;",Q246=R246)),"未達管制值","無法判定"),IF(OR(N246="&gt;",N246="&gt;="),IF(Q246&gt;=R246,"達管制值","無法判定"),"格式待核")))))))))))</f>
        <v/>
      </c>
      <c r="AE246" s="93">
        <f>IF(COUNTA($A246:$D246)=0,"",IF(AC246="未訂此介質／測項門檻",AC246,IF(AC246&lt;&gt;"已核對","標準待核",IF(S246="","未訂監測值",IF(NOT(ISNUMBER(L246)),"單位待核",IF(N246="ND","無法判定（ND無界限）",IF(N246="NA","不適用",IF(Z246&lt;&gt;"OK",Z246,IF(N246="數值",IF(Q246&gt;=S246,"達監測值","未達監測值"),IF(OR(N246="&lt;",N246="&lt;="),IF(OR(Q246&lt;S246,AND(N246="&lt;",Q246=S246)),"未達監測值","無法判定"),IF(OR(N246="&gt;",N246="&gt;="),IF(Q246&gt;=S246,"達監測值","無法判定"),"格式待核")))))))))))</f>
        <v/>
      </c>
      <c r="AF246" s="93">
        <f>IF(COUNTA($A246:$D246)=0,"",IF(OR(E246="",A246="",B246="",C246=""),"缺必要欄位",IF(Y246&lt;&gt;"OK","樣品資料待補",IF(T246=0,"測項未建或重複",IF(INDEX(DB_04[啟用],T246)&lt;&gt;"是","測項停用",IF(AND(Z246&lt;&gt;"OK",Z246&lt;&gt;"不適用"),Z246,IF(AND(AB246&lt;&gt;"OK",AB246&lt;&gt;"已換算"),"單位待核",IF(AA246&lt;&gt;"OK",AA246,"OK"))))))))</f>
        <v/>
      </c>
      <c r="AG246" s="93">
        <f>IF(COUNTA($A246:$D246)=0,"",IF(N246="ND","ND取0",IF(OR(N246="&lt;",N246="&lt;="),"界限除以2",IF(N246="NA","不適用",IF(OR(N246="&gt;",N246="&gt;="),"保留界限數值","保留原數值")))))</f>
        <v/>
      </c>
      <c r="AH246" s="92">
        <f>IF(O246="","",IFERROR(_xlfn.NUMBERVALUE(O246,".",","),""))</f>
        <v/>
      </c>
      <c r="AI246" s="92">
        <f>IF(H246="","",IFERROR(MATCH(H246,Samples[樣品編號],0),0))</f>
        <v/>
      </c>
    </row>
    <row r="247">
      <c r="A247" s="27" t="inlineStr">
        <is>
          <t>溶氧飽和度</t>
        </is>
      </c>
      <c r="B247" s="28" t="inlineStr">
        <is>
          <t>62</t>
        </is>
      </c>
      <c r="C247" s="27" t="inlineStr">
        <is>
          <t>%</t>
        </is>
      </c>
      <c r="D247" s="39" t="inlineStr">
        <is>
          <t>合成資料，非實測；method=field</t>
        </is>
      </c>
      <c r="E247" s="29">
        <f>IF(OR(I247="",I247=0),"",IF(INDEX(Samples[監測點],I247)="","",INDEX(Samples[監測點],I247)))</f>
        <v/>
      </c>
      <c r="F247" s="90">
        <f>IF(OR(I247="",I247=0),"",IF(INDEX(Samples[採樣日期],I247)="","",INDEX(Samples[採樣日期],I247)))</f>
        <v/>
      </c>
      <c r="G247" s="91">
        <f>IF(OR(M247="",M247="NA",M247="N/A"),"",IF(OR(M247="ND",M247="N.D."),0,IFERROR(IF(OR(OR(ISNUMBER(SEARCH("%",O247)),ISNUMBER(SEARCH(" ",O247)),ISNUMBER(SEARCH(",",O247))),OR(SUBSTITUTE(SUBSTITUTE(SUBSTITUTE(SUBSTITUTE(SUBSTITUTE(SUBSTITUTE(SUBSTITUTE(SUBSTITUTE(SUBSTITUTE(SUBSTITUTE(SUBSTITUTE(SUBSTITUTE(SUBSTITUTE(SUBSTITUTE(SUBSTITUTE(SUBSTITUTE(SUBSTITUTE(SUBSTITUTE("x"&amp;M247,"0",""),"1",""),"2",""),"3",""),"4",""),"5",""),"6",""),"7",""),"8",""),"9",""),".",""),"E",""),"+",""),"-",""),"&lt;",""),"&gt;",""),"=","")," ","")&lt;&gt;"x",ISNUMBER(SEARCH("-",SUBSTITUTE(SUBSTITUTE("x"&amp;MID(M247,2,99),"E-","E"),"E+","E"))),ISNUMBER(SEARCH("+",SUBSTITUTE(SUBSTITUTE("x"&amp;MID(M247,2,99),"E-","E"),"E+","E"))))),"",IF(AND(OR(LEFT(M247,1)="&lt;",LEFT(M247,1)="&gt;"),IF(O247="",0,IF(ISNUMBER(AH247),AH247,NA()))&lt;0),"",IF(O247="",0,IF(ISNUMBER(AH247),AH247,NA()))/IF(LEFT(M247,1)="&lt;",2,1))),"")))</f>
        <v/>
      </c>
      <c r="H247" s="57" t="inlineStr">
        <is>
          <t>BH06-W_20260115_01</t>
        </is>
      </c>
      <c r="I247" s="92">
        <f>IF(OR(H247="",AI247=0),0,IF(INDEX(Samples[樣品重複筆數],AI247)=1,AI247,0))</f>
        <v/>
      </c>
      <c r="J247" s="92">
        <f>IF(OR(COUNTA($A247:$D247)=0,I247=0),"",IF(INDEX(Samples[介質],I247)="","",INDEX(Samples[介質],I247)))</f>
        <v/>
      </c>
      <c r="K247" s="92">
        <f>IF(OR(COUNTA($A247:$D247)=0,T247=0),"",IF(INDEX(DB_04[標準單位],T247)="","",INDEX(DB_04[標準單位],T247)))</f>
        <v/>
      </c>
      <c r="L247" s="92">
        <f>IF(COUNTA($A247:$D247)=0,"",IF(OR(C247="",K247=""),"",IF(C247=K247,1,IF(COUNTIFS(DB_06[換算鍵],C247&amp;"|"&amp;K247,DB_06[換算檢查],"OK")=1,INDEX(DB_06[乘數],MATCH(C247&amp;"|"&amp;K247,DB_06[換算鍵],0)),""))))</f>
        <v/>
      </c>
      <c r="M247" s="92">
        <f>UPPER(SUBSTITUTE(SUBSTITUTE(SUBSTITUTE(SUBSTITUTE(TRIM(B247&amp;""),"＜","&lt;"),"＞","&gt;"),"≤","&lt;="),"≥","&gt;="))</f>
        <v/>
      </c>
      <c r="N247" s="92">
        <f>IF(M247="","",IF(OR(M247="ND",M247="N.D."),"ND",IF(OR(M247="NA",M247="N/A",M247="N.A."),"NA",IF(OR(LEFT(M247,2)="&lt;=",LEFT(M247,2)="&gt;="),LEFT(M247,2),IF(OR(LEFT(M247,1)="&lt;",LEFT(M247,1)="&gt;"),LEFT(M247,1),"數值")))))</f>
        <v/>
      </c>
      <c r="O247" s="92">
        <f>IF(OR(N247="",N247="ND",N247="NA"),"",IF(N247="數值",M247,TRIM(MID(M247,LEN(N247)+1,99))))</f>
        <v/>
      </c>
      <c r="P247" s="92">
        <f>IF(O247="","",IFERROR(IF(OR(OR(ISNUMBER(SEARCH("%",O247)),ISNUMBER(SEARCH(" ",O247)),ISNUMBER(SEARCH(",",O247))),OR(SUBSTITUTE(SUBSTITUTE(SUBSTITUTE(SUBSTITUTE(SUBSTITUTE(SUBSTITUTE(SUBSTITUTE(SUBSTITUTE(SUBSTITUTE(SUBSTITUTE(SUBSTITUTE(SUBSTITUTE(SUBSTITUTE(SUBSTITUTE(SUBSTITUTE(SUBSTITUTE(SUBSTITUTE(SUBSTITUTE("x"&amp;O247,"0",""),"1",""),"2",""),"3",""),"4",""),"5",""),"6",""),"7",""),"8",""),"9",""),".",""),"E",""),"+",""),"-",""),"&lt;",""),"&gt;",""),"=","")," ","")&lt;&gt;"x",ISNUMBER(SEARCH("-",SUBSTITUTE(SUBSTITUTE("x"&amp;MID(O247,2,99),"E-","E"),"E+","E"))),ISNUMBER(SEARCH("+",SUBSTITUTE(SUBSTITUTE("x"&amp;MID(O247,2,99),"E-","E"),"E+","E"))))),"",IF(ISNUMBER(AH247),AH247,NA())),""))</f>
        <v/>
      </c>
      <c r="Q247" s="92">
        <f>IF(AND(ISNUMBER(L247),ISNUMBER(P247)),L247*P247,"")</f>
        <v/>
      </c>
      <c r="R247" s="92">
        <f>IF(OR(COUNTA($A247:$D247)=0,U247=0),"",IF(INDEX(DB_05[管制設定值],U247)="","",INDEX(DB_05[管制設定值],U247)))</f>
        <v/>
      </c>
      <c r="S247" s="92">
        <f>IF(OR(COUNTA($A247:$D247)=0,U247=0),"",IF(INDEX(DB_05[監測設定值],U247)="","",INDEX(DB_05[監測設定值],U247)))</f>
        <v/>
      </c>
      <c r="T247" s="92">
        <f>IF(COUNTA($A247:$D247)=0,"",IF(COUNTIFS(DB_04[測項鍵],V247)=1,MATCH(V247,DB_04[測項鍵],0),0))</f>
        <v/>
      </c>
      <c r="U247" s="92">
        <f>IF(COUNTA($A247:$D247)=0,"",IF(COUNTIFS(DB_05[標準鍵],W247)=1,MATCH(W247,DB_05[標準鍵],0),0))</f>
        <v/>
      </c>
      <c r="V247" s="92">
        <f>IF(OR(J247="",A247=""),"",J247&amp;"|"&amp;A247)</f>
        <v/>
      </c>
      <c r="W247" s="92">
        <f>IF(OR('07_QAQC'!$C$3="",V247=""),"",'07_QAQC'!$C$3&amp;"|"&amp;V247)</f>
        <v/>
      </c>
      <c r="X247" s="92">
        <f>IF(OR(H247="",A247=""),"",LEN(H247)&amp;":"&amp;H247&amp;LEN(A247)&amp;":"&amp;A247)</f>
        <v/>
      </c>
      <c r="Y247" s="93">
        <f>IF(COUNTA($A247:$D247)=0,"",IF(I247=0,"樣品未建或重複",IF(INDEX(Samples[樣品檢查],I247)="","OK",INDEX(Samples[樣品檢查],I247))))</f>
        <v/>
      </c>
      <c r="Z247" s="93">
        <f>IF(COUNTA($A247:$D247)=0,"",IF(B247="","缺原始值",IF(OR(B247="-",B247="--"),"無資料",IF(N247="NA","不適用",IF(N247="ND","OK",IF(NOT(ISNUMBER(P247)),"格式待核",IF(AND(N247&lt;&gt;"數值",P247&lt;0),"界限不得為負","OK")))))))</f>
        <v/>
      </c>
      <c r="AA247" s="93">
        <f>IF(COUNTA(A247:D247)=0,"",IF(OR(A247="",H247=""),"缺識別欄位",IF(IF(LEN("="&amp;SUBSTITUTE(SUBSTITUTE(SUBSTITUTE(X247,"~","~~"),"*","~*"),"?","~?"))&lt;=255,COUNTIF(Results[結果識別鍵],"="&amp;SUBSTITUTE(SUBSTITUTE(SUBSTITUTE(X247,"~","~~"),"*","~*"),"?","~?")),COUNTIFS(Results[關聯鍵],"="&amp;SUBSTITUTE(SUBSTITUTE(SUBSTITUTE(H247,"~","~~"),"*","~*"),"?","~?"),Results[分析項目],"="&amp;SUBSTITUTE(SUBSTITUTE(SUBSTITUTE(A247,"~","~~"),"*","~*"),"?","~?")))&gt;1,"同關聯鍵測項重複","OK")))</f>
        <v/>
      </c>
      <c r="AB247" s="93">
        <f>IF(COUNTA($A247:$D247)=0,"",IF(OR(C247="",K247=""),"缺單位",IF(NOT(ISNUMBER(L247)),"單位不相容",IF(L247=1,"OK","已換算"))))</f>
        <v/>
      </c>
      <c r="AC247" s="93">
        <f>IF(COUNTA($A247:$D247)=0,"",IF('07_QAQC'!$C$3="","未選比較版本",IF(U247=0,IF(COUNTIFS(DB_05[標準鍵],W247)&gt;1,"標準鍵重複","未訂此介質／測項門檻"),IF(INDEX(DB_05[版本檢查],U247)&lt;&gt;"OK","標準主檔待核",IF(INDEX(DB_05[標準單位],U247)&lt;&gt;K247,"標準單位不符",IF(INDEX(DB_05[核對狀態],U247)="停用","停用",IF(F247="","缺採樣日期",IF(OR(AND(INDEX(DB_05[生效日],U247)&lt;&gt;"",F247&lt;INDEX(DB_05[生效日],U247)),AND(INDEX(DB_05[失效日],U247)&lt;&gt;"",F247&gt;INDEX(DB_05[失效日],U247))),"日期不適用",INDEX(DB_05[核對狀態],U247)))))))))</f>
        <v/>
      </c>
      <c r="AD247" s="93">
        <f>IF(COUNTA($A247:$D247)=0,"",IF(AC247="未訂此介質／測項門檻",AC247,IF(AC247&lt;&gt;"已核對","標準待核",IF(R247="","未訂管制值",IF(NOT(ISNUMBER(L247)),"單位待核",IF(N247="ND","無法判定（ND無界限）",IF(N247="NA","不適用",IF(Z247&lt;&gt;"OK",Z247,IF(N247="數值",IF(Q247&gt;=R247,"達管制值","未達管制值"),IF(OR(N247="&lt;",N247="&lt;="),IF(OR(Q247&lt;R247,AND(N247="&lt;",Q247=R247)),"未達管制值","無法判定"),IF(OR(N247="&gt;",N247="&gt;="),IF(Q247&gt;=R247,"達管制值","無法判定"),"格式待核")))))))))))</f>
        <v/>
      </c>
      <c r="AE247" s="93">
        <f>IF(COUNTA($A247:$D247)=0,"",IF(AC247="未訂此介質／測項門檻",AC247,IF(AC247&lt;&gt;"已核對","標準待核",IF(S247="","未訂監測值",IF(NOT(ISNUMBER(L247)),"單位待核",IF(N247="ND","無法判定（ND無界限）",IF(N247="NA","不適用",IF(Z247&lt;&gt;"OK",Z247,IF(N247="數值",IF(Q247&gt;=S247,"達監測值","未達監測值"),IF(OR(N247="&lt;",N247="&lt;="),IF(OR(Q247&lt;S247,AND(N247="&lt;",Q247=S247)),"未達監測值","無法判定"),IF(OR(N247="&gt;",N247="&gt;="),IF(Q247&gt;=S247,"達監測值","無法判定"),"格式待核")))))))))))</f>
        <v/>
      </c>
      <c r="AF247" s="93">
        <f>IF(COUNTA($A247:$D247)=0,"",IF(OR(E247="",A247="",B247="",C247=""),"缺必要欄位",IF(Y247&lt;&gt;"OK","樣品資料待補",IF(T247=0,"測項未建或重複",IF(INDEX(DB_04[啟用],T247)&lt;&gt;"是","測項停用",IF(AND(Z247&lt;&gt;"OK",Z247&lt;&gt;"不適用"),Z247,IF(AND(AB247&lt;&gt;"OK",AB247&lt;&gt;"已換算"),"單位待核",IF(AA247&lt;&gt;"OK",AA247,"OK"))))))))</f>
        <v/>
      </c>
      <c r="AG247" s="93">
        <f>IF(COUNTA($A247:$D247)=0,"",IF(N247="ND","ND取0",IF(OR(N247="&lt;",N247="&lt;="),"界限除以2",IF(N247="NA","不適用",IF(OR(N247="&gt;",N247="&gt;="),"保留界限數值","保留原數值")))))</f>
        <v/>
      </c>
      <c r="AH247" s="92">
        <f>IF(O247="","",IFERROR(_xlfn.NUMBERVALUE(O247,".",","),""))</f>
        <v/>
      </c>
      <c r="AI247" s="92">
        <f>IF(H247="","",IFERROR(MATCH(H247,Samples[樣品編號],0),0))</f>
        <v/>
      </c>
    </row>
    <row r="248">
      <c r="A248" s="27" t="inlineStr">
        <is>
          <t>ORP</t>
        </is>
      </c>
      <c r="B248" s="28" t="inlineStr">
        <is>
          <t>-80</t>
        </is>
      </c>
      <c r="C248" s="27" t="inlineStr">
        <is>
          <t>mV</t>
        </is>
      </c>
      <c r="D248" s="39" t="inlineStr">
        <is>
          <t>合成資料，非實測；method=field; reference_electrode=Ag/AgCl; calibration=verified</t>
        </is>
      </c>
      <c r="E248" s="29">
        <f>IF(OR(I248="",I248=0),"",IF(INDEX(Samples[監測點],I248)="","",INDEX(Samples[監測點],I248)))</f>
        <v/>
      </c>
      <c r="F248" s="90">
        <f>IF(OR(I248="",I248=0),"",IF(INDEX(Samples[採樣日期],I248)="","",INDEX(Samples[採樣日期],I248)))</f>
        <v/>
      </c>
      <c r="G248" s="91">
        <f>IF(OR(M248="",M248="NA",M248="N/A"),"",IF(OR(M248="ND",M248="N.D."),0,IFERROR(IF(OR(OR(ISNUMBER(SEARCH("%",O248)),ISNUMBER(SEARCH(" ",O248)),ISNUMBER(SEARCH(",",O248))),OR(SUBSTITUTE(SUBSTITUTE(SUBSTITUTE(SUBSTITUTE(SUBSTITUTE(SUBSTITUTE(SUBSTITUTE(SUBSTITUTE(SUBSTITUTE(SUBSTITUTE(SUBSTITUTE(SUBSTITUTE(SUBSTITUTE(SUBSTITUTE(SUBSTITUTE(SUBSTITUTE(SUBSTITUTE(SUBSTITUTE("x"&amp;M248,"0",""),"1",""),"2",""),"3",""),"4",""),"5",""),"6",""),"7",""),"8",""),"9",""),".",""),"E",""),"+",""),"-",""),"&lt;",""),"&gt;",""),"=","")," ","")&lt;&gt;"x",ISNUMBER(SEARCH("-",SUBSTITUTE(SUBSTITUTE("x"&amp;MID(M248,2,99),"E-","E"),"E+","E"))),ISNUMBER(SEARCH("+",SUBSTITUTE(SUBSTITUTE("x"&amp;MID(M248,2,99),"E-","E"),"E+","E"))))),"",IF(AND(OR(LEFT(M248,1)="&lt;",LEFT(M248,1)="&gt;"),IF(O248="",0,IF(ISNUMBER(AH248),AH248,NA()))&lt;0),"",IF(O248="",0,IF(ISNUMBER(AH248),AH248,NA()))/IF(LEFT(M248,1)="&lt;",2,1))),"")))</f>
        <v/>
      </c>
      <c r="H248" s="57" t="inlineStr">
        <is>
          <t>BH06-W_20260115_01</t>
        </is>
      </c>
      <c r="I248" s="92">
        <f>IF(OR(H248="",AI248=0),0,IF(INDEX(Samples[樣品重複筆數],AI248)=1,AI248,0))</f>
        <v/>
      </c>
      <c r="J248" s="92">
        <f>IF(OR(COUNTA($A248:$D248)=0,I248=0),"",IF(INDEX(Samples[介質],I248)="","",INDEX(Samples[介質],I248)))</f>
        <v/>
      </c>
      <c r="K248" s="92">
        <f>IF(OR(COUNTA($A248:$D248)=0,T248=0),"",IF(INDEX(DB_04[標準單位],T248)="","",INDEX(DB_04[標準單位],T248)))</f>
        <v/>
      </c>
      <c r="L248" s="92">
        <f>IF(COUNTA($A248:$D248)=0,"",IF(OR(C248="",K248=""),"",IF(C248=K248,1,IF(COUNTIFS(DB_06[換算鍵],C248&amp;"|"&amp;K248,DB_06[換算檢查],"OK")=1,INDEX(DB_06[乘數],MATCH(C248&amp;"|"&amp;K248,DB_06[換算鍵],0)),""))))</f>
        <v/>
      </c>
      <c r="M248" s="92">
        <f>UPPER(SUBSTITUTE(SUBSTITUTE(SUBSTITUTE(SUBSTITUTE(TRIM(B248&amp;""),"＜","&lt;"),"＞","&gt;"),"≤","&lt;="),"≥","&gt;="))</f>
        <v/>
      </c>
      <c r="N248" s="92">
        <f>IF(M248="","",IF(OR(M248="ND",M248="N.D."),"ND",IF(OR(M248="NA",M248="N/A",M248="N.A."),"NA",IF(OR(LEFT(M248,2)="&lt;=",LEFT(M248,2)="&gt;="),LEFT(M248,2),IF(OR(LEFT(M248,1)="&lt;",LEFT(M248,1)="&gt;"),LEFT(M248,1),"數值")))))</f>
        <v/>
      </c>
      <c r="O248" s="92">
        <f>IF(OR(N248="",N248="ND",N248="NA"),"",IF(N248="數值",M248,TRIM(MID(M248,LEN(N248)+1,99))))</f>
        <v/>
      </c>
      <c r="P248" s="92">
        <f>IF(O248="","",IFERROR(IF(OR(OR(ISNUMBER(SEARCH("%",O248)),ISNUMBER(SEARCH(" ",O248)),ISNUMBER(SEARCH(",",O248))),OR(SUBSTITUTE(SUBSTITUTE(SUBSTITUTE(SUBSTITUTE(SUBSTITUTE(SUBSTITUTE(SUBSTITUTE(SUBSTITUTE(SUBSTITUTE(SUBSTITUTE(SUBSTITUTE(SUBSTITUTE(SUBSTITUTE(SUBSTITUTE(SUBSTITUTE(SUBSTITUTE(SUBSTITUTE(SUBSTITUTE("x"&amp;O248,"0",""),"1",""),"2",""),"3",""),"4",""),"5",""),"6",""),"7",""),"8",""),"9",""),".",""),"E",""),"+",""),"-",""),"&lt;",""),"&gt;",""),"=","")," ","")&lt;&gt;"x",ISNUMBER(SEARCH("-",SUBSTITUTE(SUBSTITUTE("x"&amp;MID(O248,2,99),"E-","E"),"E+","E"))),ISNUMBER(SEARCH("+",SUBSTITUTE(SUBSTITUTE("x"&amp;MID(O248,2,99),"E-","E"),"E+","E"))))),"",IF(ISNUMBER(AH248),AH248,NA())),""))</f>
        <v/>
      </c>
      <c r="Q248" s="92">
        <f>IF(AND(ISNUMBER(L248),ISNUMBER(P248)),L248*P248,"")</f>
        <v/>
      </c>
      <c r="R248" s="92">
        <f>IF(OR(COUNTA($A248:$D248)=0,U248=0),"",IF(INDEX(DB_05[管制設定值],U248)="","",INDEX(DB_05[管制設定值],U248)))</f>
        <v/>
      </c>
      <c r="S248" s="92">
        <f>IF(OR(COUNTA($A248:$D248)=0,U248=0),"",IF(INDEX(DB_05[監測設定值],U248)="","",INDEX(DB_05[監測設定值],U248)))</f>
        <v/>
      </c>
      <c r="T248" s="92">
        <f>IF(COUNTA($A248:$D248)=0,"",IF(COUNTIFS(DB_04[測項鍵],V248)=1,MATCH(V248,DB_04[測項鍵],0),0))</f>
        <v/>
      </c>
      <c r="U248" s="92">
        <f>IF(COUNTA($A248:$D248)=0,"",IF(COUNTIFS(DB_05[標準鍵],W248)=1,MATCH(W248,DB_05[標準鍵],0),0))</f>
        <v/>
      </c>
      <c r="V248" s="92">
        <f>IF(OR(J248="",A248=""),"",J248&amp;"|"&amp;A248)</f>
        <v/>
      </c>
      <c r="W248" s="92">
        <f>IF(OR('07_QAQC'!$C$3="",V248=""),"",'07_QAQC'!$C$3&amp;"|"&amp;V248)</f>
        <v/>
      </c>
      <c r="X248" s="92">
        <f>IF(OR(H248="",A248=""),"",LEN(H248)&amp;":"&amp;H248&amp;LEN(A248)&amp;":"&amp;A248)</f>
        <v/>
      </c>
      <c r="Y248" s="93">
        <f>IF(COUNTA($A248:$D248)=0,"",IF(I248=0,"樣品未建或重複",IF(INDEX(Samples[樣品檢查],I248)="","OK",INDEX(Samples[樣品檢查],I248))))</f>
        <v/>
      </c>
      <c r="Z248" s="93">
        <f>IF(COUNTA($A248:$D248)=0,"",IF(B248="","缺原始值",IF(OR(B248="-",B248="--"),"無資料",IF(N248="NA","不適用",IF(N248="ND","OK",IF(NOT(ISNUMBER(P248)),"格式待核",IF(AND(N248&lt;&gt;"數值",P248&lt;0),"界限不得為負","OK")))))))</f>
        <v/>
      </c>
      <c r="AA248" s="93">
        <f>IF(COUNTA(A248:D248)=0,"",IF(OR(A248="",H248=""),"缺識別欄位",IF(IF(LEN("="&amp;SUBSTITUTE(SUBSTITUTE(SUBSTITUTE(X248,"~","~~"),"*","~*"),"?","~?"))&lt;=255,COUNTIF(Results[結果識別鍵],"="&amp;SUBSTITUTE(SUBSTITUTE(SUBSTITUTE(X248,"~","~~"),"*","~*"),"?","~?")),COUNTIFS(Results[關聯鍵],"="&amp;SUBSTITUTE(SUBSTITUTE(SUBSTITUTE(H248,"~","~~"),"*","~*"),"?","~?"),Results[分析項目],"="&amp;SUBSTITUTE(SUBSTITUTE(SUBSTITUTE(A248,"~","~~"),"*","~*"),"?","~?")))&gt;1,"同關聯鍵測項重複","OK")))</f>
        <v/>
      </c>
      <c r="AB248" s="93">
        <f>IF(COUNTA($A248:$D248)=0,"",IF(OR(C248="",K248=""),"缺單位",IF(NOT(ISNUMBER(L248)),"單位不相容",IF(L248=1,"OK","已換算"))))</f>
        <v/>
      </c>
      <c r="AC248" s="93">
        <f>IF(COUNTA($A248:$D248)=0,"",IF('07_QAQC'!$C$3="","未選比較版本",IF(U248=0,IF(COUNTIFS(DB_05[標準鍵],W248)&gt;1,"標準鍵重複","未訂此介質／測項門檻"),IF(INDEX(DB_05[版本檢查],U248)&lt;&gt;"OK","標準主檔待核",IF(INDEX(DB_05[標準單位],U248)&lt;&gt;K248,"標準單位不符",IF(INDEX(DB_05[核對狀態],U248)="停用","停用",IF(F248="","缺採樣日期",IF(OR(AND(INDEX(DB_05[生效日],U248)&lt;&gt;"",F248&lt;INDEX(DB_05[生效日],U248)),AND(INDEX(DB_05[失效日],U248)&lt;&gt;"",F248&gt;INDEX(DB_05[失效日],U248))),"日期不適用",INDEX(DB_05[核對狀態],U248)))))))))</f>
        <v/>
      </c>
      <c r="AD248" s="93">
        <f>IF(COUNTA($A248:$D248)=0,"",IF(AC248="未訂此介質／測項門檻",AC248,IF(AC248&lt;&gt;"已核對","標準待核",IF(R248="","未訂管制值",IF(NOT(ISNUMBER(L248)),"單位待核",IF(N248="ND","無法判定（ND無界限）",IF(N248="NA","不適用",IF(Z248&lt;&gt;"OK",Z248,IF(N248="數值",IF(Q248&gt;=R248,"達管制值","未達管制值"),IF(OR(N248="&lt;",N248="&lt;="),IF(OR(Q248&lt;R248,AND(N248="&lt;",Q248=R248)),"未達管制值","無法判定"),IF(OR(N248="&gt;",N248="&gt;="),IF(Q248&gt;=R248,"達管制值","無法判定"),"格式待核")))))))))))</f>
        <v/>
      </c>
      <c r="AE248" s="93">
        <f>IF(COUNTA($A248:$D248)=0,"",IF(AC248="未訂此介質／測項門檻",AC248,IF(AC248&lt;&gt;"已核對","標準待核",IF(S248="","未訂監測值",IF(NOT(ISNUMBER(L248)),"單位待核",IF(N248="ND","無法判定（ND無界限）",IF(N248="NA","不適用",IF(Z248&lt;&gt;"OK",Z248,IF(N248="數值",IF(Q248&gt;=S248,"達監測值","未達監測值"),IF(OR(N248="&lt;",N248="&lt;="),IF(OR(Q248&lt;S248,AND(N248="&lt;",Q248=S248)),"未達監測值","無法判定"),IF(OR(N248="&gt;",N248="&gt;="),IF(Q248&gt;=S248,"達監測值","無法判定"),"格式待核")))))))))))</f>
        <v/>
      </c>
      <c r="AF248" s="93">
        <f>IF(COUNTA($A248:$D248)=0,"",IF(OR(E248="",A248="",B248="",C248=""),"缺必要欄位",IF(Y248&lt;&gt;"OK","樣品資料待補",IF(T248=0,"測項未建或重複",IF(INDEX(DB_04[啟用],T248)&lt;&gt;"是","測項停用",IF(AND(Z248&lt;&gt;"OK",Z248&lt;&gt;"不適用"),Z248,IF(AND(AB248&lt;&gt;"OK",AB248&lt;&gt;"已換算"),"單位待核",IF(AA248&lt;&gt;"OK",AA248,"OK"))))))))</f>
        <v/>
      </c>
      <c r="AG248" s="93">
        <f>IF(COUNTA($A248:$D248)=0,"",IF(N248="ND","ND取0",IF(OR(N248="&lt;",N248="&lt;="),"界限除以2",IF(N248="NA","不適用",IF(OR(N248="&gt;",N248="&gt;="),"保留界限數值","保留原數值")))))</f>
        <v/>
      </c>
      <c r="AH248" s="92">
        <f>IF(O248="","",IFERROR(_xlfn.NUMBERVALUE(O248,".",","),""))</f>
        <v/>
      </c>
      <c r="AI248" s="92">
        <f>IF(H248="","",IFERROR(MATCH(H248,Samples[樣品編號],0),0))</f>
        <v/>
      </c>
    </row>
    <row r="249">
      <c r="A249" s="27" t="inlineStr">
        <is>
          <t>總有機碳</t>
        </is>
      </c>
      <c r="B249" s="28" t="inlineStr">
        <is>
          <t>3.2</t>
        </is>
      </c>
      <c r="C249" s="27" t="inlineStr">
        <is>
          <t>mg/L</t>
        </is>
      </c>
      <c r="D249" s="39" t="inlineStr">
        <is>
          <t>合成資料，非實測；method=lab</t>
        </is>
      </c>
      <c r="E249" s="29">
        <f>IF(OR(I249="",I249=0),"",IF(INDEX(Samples[監測點],I249)="","",INDEX(Samples[監測點],I249)))</f>
        <v/>
      </c>
      <c r="F249" s="90">
        <f>IF(OR(I249="",I249=0),"",IF(INDEX(Samples[採樣日期],I249)="","",INDEX(Samples[採樣日期],I249)))</f>
        <v/>
      </c>
      <c r="G249" s="91">
        <f>IF(OR(M249="",M249="NA",M249="N/A"),"",IF(OR(M249="ND",M249="N.D."),0,IFERROR(IF(OR(OR(ISNUMBER(SEARCH("%",O249)),ISNUMBER(SEARCH(" ",O249)),ISNUMBER(SEARCH(",",O249))),OR(SUBSTITUTE(SUBSTITUTE(SUBSTITUTE(SUBSTITUTE(SUBSTITUTE(SUBSTITUTE(SUBSTITUTE(SUBSTITUTE(SUBSTITUTE(SUBSTITUTE(SUBSTITUTE(SUBSTITUTE(SUBSTITUTE(SUBSTITUTE(SUBSTITUTE(SUBSTITUTE(SUBSTITUTE(SUBSTITUTE("x"&amp;M249,"0",""),"1",""),"2",""),"3",""),"4",""),"5",""),"6",""),"7",""),"8",""),"9",""),".",""),"E",""),"+",""),"-",""),"&lt;",""),"&gt;",""),"=","")," ","")&lt;&gt;"x",ISNUMBER(SEARCH("-",SUBSTITUTE(SUBSTITUTE("x"&amp;MID(M249,2,99),"E-","E"),"E+","E"))),ISNUMBER(SEARCH("+",SUBSTITUTE(SUBSTITUTE("x"&amp;MID(M249,2,99),"E-","E"),"E+","E"))))),"",IF(AND(OR(LEFT(M249,1)="&lt;",LEFT(M249,1)="&gt;"),IF(O249="",0,IF(ISNUMBER(AH249),AH249,NA()))&lt;0),"",IF(O249="",0,IF(ISNUMBER(AH249),AH249,NA()))/IF(LEFT(M249,1)="&lt;",2,1))),"")))</f>
        <v/>
      </c>
      <c r="H249" s="57" t="inlineStr">
        <is>
          <t>BH06-W_20260115_01</t>
        </is>
      </c>
      <c r="I249" s="92">
        <f>IF(OR(H249="",AI249=0),0,IF(INDEX(Samples[樣品重複筆數],AI249)=1,AI249,0))</f>
        <v/>
      </c>
      <c r="J249" s="92">
        <f>IF(OR(COUNTA($A249:$D249)=0,I249=0),"",IF(INDEX(Samples[介質],I249)="","",INDEX(Samples[介質],I249)))</f>
        <v/>
      </c>
      <c r="K249" s="92">
        <f>IF(OR(COUNTA($A249:$D249)=0,T249=0),"",IF(INDEX(DB_04[標準單位],T249)="","",INDEX(DB_04[標準單位],T249)))</f>
        <v/>
      </c>
      <c r="L249" s="92">
        <f>IF(COUNTA($A249:$D249)=0,"",IF(OR(C249="",K249=""),"",IF(C249=K249,1,IF(COUNTIFS(DB_06[換算鍵],C249&amp;"|"&amp;K249,DB_06[換算檢查],"OK")=1,INDEX(DB_06[乘數],MATCH(C249&amp;"|"&amp;K249,DB_06[換算鍵],0)),""))))</f>
        <v/>
      </c>
      <c r="M249" s="92">
        <f>UPPER(SUBSTITUTE(SUBSTITUTE(SUBSTITUTE(SUBSTITUTE(TRIM(B249&amp;""),"＜","&lt;"),"＞","&gt;"),"≤","&lt;="),"≥","&gt;="))</f>
        <v/>
      </c>
      <c r="N249" s="92">
        <f>IF(M249="","",IF(OR(M249="ND",M249="N.D."),"ND",IF(OR(M249="NA",M249="N/A",M249="N.A."),"NA",IF(OR(LEFT(M249,2)="&lt;=",LEFT(M249,2)="&gt;="),LEFT(M249,2),IF(OR(LEFT(M249,1)="&lt;",LEFT(M249,1)="&gt;"),LEFT(M249,1),"數值")))))</f>
        <v/>
      </c>
      <c r="O249" s="92">
        <f>IF(OR(N249="",N249="ND",N249="NA"),"",IF(N249="數值",M249,TRIM(MID(M249,LEN(N249)+1,99))))</f>
        <v/>
      </c>
      <c r="P249" s="92">
        <f>IF(O249="","",IFERROR(IF(OR(OR(ISNUMBER(SEARCH("%",O249)),ISNUMBER(SEARCH(" ",O249)),ISNUMBER(SEARCH(",",O249))),OR(SUBSTITUTE(SUBSTITUTE(SUBSTITUTE(SUBSTITUTE(SUBSTITUTE(SUBSTITUTE(SUBSTITUTE(SUBSTITUTE(SUBSTITUTE(SUBSTITUTE(SUBSTITUTE(SUBSTITUTE(SUBSTITUTE(SUBSTITUTE(SUBSTITUTE(SUBSTITUTE(SUBSTITUTE(SUBSTITUTE("x"&amp;O249,"0",""),"1",""),"2",""),"3",""),"4",""),"5",""),"6",""),"7",""),"8",""),"9",""),".",""),"E",""),"+",""),"-",""),"&lt;",""),"&gt;",""),"=","")," ","")&lt;&gt;"x",ISNUMBER(SEARCH("-",SUBSTITUTE(SUBSTITUTE("x"&amp;MID(O249,2,99),"E-","E"),"E+","E"))),ISNUMBER(SEARCH("+",SUBSTITUTE(SUBSTITUTE("x"&amp;MID(O249,2,99),"E-","E"),"E+","E"))))),"",IF(ISNUMBER(AH249),AH249,NA())),""))</f>
        <v/>
      </c>
      <c r="Q249" s="92">
        <f>IF(AND(ISNUMBER(L249),ISNUMBER(P249)),L249*P249,"")</f>
        <v/>
      </c>
      <c r="R249" s="92">
        <f>IF(OR(COUNTA($A249:$D249)=0,U249=0),"",IF(INDEX(DB_05[管制設定值],U249)="","",INDEX(DB_05[管制設定值],U249)))</f>
        <v/>
      </c>
      <c r="S249" s="92">
        <f>IF(OR(COUNTA($A249:$D249)=0,U249=0),"",IF(INDEX(DB_05[監測設定值],U249)="","",INDEX(DB_05[監測設定值],U249)))</f>
        <v/>
      </c>
      <c r="T249" s="92">
        <f>IF(COUNTA($A249:$D249)=0,"",IF(COUNTIFS(DB_04[測項鍵],V249)=1,MATCH(V249,DB_04[測項鍵],0),0))</f>
        <v/>
      </c>
      <c r="U249" s="92">
        <f>IF(COUNTA($A249:$D249)=0,"",IF(COUNTIFS(DB_05[標準鍵],W249)=1,MATCH(W249,DB_05[標準鍵],0),0))</f>
        <v/>
      </c>
      <c r="V249" s="92">
        <f>IF(OR(J249="",A249=""),"",J249&amp;"|"&amp;A249)</f>
        <v/>
      </c>
      <c r="W249" s="92">
        <f>IF(OR('07_QAQC'!$C$3="",V249=""),"",'07_QAQC'!$C$3&amp;"|"&amp;V249)</f>
        <v/>
      </c>
      <c r="X249" s="92">
        <f>IF(OR(H249="",A249=""),"",LEN(H249)&amp;":"&amp;H249&amp;LEN(A249)&amp;":"&amp;A249)</f>
        <v/>
      </c>
      <c r="Y249" s="93">
        <f>IF(COUNTA($A249:$D249)=0,"",IF(I249=0,"樣品未建或重複",IF(INDEX(Samples[樣品檢查],I249)="","OK",INDEX(Samples[樣品檢查],I249))))</f>
        <v/>
      </c>
      <c r="Z249" s="93">
        <f>IF(COUNTA($A249:$D249)=0,"",IF(B249="","缺原始值",IF(OR(B249="-",B249="--"),"無資料",IF(N249="NA","不適用",IF(N249="ND","OK",IF(NOT(ISNUMBER(P249)),"格式待核",IF(AND(N249&lt;&gt;"數值",P249&lt;0),"界限不得為負","OK")))))))</f>
        <v/>
      </c>
      <c r="AA249" s="93">
        <f>IF(COUNTA(A249:D249)=0,"",IF(OR(A249="",H249=""),"缺識別欄位",IF(IF(LEN("="&amp;SUBSTITUTE(SUBSTITUTE(SUBSTITUTE(X249,"~","~~"),"*","~*"),"?","~?"))&lt;=255,COUNTIF(Results[結果識別鍵],"="&amp;SUBSTITUTE(SUBSTITUTE(SUBSTITUTE(X249,"~","~~"),"*","~*"),"?","~?")),COUNTIFS(Results[關聯鍵],"="&amp;SUBSTITUTE(SUBSTITUTE(SUBSTITUTE(H249,"~","~~"),"*","~*"),"?","~?"),Results[分析項目],"="&amp;SUBSTITUTE(SUBSTITUTE(SUBSTITUTE(A249,"~","~~"),"*","~*"),"?","~?")))&gt;1,"同關聯鍵測項重複","OK")))</f>
        <v/>
      </c>
      <c r="AB249" s="93">
        <f>IF(COUNTA($A249:$D249)=0,"",IF(OR(C249="",K249=""),"缺單位",IF(NOT(ISNUMBER(L249)),"單位不相容",IF(L249=1,"OK","已換算"))))</f>
        <v/>
      </c>
      <c r="AC249" s="93">
        <f>IF(COUNTA($A249:$D249)=0,"",IF('07_QAQC'!$C$3="","未選比較版本",IF(U249=0,IF(COUNTIFS(DB_05[標準鍵],W249)&gt;1,"標準鍵重複","未訂此介質／測項門檻"),IF(INDEX(DB_05[版本檢查],U249)&lt;&gt;"OK","標準主檔待核",IF(INDEX(DB_05[標準單位],U249)&lt;&gt;K249,"標準單位不符",IF(INDEX(DB_05[核對狀態],U249)="停用","停用",IF(F249="","缺採樣日期",IF(OR(AND(INDEX(DB_05[生效日],U249)&lt;&gt;"",F249&lt;INDEX(DB_05[生效日],U249)),AND(INDEX(DB_05[失效日],U249)&lt;&gt;"",F249&gt;INDEX(DB_05[失效日],U249))),"日期不適用",INDEX(DB_05[核對狀態],U249)))))))))</f>
        <v/>
      </c>
      <c r="AD249" s="93">
        <f>IF(COUNTA($A249:$D249)=0,"",IF(AC249="未訂此介質／測項門檻",AC249,IF(AC249&lt;&gt;"已核對","標準待核",IF(R249="","未訂管制值",IF(NOT(ISNUMBER(L249)),"單位待核",IF(N249="ND","無法判定（ND無界限）",IF(N249="NA","不適用",IF(Z249&lt;&gt;"OK",Z249,IF(N249="數值",IF(Q249&gt;=R249,"達管制值","未達管制值"),IF(OR(N249="&lt;",N249="&lt;="),IF(OR(Q249&lt;R249,AND(N249="&lt;",Q249=R249)),"未達管制值","無法判定"),IF(OR(N249="&gt;",N249="&gt;="),IF(Q249&gt;=R249,"達管制值","無法判定"),"格式待核")))))))))))</f>
        <v/>
      </c>
      <c r="AE249" s="93">
        <f>IF(COUNTA($A249:$D249)=0,"",IF(AC249="未訂此介質／測項門檻",AC249,IF(AC249&lt;&gt;"已核對","標準待核",IF(S249="","未訂監測值",IF(NOT(ISNUMBER(L249)),"單位待核",IF(N249="ND","無法判定（ND無界限）",IF(N249="NA","不適用",IF(Z249&lt;&gt;"OK",Z249,IF(N249="數值",IF(Q249&gt;=S249,"達監測值","未達監測值"),IF(OR(N249="&lt;",N249="&lt;="),IF(OR(Q249&lt;S249,AND(N249="&lt;",Q249=S249)),"未達監測值","無法判定"),IF(OR(N249="&gt;",N249="&gt;="),IF(Q249&gt;=S249,"達監測值","無法判定"),"格式待核")))))))))))</f>
        <v/>
      </c>
      <c r="AF249" s="93">
        <f>IF(COUNTA($A249:$D249)=0,"",IF(OR(E249="",A249="",B249="",C249=""),"缺必要欄位",IF(Y249&lt;&gt;"OK","樣品資料待補",IF(T249=0,"測項未建或重複",IF(INDEX(DB_04[啟用],T249)&lt;&gt;"是","測項停用",IF(AND(Z249&lt;&gt;"OK",Z249&lt;&gt;"不適用"),Z249,IF(AND(AB249&lt;&gt;"OK",AB249&lt;&gt;"已換算"),"單位待核",IF(AA249&lt;&gt;"OK",AA249,"OK"))))))))</f>
        <v/>
      </c>
      <c r="AG249" s="93">
        <f>IF(COUNTA($A249:$D249)=0,"",IF(N249="ND","ND取0",IF(OR(N249="&lt;",N249="&lt;="),"界限除以2",IF(N249="NA","不適用",IF(OR(N249="&gt;",N249="&gt;="),"保留界限數值","保留原數值")))))</f>
        <v/>
      </c>
      <c r="AH249" s="92">
        <f>IF(O249="","",IFERROR(_xlfn.NUMBERVALUE(O249,".",","),""))</f>
        <v/>
      </c>
      <c r="AI249" s="92">
        <f>IF(H249="","",IFERROR(MATCH(H249,Samples[樣品編號],0),0))</f>
        <v/>
      </c>
    </row>
    <row r="250">
      <c r="A250" s="27" t="inlineStr">
        <is>
          <t>鋅</t>
        </is>
      </c>
      <c r="B250" s="28" t="inlineStr">
        <is>
          <t>166</t>
        </is>
      </c>
      <c r="C250" s="27" t="inlineStr">
        <is>
          <t>mg/kg</t>
        </is>
      </c>
      <c r="D250" s="39" t="inlineStr">
        <is>
          <t>合成資料，非實測；method=XRF; basis=dry</t>
        </is>
      </c>
      <c r="E250" s="29">
        <f>IF(OR(I250="",I250=0),"",IF(INDEX(Samples[監測點],I250)="","",INDEX(Samples[監測點],I250)))</f>
        <v/>
      </c>
      <c r="F250" s="90">
        <f>IF(OR(I250="",I250=0),"",IF(INDEX(Samples[採樣日期],I250)="","",INDEX(Samples[採樣日期],I250)))</f>
        <v/>
      </c>
      <c r="G250" s="91">
        <f>IF(OR(M250="",M250="NA",M250="N/A"),"",IF(OR(M250="ND",M250="N.D."),0,IFERROR(IF(OR(OR(ISNUMBER(SEARCH("%",O250)),ISNUMBER(SEARCH(" ",O250)),ISNUMBER(SEARCH(",",O250))),OR(SUBSTITUTE(SUBSTITUTE(SUBSTITUTE(SUBSTITUTE(SUBSTITUTE(SUBSTITUTE(SUBSTITUTE(SUBSTITUTE(SUBSTITUTE(SUBSTITUTE(SUBSTITUTE(SUBSTITUTE(SUBSTITUTE(SUBSTITUTE(SUBSTITUTE(SUBSTITUTE(SUBSTITUTE(SUBSTITUTE("x"&amp;M250,"0",""),"1",""),"2",""),"3",""),"4",""),"5",""),"6",""),"7",""),"8",""),"9",""),".",""),"E",""),"+",""),"-",""),"&lt;",""),"&gt;",""),"=","")," ","")&lt;&gt;"x",ISNUMBER(SEARCH("-",SUBSTITUTE(SUBSTITUTE("x"&amp;MID(M250,2,99),"E-","E"),"E+","E"))),ISNUMBER(SEARCH("+",SUBSTITUTE(SUBSTITUTE("x"&amp;MID(M250,2,99),"E-","E"),"E+","E"))))),"",IF(AND(OR(LEFT(M250,1)="&lt;",LEFT(M250,1)="&gt;"),IF(O250="",0,IF(ISNUMBER(AH250),AH250,NA()))&lt;0),"",IF(O250="",0,IF(ISNUMBER(AH250),AH250,NA()))/IF(LEFT(M250,1)="&lt;",2,1))),"")))</f>
        <v/>
      </c>
      <c r="H250" s="57" t="inlineStr">
        <is>
          <t>BH06-S_20260115_02</t>
        </is>
      </c>
      <c r="I250" s="92">
        <f>IF(OR(H250="",AI250=0),0,IF(INDEX(Samples[樣品重複筆數],AI250)=1,AI250,0))</f>
        <v/>
      </c>
      <c r="J250" s="92">
        <f>IF(OR(COUNTA($A250:$D250)=0,I250=0),"",IF(INDEX(Samples[介質],I250)="","",INDEX(Samples[介質],I250)))</f>
        <v/>
      </c>
      <c r="K250" s="92">
        <f>IF(OR(COUNTA($A250:$D250)=0,T250=0),"",IF(INDEX(DB_04[標準單位],T250)="","",INDEX(DB_04[標準單位],T250)))</f>
        <v/>
      </c>
      <c r="L250" s="92">
        <f>IF(COUNTA($A250:$D250)=0,"",IF(OR(C250="",K250=""),"",IF(C250=K250,1,IF(COUNTIFS(DB_06[換算鍵],C250&amp;"|"&amp;K250,DB_06[換算檢查],"OK")=1,INDEX(DB_06[乘數],MATCH(C250&amp;"|"&amp;K250,DB_06[換算鍵],0)),""))))</f>
        <v/>
      </c>
      <c r="M250" s="92">
        <f>UPPER(SUBSTITUTE(SUBSTITUTE(SUBSTITUTE(SUBSTITUTE(TRIM(B250&amp;""),"＜","&lt;"),"＞","&gt;"),"≤","&lt;="),"≥","&gt;="))</f>
        <v/>
      </c>
      <c r="N250" s="92">
        <f>IF(M250="","",IF(OR(M250="ND",M250="N.D."),"ND",IF(OR(M250="NA",M250="N/A",M250="N.A."),"NA",IF(OR(LEFT(M250,2)="&lt;=",LEFT(M250,2)="&gt;="),LEFT(M250,2),IF(OR(LEFT(M250,1)="&lt;",LEFT(M250,1)="&gt;"),LEFT(M250,1),"數值")))))</f>
        <v/>
      </c>
      <c r="O250" s="92">
        <f>IF(OR(N250="",N250="ND",N250="NA"),"",IF(N250="數值",M250,TRIM(MID(M250,LEN(N250)+1,99))))</f>
        <v/>
      </c>
      <c r="P250" s="92">
        <f>IF(O250="","",IFERROR(IF(OR(OR(ISNUMBER(SEARCH("%",O250)),ISNUMBER(SEARCH(" ",O250)),ISNUMBER(SEARCH(",",O250))),OR(SUBSTITUTE(SUBSTITUTE(SUBSTITUTE(SUBSTITUTE(SUBSTITUTE(SUBSTITUTE(SUBSTITUTE(SUBSTITUTE(SUBSTITUTE(SUBSTITUTE(SUBSTITUTE(SUBSTITUTE(SUBSTITUTE(SUBSTITUTE(SUBSTITUTE(SUBSTITUTE(SUBSTITUTE(SUBSTITUTE("x"&amp;O250,"0",""),"1",""),"2",""),"3",""),"4",""),"5",""),"6",""),"7",""),"8",""),"9",""),".",""),"E",""),"+",""),"-",""),"&lt;",""),"&gt;",""),"=","")," ","")&lt;&gt;"x",ISNUMBER(SEARCH("-",SUBSTITUTE(SUBSTITUTE("x"&amp;MID(O250,2,99),"E-","E"),"E+","E"))),ISNUMBER(SEARCH("+",SUBSTITUTE(SUBSTITUTE("x"&amp;MID(O250,2,99),"E-","E"),"E+","E"))))),"",IF(ISNUMBER(AH250),AH250,NA())),""))</f>
        <v/>
      </c>
      <c r="Q250" s="92">
        <f>IF(AND(ISNUMBER(L250),ISNUMBER(P250)),L250*P250,"")</f>
        <v/>
      </c>
      <c r="R250" s="92">
        <f>IF(OR(COUNTA($A250:$D250)=0,U250=0),"",IF(INDEX(DB_05[管制設定值],U250)="","",INDEX(DB_05[管制設定值],U250)))</f>
        <v/>
      </c>
      <c r="S250" s="92">
        <f>IF(OR(COUNTA($A250:$D250)=0,U250=0),"",IF(INDEX(DB_05[監測設定值],U250)="","",INDEX(DB_05[監測設定值],U250)))</f>
        <v/>
      </c>
      <c r="T250" s="92">
        <f>IF(COUNTA($A250:$D250)=0,"",IF(COUNTIFS(DB_04[測項鍵],V250)=1,MATCH(V250,DB_04[測項鍵],0),0))</f>
        <v/>
      </c>
      <c r="U250" s="92">
        <f>IF(COUNTA($A250:$D250)=0,"",IF(COUNTIFS(DB_05[標準鍵],W250)=1,MATCH(W250,DB_05[標準鍵],0),0))</f>
        <v/>
      </c>
      <c r="V250" s="92">
        <f>IF(OR(J250="",A250=""),"",J250&amp;"|"&amp;A250)</f>
        <v/>
      </c>
      <c r="W250" s="92">
        <f>IF(OR('07_QAQC'!$C$3="",V250=""),"",'07_QAQC'!$C$3&amp;"|"&amp;V250)</f>
        <v/>
      </c>
      <c r="X250" s="92">
        <f>IF(OR(H250="",A250=""),"",LEN(H250)&amp;":"&amp;H250&amp;LEN(A250)&amp;":"&amp;A250)</f>
        <v/>
      </c>
      <c r="Y250" s="93">
        <f>IF(COUNTA($A250:$D250)=0,"",IF(I250=0,"樣品未建或重複",IF(INDEX(Samples[樣品檢查],I250)="","OK",INDEX(Samples[樣品檢查],I250))))</f>
        <v/>
      </c>
      <c r="Z250" s="93">
        <f>IF(COUNTA($A250:$D250)=0,"",IF(B250="","缺原始值",IF(OR(B250="-",B250="--"),"無資料",IF(N250="NA","不適用",IF(N250="ND","OK",IF(NOT(ISNUMBER(P250)),"格式待核",IF(AND(N250&lt;&gt;"數值",P250&lt;0),"界限不得為負","OK")))))))</f>
        <v/>
      </c>
      <c r="AA250" s="93">
        <f>IF(COUNTA(A250:D250)=0,"",IF(OR(A250="",H250=""),"缺識別欄位",IF(IF(LEN("="&amp;SUBSTITUTE(SUBSTITUTE(SUBSTITUTE(X250,"~","~~"),"*","~*"),"?","~?"))&lt;=255,COUNTIF(Results[結果識別鍵],"="&amp;SUBSTITUTE(SUBSTITUTE(SUBSTITUTE(X250,"~","~~"),"*","~*"),"?","~?")),COUNTIFS(Results[關聯鍵],"="&amp;SUBSTITUTE(SUBSTITUTE(SUBSTITUTE(H250,"~","~~"),"*","~*"),"?","~?"),Results[分析項目],"="&amp;SUBSTITUTE(SUBSTITUTE(SUBSTITUTE(A250,"~","~~"),"*","~*"),"?","~?")))&gt;1,"同關聯鍵測項重複","OK")))</f>
        <v/>
      </c>
      <c r="AB250" s="93">
        <f>IF(COUNTA($A250:$D250)=0,"",IF(OR(C250="",K250=""),"缺單位",IF(NOT(ISNUMBER(L250)),"單位不相容",IF(L250=1,"OK","已換算"))))</f>
        <v/>
      </c>
      <c r="AC250" s="93">
        <f>IF(COUNTA($A250:$D250)=0,"",IF('07_QAQC'!$C$3="","未選比較版本",IF(U250=0,IF(COUNTIFS(DB_05[標準鍵],W250)&gt;1,"標準鍵重複","未訂此介質／測項門檻"),IF(INDEX(DB_05[版本檢查],U250)&lt;&gt;"OK","標準主檔待核",IF(INDEX(DB_05[標準單位],U250)&lt;&gt;K250,"標準單位不符",IF(INDEX(DB_05[核對狀態],U250)="停用","停用",IF(F250="","缺採樣日期",IF(OR(AND(INDEX(DB_05[生效日],U250)&lt;&gt;"",F250&lt;INDEX(DB_05[生效日],U250)),AND(INDEX(DB_05[失效日],U250)&lt;&gt;"",F250&gt;INDEX(DB_05[失效日],U250))),"日期不適用",INDEX(DB_05[核對狀態],U250)))))))))</f>
        <v/>
      </c>
      <c r="AD250" s="93">
        <f>IF(COUNTA($A250:$D250)=0,"",IF(AC250="未訂此介質／測項門檻",AC250,IF(AC250&lt;&gt;"已核對","標準待核",IF(R250="","未訂管制值",IF(NOT(ISNUMBER(L250)),"單位待核",IF(N250="ND","無法判定（ND無界限）",IF(N250="NA","不適用",IF(Z250&lt;&gt;"OK",Z250,IF(N250="數值",IF(Q250&gt;=R250,"達管制值","未達管制值"),IF(OR(N250="&lt;",N250="&lt;="),IF(OR(Q250&lt;R250,AND(N250="&lt;",Q250=R250)),"未達管制值","無法判定"),IF(OR(N250="&gt;",N250="&gt;="),IF(Q250&gt;=R250,"達管制值","無法判定"),"格式待核")))))))))))</f>
        <v/>
      </c>
      <c r="AE250" s="93">
        <f>IF(COUNTA($A250:$D250)=0,"",IF(AC250="未訂此介質／測項門檻",AC250,IF(AC250&lt;&gt;"已核對","標準待核",IF(S250="","未訂監測值",IF(NOT(ISNUMBER(L250)),"單位待核",IF(N250="ND","無法判定（ND無界限）",IF(N250="NA","不適用",IF(Z250&lt;&gt;"OK",Z250,IF(N250="數值",IF(Q250&gt;=S250,"達監測值","未達監測值"),IF(OR(N250="&lt;",N250="&lt;="),IF(OR(Q250&lt;S250,AND(N250="&lt;",Q250=S250)),"未達監測值","無法判定"),IF(OR(N250="&gt;",N250="&gt;="),IF(Q250&gt;=S250,"達監測值","無法判定"),"格式待核")))))))))))</f>
        <v/>
      </c>
      <c r="AF250" s="93">
        <f>IF(COUNTA($A250:$D250)=0,"",IF(OR(E250="",A250="",B250="",C250=""),"缺必要欄位",IF(Y250&lt;&gt;"OK","樣品資料待補",IF(T250=0,"測項未建或重複",IF(INDEX(DB_04[啟用],T250)&lt;&gt;"是","測項停用",IF(AND(Z250&lt;&gt;"OK",Z250&lt;&gt;"不適用"),Z250,IF(AND(AB250&lt;&gt;"OK",AB250&lt;&gt;"已換算"),"單位待核",IF(AA250&lt;&gt;"OK",AA250,"OK"))))))))</f>
        <v/>
      </c>
      <c r="AG250" s="93">
        <f>IF(COUNTA($A250:$D250)=0,"",IF(N250="ND","ND取0",IF(OR(N250="&lt;",N250="&lt;="),"界限除以2",IF(N250="NA","不適用",IF(OR(N250="&gt;",N250="&gt;="),"保留界限數值","保留原數值")))))</f>
        <v/>
      </c>
      <c r="AH250" s="92">
        <f>IF(O250="","",IFERROR(_xlfn.NUMBERVALUE(O250,".",","),""))</f>
        <v/>
      </c>
      <c r="AI250" s="92">
        <f>IF(H250="","",IFERROR(MATCH(H250,Samples[樣品編號],0),0))</f>
        <v/>
      </c>
    </row>
    <row r="251">
      <c r="A251" s="27" t="inlineStr">
        <is>
          <t>總有機碳</t>
        </is>
      </c>
      <c r="B251" s="28" t="inlineStr">
        <is>
          <t>0.59</t>
        </is>
      </c>
      <c r="C251" s="27" t="inlineStr">
        <is>
          <t>%</t>
        </is>
      </c>
      <c r="D251" s="39" t="inlineStr">
        <is>
          <t>合成資料，非實測；method=lab; basis=dry</t>
        </is>
      </c>
      <c r="E251" s="29">
        <f>IF(OR(I251="",I251=0),"",IF(INDEX(Samples[監測點],I251)="","",INDEX(Samples[監測點],I251)))</f>
        <v/>
      </c>
      <c r="F251" s="90">
        <f>IF(OR(I251="",I251=0),"",IF(INDEX(Samples[採樣日期],I251)="","",INDEX(Samples[採樣日期],I251)))</f>
        <v/>
      </c>
      <c r="G251" s="91">
        <f>IF(OR(M251="",M251="NA",M251="N/A"),"",IF(OR(M251="ND",M251="N.D."),0,IFERROR(IF(OR(OR(ISNUMBER(SEARCH("%",O251)),ISNUMBER(SEARCH(" ",O251)),ISNUMBER(SEARCH(",",O251))),OR(SUBSTITUTE(SUBSTITUTE(SUBSTITUTE(SUBSTITUTE(SUBSTITUTE(SUBSTITUTE(SUBSTITUTE(SUBSTITUTE(SUBSTITUTE(SUBSTITUTE(SUBSTITUTE(SUBSTITUTE(SUBSTITUTE(SUBSTITUTE(SUBSTITUTE(SUBSTITUTE(SUBSTITUTE(SUBSTITUTE("x"&amp;M251,"0",""),"1",""),"2",""),"3",""),"4",""),"5",""),"6",""),"7",""),"8",""),"9",""),".",""),"E",""),"+",""),"-",""),"&lt;",""),"&gt;",""),"=","")," ","")&lt;&gt;"x",ISNUMBER(SEARCH("-",SUBSTITUTE(SUBSTITUTE("x"&amp;MID(M251,2,99),"E-","E"),"E+","E"))),ISNUMBER(SEARCH("+",SUBSTITUTE(SUBSTITUTE("x"&amp;MID(M251,2,99),"E-","E"),"E+","E"))))),"",IF(AND(OR(LEFT(M251,1)="&lt;",LEFT(M251,1)="&gt;"),IF(O251="",0,IF(ISNUMBER(AH251),AH251,NA()))&lt;0),"",IF(O251="",0,IF(ISNUMBER(AH251),AH251,NA()))/IF(LEFT(M251,1)="&lt;",2,1))),"")))</f>
        <v/>
      </c>
      <c r="H251" s="57" t="inlineStr">
        <is>
          <t>BH06-S_20260115_02</t>
        </is>
      </c>
      <c r="I251" s="92">
        <f>IF(OR(H251="",AI251=0),0,IF(INDEX(Samples[樣品重複筆數],AI251)=1,AI251,0))</f>
        <v/>
      </c>
      <c r="J251" s="92">
        <f>IF(OR(COUNTA($A251:$D251)=0,I251=0),"",IF(INDEX(Samples[介質],I251)="","",INDEX(Samples[介質],I251)))</f>
        <v/>
      </c>
      <c r="K251" s="92">
        <f>IF(OR(COUNTA($A251:$D251)=0,T251=0),"",IF(INDEX(DB_04[標準單位],T251)="","",INDEX(DB_04[標準單位],T251)))</f>
        <v/>
      </c>
      <c r="L251" s="92">
        <f>IF(COUNTA($A251:$D251)=0,"",IF(OR(C251="",K251=""),"",IF(C251=K251,1,IF(COUNTIFS(DB_06[換算鍵],C251&amp;"|"&amp;K251,DB_06[換算檢查],"OK")=1,INDEX(DB_06[乘數],MATCH(C251&amp;"|"&amp;K251,DB_06[換算鍵],0)),""))))</f>
        <v/>
      </c>
      <c r="M251" s="92">
        <f>UPPER(SUBSTITUTE(SUBSTITUTE(SUBSTITUTE(SUBSTITUTE(TRIM(B251&amp;""),"＜","&lt;"),"＞","&gt;"),"≤","&lt;="),"≥","&gt;="))</f>
        <v/>
      </c>
      <c r="N251" s="92">
        <f>IF(M251="","",IF(OR(M251="ND",M251="N.D."),"ND",IF(OR(M251="NA",M251="N/A",M251="N.A."),"NA",IF(OR(LEFT(M251,2)="&lt;=",LEFT(M251,2)="&gt;="),LEFT(M251,2),IF(OR(LEFT(M251,1)="&lt;",LEFT(M251,1)="&gt;"),LEFT(M251,1),"數值")))))</f>
        <v/>
      </c>
      <c r="O251" s="92">
        <f>IF(OR(N251="",N251="ND",N251="NA"),"",IF(N251="數值",M251,TRIM(MID(M251,LEN(N251)+1,99))))</f>
        <v/>
      </c>
      <c r="P251" s="92">
        <f>IF(O251="","",IFERROR(IF(OR(OR(ISNUMBER(SEARCH("%",O251)),ISNUMBER(SEARCH(" ",O251)),ISNUMBER(SEARCH(",",O251))),OR(SUBSTITUTE(SUBSTITUTE(SUBSTITUTE(SUBSTITUTE(SUBSTITUTE(SUBSTITUTE(SUBSTITUTE(SUBSTITUTE(SUBSTITUTE(SUBSTITUTE(SUBSTITUTE(SUBSTITUTE(SUBSTITUTE(SUBSTITUTE(SUBSTITUTE(SUBSTITUTE(SUBSTITUTE(SUBSTITUTE("x"&amp;O251,"0",""),"1",""),"2",""),"3",""),"4",""),"5",""),"6",""),"7",""),"8",""),"9",""),".",""),"E",""),"+",""),"-",""),"&lt;",""),"&gt;",""),"=","")," ","")&lt;&gt;"x",ISNUMBER(SEARCH("-",SUBSTITUTE(SUBSTITUTE("x"&amp;MID(O251,2,99),"E-","E"),"E+","E"))),ISNUMBER(SEARCH("+",SUBSTITUTE(SUBSTITUTE("x"&amp;MID(O251,2,99),"E-","E"),"E+","E"))))),"",IF(ISNUMBER(AH251),AH251,NA())),""))</f>
        <v/>
      </c>
      <c r="Q251" s="92">
        <f>IF(AND(ISNUMBER(L251),ISNUMBER(P251)),L251*P251,"")</f>
        <v/>
      </c>
      <c r="R251" s="92">
        <f>IF(OR(COUNTA($A251:$D251)=0,U251=0),"",IF(INDEX(DB_05[管制設定值],U251)="","",INDEX(DB_05[管制設定值],U251)))</f>
        <v/>
      </c>
      <c r="S251" s="92">
        <f>IF(OR(COUNTA($A251:$D251)=0,U251=0),"",IF(INDEX(DB_05[監測設定值],U251)="","",INDEX(DB_05[監測設定值],U251)))</f>
        <v/>
      </c>
      <c r="T251" s="92">
        <f>IF(COUNTA($A251:$D251)=0,"",IF(COUNTIFS(DB_04[測項鍵],V251)=1,MATCH(V251,DB_04[測項鍵],0),0))</f>
        <v/>
      </c>
      <c r="U251" s="92">
        <f>IF(COUNTA($A251:$D251)=0,"",IF(COUNTIFS(DB_05[標準鍵],W251)=1,MATCH(W251,DB_05[標準鍵],0),0))</f>
        <v/>
      </c>
      <c r="V251" s="92">
        <f>IF(OR(J251="",A251=""),"",J251&amp;"|"&amp;A251)</f>
        <v/>
      </c>
      <c r="W251" s="92">
        <f>IF(OR('07_QAQC'!$C$3="",V251=""),"",'07_QAQC'!$C$3&amp;"|"&amp;V251)</f>
        <v/>
      </c>
      <c r="X251" s="92">
        <f>IF(OR(H251="",A251=""),"",LEN(H251)&amp;":"&amp;H251&amp;LEN(A251)&amp;":"&amp;A251)</f>
        <v/>
      </c>
      <c r="Y251" s="93">
        <f>IF(COUNTA($A251:$D251)=0,"",IF(I251=0,"樣品未建或重複",IF(INDEX(Samples[樣品檢查],I251)="","OK",INDEX(Samples[樣品檢查],I251))))</f>
        <v/>
      </c>
      <c r="Z251" s="93">
        <f>IF(COUNTA($A251:$D251)=0,"",IF(B251="","缺原始值",IF(OR(B251="-",B251="--"),"無資料",IF(N251="NA","不適用",IF(N251="ND","OK",IF(NOT(ISNUMBER(P251)),"格式待核",IF(AND(N251&lt;&gt;"數值",P251&lt;0),"界限不得為負","OK")))))))</f>
        <v/>
      </c>
      <c r="AA251" s="93">
        <f>IF(COUNTA(A251:D251)=0,"",IF(OR(A251="",H251=""),"缺識別欄位",IF(IF(LEN("="&amp;SUBSTITUTE(SUBSTITUTE(SUBSTITUTE(X251,"~","~~"),"*","~*"),"?","~?"))&lt;=255,COUNTIF(Results[結果識別鍵],"="&amp;SUBSTITUTE(SUBSTITUTE(SUBSTITUTE(X251,"~","~~"),"*","~*"),"?","~?")),COUNTIFS(Results[關聯鍵],"="&amp;SUBSTITUTE(SUBSTITUTE(SUBSTITUTE(H251,"~","~~"),"*","~*"),"?","~?"),Results[分析項目],"="&amp;SUBSTITUTE(SUBSTITUTE(SUBSTITUTE(A251,"~","~~"),"*","~*"),"?","~?")))&gt;1,"同關聯鍵測項重複","OK")))</f>
        <v/>
      </c>
      <c r="AB251" s="93">
        <f>IF(COUNTA($A251:$D251)=0,"",IF(OR(C251="",K251=""),"缺單位",IF(NOT(ISNUMBER(L251)),"單位不相容",IF(L251=1,"OK","已換算"))))</f>
        <v/>
      </c>
      <c r="AC251" s="93">
        <f>IF(COUNTA($A251:$D251)=0,"",IF('07_QAQC'!$C$3="","未選比較版本",IF(U251=0,IF(COUNTIFS(DB_05[標準鍵],W251)&gt;1,"標準鍵重複","未訂此介質／測項門檻"),IF(INDEX(DB_05[版本檢查],U251)&lt;&gt;"OK","標準主檔待核",IF(INDEX(DB_05[標準單位],U251)&lt;&gt;K251,"標準單位不符",IF(INDEX(DB_05[核對狀態],U251)="停用","停用",IF(F251="","缺採樣日期",IF(OR(AND(INDEX(DB_05[生效日],U251)&lt;&gt;"",F251&lt;INDEX(DB_05[生效日],U251)),AND(INDEX(DB_05[失效日],U251)&lt;&gt;"",F251&gt;INDEX(DB_05[失效日],U251))),"日期不適用",INDEX(DB_05[核對狀態],U251)))))))))</f>
        <v/>
      </c>
      <c r="AD251" s="93">
        <f>IF(COUNTA($A251:$D251)=0,"",IF(AC251="未訂此介質／測項門檻",AC251,IF(AC251&lt;&gt;"已核對","標準待核",IF(R251="","未訂管制值",IF(NOT(ISNUMBER(L251)),"單位待核",IF(N251="ND","無法判定（ND無界限）",IF(N251="NA","不適用",IF(Z251&lt;&gt;"OK",Z251,IF(N251="數值",IF(Q251&gt;=R251,"達管制值","未達管制值"),IF(OR(N251="&lt;",N251="&lt;="),IF(OR(Q251&lt;R251,AND(N251="&lt;",Q251=R251)),"未達管制值","無法判定"),IF(OR(N251="&gt;",N251="&gt;="),IF(Q251&gt;=R251,"達管制值","無法判定"),"格式待核")))))))))))</f>
        <v/>
      </c>
      <c r="AE251" s="93">
        <f>IF(COUNTA($A251:$D251)=0,"",IF(AC251="未訂此介質／測項門檻",AC251,IF(AC251&lt;&gt;"已核對","標準待核",IF(S251="","未訂監測值",IF(NOT(ISNUMBER(L251)),"單位待核",IF(N251="ND","無法判定（ND無界限）",IF(N251="NA","不適用",IF(Z251&lt;&gt;"OK",Z251,IF(N251="數值",IF(Q251&gt;=S251,"達監測值","未達監測值"),IF(OR(N251="&lt;",N251="&lt;="),IF(OR(Q251&lt;S251,AND(N251="&lt;",Q251=S251)),"未達監測值","無法判定"),IF(OR(N251="&gt;",N251="&gt;="),IF(Q251&gt;=S251,"達監測值","無法判定"),"格式待核")))))))))))</f>
        <v/>
      </c>
      <c r="AF251" s="93">
        <f>IF(COUNTA($A251:$D251)=0,"",IF(OR(E251="",A251="",B251="",C251=""),"缺必要欄位",IF(Y251&lt;&gt;"OK","樣品資料待補",IF(T251=0,"測項未建或重複",IF(INDEX(DB_04[啟用],T251)&lt;&gt;"是","測項停用",IF(AND(Z251&lt;&gt;"OK",Z251&lt;&gt;"不適用"),Z251,IF(AND(AB251&lt;&gt;"OK",AB251&lt;&gt;"已換算"),"單位待核",IF(AA251&lt;&gt;"OK",AA251,"OK"))))))))</f>
        <v/>
      </c>
      <c r="AG251" s="93">
        <f>IF(COUNTA($A251:$D251)=0,"",IF(N251="ND","ND取0",IF(OR(N251="&lt;",N251="&lt;="),"界限除以2",IF(N251="NA","不適用",IF(OR(N251="&gt;",N251="&gt;="),"保留界限數值","保留原數值")))))</f>
        <v/>
      </c>
      <c r="AH251" s="92">
        <f>IF(O251="","",IFERROR(_xlfn.NUMBERVALUE(O251,".",","),""))</f>
        <v/>
      </c>
      <c r="AI251" s="92">
        <f>IF(H251="","",IFERROR(MATCH(H251,Samples[樣品編號],0),0))</f>
        <v/>
      </c>
    </row>
    <row r="252">
      <c r="A252" s="27" t="inlineStr">
        <is>
          <t>pH</t>
        </is>
      </c>
      <c r="B252" s="28" t="inlineStr">
        <is>
          <t>6.98</t>
        </is>
      </c>
      <c r="C252" s="27" t="inlineStr">
        <is>
          <t>無因次</t>
        </is>
      </c>
      <c r="D252" s="39" t="inlineStr">
        <is>
          <t>合成資料，非實測；method=field</t>
        </is>
      </c>
      <c r="E252" s="29">
        <f>IF(OR(I252="",I252=0),"",IF(INDEX(Samples[監測點],I252)="","",INDEX(Samples[監測點],I252)))</f>
        <v/>
      </c>
      <c r="F252" s="90">
        <f>IF(OR(I252="",I252=0),"",IF(INDEX(Samples[採樣日期],I252)="","",INDEX(Samples[採樣日期],I252)))</f>
        <v/>
      </c>
      <c r="G252" s="91">
        <f>IF(OR(M252="",M252="NA",M252="N/A"),"",IF(OR(M252="ND",M252="N.D."),0,IFERROR(IF(OR(OR(ISNUMBER(SEARCH("%",O252)),ISNUMBER(SEARCH(" ",O252)),ISNUMBER(SEARCH(",",O252))),OR(SUBSTITUTE(SUBSTITUTE(SUBSTITUTE(SUBSTITUTE(SUBSTITUTE(SUBSTITUTE(SUBSTITUTE(SUBSTITUTE(SUBSTITUTE(SUBSTITUTE(SUBSTITUTE(SUBSTITUTE(SUBSTITUTE(SUBSTITUTE(SUBSTITUTE(SUBSTITUTE(SUBSTITUTE(SUBSTITUTE("x"&amp;M252,"0",""),"1",""),"2",""),"3",""),"4",""),"5",""),"6",""),"7",""),"8",""),"9",""),".",""),"E",""),"+",""),"-",""),"&lt;",""),"&gt;",""),"=","")," ","")&lt;&gt;"x",ISNUMBER(SEARCH("-",SUBSTITUTE(SUBSTITUTE("x"&amp;MID(M252,2,99),"E-","E"),"E+","E"))),ISNUMBER(SEARCH("+",SUBSTITUTE(SUBSTITUTE("x"&amp;MID(M252,2,99),"E-","E"),"E+","E"))))),"",IF(AND(OR(LEFT(M252,1)="&lt;",LEFT(M252,1)="&gt;"),IF(O252="",0,IF(ISNUMBER(AH252),AH252,NA()))&lt;0),"",IF(O252="",0,IF(ISNUMBER(AH252),AH252,NA()))/IF(LEFT(M252,1)="&lt;",2,1))),"")))</f>
        <v/>
      </c>
      <c r="H252" s="57" t="inlineStr">
        <is>
          <t>BH06-W_20260115_02</t>
        </is>
      </c>
      <c r="I252" s="92">
        <f>IF(OR(H252="",AI252=0),0,IF(INDEX(Samples[樣品重複筆數],AI252)=1,AI252,0))</f>
        <v/>
      </c>
      <c r="J252" s="92">
        <f>IF(OR(COUNTA($A252:$D252)=0,I252=0),"",IF(INDEX(Samples[介質],I252)="","",INDEX(Samples[介質],I252)))</f>
        <v/>
      </c>
      <c r="K252" s="92">
        <f>IF(OR(COUNTA($A252:$D252)=0,T252=0),"",IF(INDEX(DB_04[標準單位],T252)="","",INDEX(DB_04[標準單位],T252)))</f>
        <v/>
      </c>
      <c r="L252" s="92">
        <f>IF(COUNTA($A252:$D252)=0,"",IF(OR(C252="",K252=""),"",IF(C252=K252,1,IF(COUNTIFS(DB_06[換算鍵],C252&amp;"|"&amp;K252,DB_06[換算檢查],"OK")=1,INDEX(DB_06[乘數],MATCH(C252&amp;"|"&amp;K252,DB_06[換算鍵],0)),""))))</f>
        <v/>
      </c>
      <c r="M252" s="92">
        <f>UPPER(SUBSTITUTE(SUBSTITUTE(SUBSTITUTE(SUBSTITUTE(TRIM(B252&amp;""),"＜","&lt;"),"＞","&gt;"),"≤","&lt;="),"≥","&gt;="))</f>
        <v/>
      </c>
      <c r="N252" s="92">
        <f>IF(M252="","",IF(OR(M252="ND",M252="N.D."),"ND",IF(OR(M252="NA",M252="N/A",M252="N.A."),"NA",IF(OR(LEFT(M252,2)="&lt;=",LEFT(M252,2)="&gt;="),LEFT(M252,2),IF(OR(LEFT(M252,1)="&lt;",LEFT(M252,1)="&gt;"),LEFT(M252,1),"數值")))))</f>
        <v/>
      </c>
      <c r="O252" s="92">
        <f>IF(OR(N252="",N252="ND",N252="NA"),"",IF(N252="數值",M252,TRIM(MID(M252,LEN(N252)+1,99))))</f>
        <v/>
      </c>
      <c r="P252" s="92">
        <f>IF(O252="","",IFERROR(IF(OR(OR(ISNUMBER(SEARCH("%",O252)),ISNUMBER(SEARCH(" ",O252)),ISNUMBER(SEARCH(",",O252))),OR(SUBSTITUTE(SUBSTITUTE(SUBSTITUTE(SUBSTITUTE(SUBSTITUTE(SUBSTITUTE(SUBSTITUTE(SUBSTITUTE(SUBSTITUTE(SUBSTITUTE(SUBSTITUTE(SUBSTITUTE(SUBSTITUTE(SUBSTITUTE(SUBSTITUTE(SUBSTITUTE(SUBSTITUTE(SUBSTITUTE("x"&amp;O252,"0",""),"1",""),"2",""),"3",""),"4",""),"5",""),"6",""),"7",""),"8",""),"9",""),".",""),"E",""),"+",""),"-",""),"&lt;",""),"&gt;",""),"=","")," ","")&lt;&gt;"x",ISNUMBER(SEARCH("-",SUBSTITUTE(SUBSTITUTE("x"&amp;MID(O252,2,99),"E-","E"),"E+","E"))),ISNUMBER(SEARCH("+",SUBSTITUTE(SUBSTITUTE("x"&amp;MID(O252,2,99),"E-","E"),"E+","E"))))),"",IF(ISNUMBER(AH252),AH252,NA())),""))</f>
        <v/>
      </c>
      <c r="Q252" s="92">
        <f>IF(AND(ISNUMBER(L252),ISNUMBER(P252)),L252*P252,"")</f>
        <v/>
      </c>
      <c r="R252" s="92">
        <f>IF(OR(COUNTA($A252:$D252)=0,U252=0),"",IF(INDEX(DB_05[管制設定值],U252)="","",INDEX(DB_05[管制設定值],U252)))</f>
        <v/>
      </c>
      <c r="S252" s="92">
        <f>IF(OR(COUNTA($A252:$D252)=0,U252=0),"",IF(INDEX(DB_05[監測設定值],U252)="","",INDEX(DB_05[監測設定值],U252)))</f>
        <v/>
      </c>
      <c r="T252" s="92">
        <f>IF(COUNTA($A252:$D252)=0,"",IF(COUNTIFS(DB_04[測項鍵],V252)=1,MATCH(V252,DB_04[測項鍵],0),0))</f>
        <v/>
      </c>
      <c r="U252" s="92">
        <f>IF(COUNTA($A252:$D252)=0,"",IF(COUNTIFS(DB_05[標準鍵],W252)=1,MATCH(W252,DB_05[標準鍵],0),0))</f>
        <v/>
      </c>
      <c r="V252" s="92">
        <f>IF(OR(J252="",A252=""),"",J252&amp;"|"&amp;A252)</f>
        <v/>
      </c>
      <c r="W252" s="92">
        <f>IF(OR('07_QAQC'!$C$3="",V252=""),"",'07_QAQC'!$C$3&amp;"|"&amp;V252)</f>
        <v/>
      </c>
      <c r="X252" s="92">
        <f>IF(OR(H252="",A252=""),"",LEN(H252)&amp;":"&amp;H252&amp;LEN(A252)&amp;":"&amp;A252)</f>
        <v/>
      </c>
      <c r="Y252" s="93">
        <f>IF(COUNTA($A252:$D252)=0,"",IF(I252=0,"樣品未建或重複",IF(INDEX(Samples[樣品檢查],I252)="","OK",INDEX(Samples[樣品檢查],I252))))</f>
        <v/>
      </c>
      <c r="Z252" s="93">
        <f>IF(COUNTA($A252:$D252)=0,"",IF(B252="","缺原始值",IF(OR(B252="-",B252="--"),"無資料",IF(N252="NA","不適用",IF(N252="ND","OK",IF(NOT(ISNUMBER(P252)),"格式待核",IF(AND(N252&lt;&gt;"數值",P252&lt;0),"界限不得為負","OK")))))))</f>
        <v/>
      </c>
      <c r="AA252" s="93">
        <f>IF(COUNTA(A252:D252)=0,"",IF(OR(A252="",H252=""),"缺識別欄位",IF(IF(LEN("="&amp;SUBSTITUTE(SUBSTITUTE(SUBSTITUTE(X252,"~","~~"),"*","~*"),"?","~?"))&lt;=255,COUNTIF(Results[結果識別鍵],"="&amp;SUBSTITUTE(SUBSTITUTE(SUBSTITUTE(X252,"~","~~"),"*","~*"),"?","~?")),COUNTIFS(Results[關聯鍵],"="&amp;SUBSTITUTE(SUBSTITUTE(SUBSTITUTE(H252,"~","~~"),"*","~*"),"?","~?"),Results[分析項目],"="&amp;SUBSTITUTE(SUBSTITUTE(SUBSTITUTE(A252,"~","~~"),"*","~*"),"?","~?")))&gt;1,"同關聯鍵測項重複","OK")))</f>
        <v/>
      </c>
      <c r="AB252" s="93">
        <f>IF(COUNTA($A252:$D252)=0,"",IF(OR(C252="",K252=""),"缺單位",IF(NOT(ISNUMBER(L252)),"單位不相容",IF(L252=1,"OK","已換算"))))</f>
        <v/>
      </c>
      <c r="AC252" s="93">
        <f>IF(COUNTA($A252:$D252)=0,"",IF('07_QAQC'!$C$3="","未選比較版本",IF(U252=0,IF(COUNTIFS(DB_05[標準鍵],W252)&gt;1,"標準鍵重複","未訂此介質／測項門檻"),IF(INDEX(DB_05[版本檢查],U252)&lt;&gt;"OK","標準主檔待核",IF(INDEX(DB_05[標準單位],U252)&lt;&gt;K252,"標準單位不符",IF(INDEX(DB_05[核對狀態],U252)="停用","停用",IF(F252="","缺採樣日期",IF(OR(AND(INDEX(DB_05[生效日],U252)&lt;&gt;"",F252&lt;INDEX(DB_05[生效日],U252)),AND(INDEX(DB_05[失效日],U252)&lt;&gt;"",F252&gt;INDEX(DB_05[失效日],U252))),"日期不適用",INDEX(DB_05[核對狀態],U252)))))))))</f>
        <v/>
      </c>
      <c r="AD252" s="93">
        <f>IF(COUNTA($A252:$D252)=0,"",IF(AC252="未訂此介質／測項門檻",AC252,IF(AC252&lt;&gt;"已核對","標準待核",IF(R252="","未訂管制值",IF(NOT(ISNUMBER(L252)),"單位待核",IF(N252="ND","無法判定（ND無界限）",IF(N252="NA","不適用",IF(Z252&lt;&gt;"OK",Z252,IF(N252="數值",IF(Q252&gt;=R252,"達管制值","未達管制值"),IF(OR(N252="&lt;",N252="&lt;="),IF(OR(Q252&lt;R252,AND(N252="&lt;",Q252=R252)),"未達管制值","無法判定"),IF(OR(N252="&gt;",N252="&gt;="),IF(Q252&gt;=R252,"達管制值","無法判定"),"格式待核")))))))))))</f>
        <v/>
      </c>
      <c r="AE252" s="93">
        <f>IF(COUNTA($A252:$D252)=0,"",IF(AC252="未訂此介質／測項門檻",AC252,IF(AC252&lt;&gt;"已核對","標準待核",IF(S252="","未訂監測值",IF(NOT(ISNUMBER(L252)),"單位待核",IF(N252="ND","無法判定（ND無界限）",IF(N252="NA","不適用",IF(Z252&lt;&gt;"OK",Z252,IF(N252="數值",IF(Q252&gt;=S252,"達監測值","未達監測值"),IF(OR(N252="&lt;",N252="&lt;="),IF(OR(Q252&lt;S252,AND(N252="&lt;",Q252=S252)),"未達監測值","無法判定"),IF(OR(N252="&gt;",N252="&gt;="),IF(Q252&gt;=S252,"達監測值","無法判定"),"格式待核")))))))))))</f>
        <v/>
      </c>
      <c r="AF252" s="93">
        <f>IF(COUNTA($A252:$D252)=0,"",IF(OR(E252="",A252="",B252="",C252=""),"缺必要欄位",IF(Y252&lt;&gt;"OK","樣品資料待補",IF(T252=0,"測項未建或重複",IF(INDEX(DB_04[啟用],T252)&lt;&gt;"是","測項停用",IF(AND(Z252&lt;&gt;"OK",Z252&lt;&gt;"不適用"),Z252,IF(AND(AB252&lt;&gt;"OK",AB252&lt;&gt;"已換算"),"單位待核",IF(AA252&lt;&gt;"OK",AA252,"OK"))))))))</f>
        <v/>
      </c>
      <c r="AG252" s="93">
        <f>IF(COUNTA($A252:$D252)=0,"",IF(N252="ND","ND取0",IF(OR(N252="&lt;",N252="&lt;="),"界限除以2",IF(N252="NA","不適用",IF(OR(N252="&gt;",N252="&gt;="),"保留界限數值","保留原數值")))))</f>
        <v/>
      </c>
      <c r="AH252" s="92">
        <f>IF(O252="","",IFERROR(_xlfn.NUMBERVALUE(O252,".",","),""))</f>
        <v/>
      </c>
      <c r="AI252" s="92">
        <f>IF(H252="","",IFERROR(MATCH(H252,Samples[樣品編號],0),0))</f>
        <v/>
      </c>
    </row>
    <row r="253">
      <c r="A253" s="27" t="inlineStr">
        <is>
          <t>EC</t>
        </is>
      </c>
      <c r="B253" s="28" t="inlineStr">
        <is>
          <t>0.68</t>
        </is>
      </c>
      <c r="C253" s="27" t="inlineStr">
        <is>
          <t>mS/cm</t>
        </is>
      </c>
      <c r="D253" s="39" t="inlineStr">
        <is>
          <t>合成資料，非實測；method=field; temperature=25; temperature_compensated=25C; reference_temperature=25</t>
        </is>
      </c>
      <c r="E253" s="29">
        <f>IF(OR(I253="",I253=0),"",IF(INDEX(Samples[監測點],I253)="","",INDEX(Samples[監測點],I253)))</f>
        <v/>
      </c>
      <c r="F253" s="90">
        <f>IF(OR(I253="",I253=0),"",IF(INDEX(Samples[採樣日期],I253)="","",INDEX(Samples[採樣日期],I253)))</f>
        <v/>
      </c>
      <c r="G253" s="91">
        <f>IF(OR(M253="",M253="NA",M253="N/A"),"",IF(OR(M253="ND",M253="N.D."),0,IFERROR(IF(OR(OR(ISNUMBER(SEARCH("%",O253)),ISNUMBER(SEARCH(" ",O253)),ISNUMBER(SEARCH(",",O253))),OR(SUBSTITUTE(SUBSTITUTE(SUBSTITUTE(SUBSTITUTE(SUBSTITUTE(SUBSTITUTE(SUBSTITUTE(SUBSTITUTE(SUBSTITUTE(SUBSTITUTE(SUBSTITUTE(SUBSTITUTE(SUBSTITUTE(SUBSTITUTE(SUBSTITUTE(SUBSTITUTE(SUBSTITUTE(SUBSTITUTE("x"&amp;M253,"0",""),"1",""),"2",""),"3",""),"4",""),"5",""),"6",""),"7",""),"8",""),"9",""),".",""),"E",""),"+",""),"-",""),"&lt;",""),"&gt;",""),"=","")," ","")&lt;&gt;"x",ISNUMBER(SEARCH("-",SUBSTITUTE(SUBSTITUTE("x"&amp;MID(M253,2,99),"E-","E"),"E+","E"))),ISNUMBER(SEARCH("+",SUBSTITUTE(SUBSTITUTE("x"&amp;MID(M253,2,99),"E-","E"),"E+","E"))))),"",IF(AND(OR(LEFT(M253,1)="&lt;",LEFT(M253,1)="&gt;"),IF(O253="",0,IF(ISNUMBER(AH253),AH253,NA()))&lt;0),"",IF(O253="",0,IF(ISNUMBER(AH253),AH253,NA()))/IF(LEFT(M253,1)="&lt;",2,1))),"")))</f>
        <v/>
      </c>
      <c r="H253" s="57" t="inlineStr">
        <is>
          <t>BH06-W_20260115_02</t>
        </is>
      </c>
      <c r="I253" s="92">
        <f>IF(OR(H253="",AI253=0),0,IF(INDEX(Samples[樣品重複筆數],AI253)=1,AI253,0))</f>
        <v/>
      </c>
      <c r="J253" s="92">
        <f>IF(OR(COUNTA($A253:$D253)=0,I253=0),"",IF(INDEX(Samples[介質],I253)="","",INDEX(Samples[介質],I253)))</f>
        <v/>
      </c>
      <c r="K253" s="92">
        <f>IF(OR(COUNTA($A253:$D253)=0,T253=0),"",IF(INDEX(DB_04[標準單位],T253)="","",INDEX(DB_04[標準單位],T253)))</f>
        <v/>
      </c>
      <c r="L253" s="92">
        <f>IF(COUNTA($A253:$D253)=0,"",IF(OR(C253="",K253=""),"",IF(C253=K253,1,IF(COUNTIFS(DB_06[換算鍵],C253&amp;"|"&amp;K253,DB_06[換算檢查],"OK")=1,INDEX(DB_06[乘數],MATCH(C253&amp;"|"&amp;K253,DB_06[換算鍵],0)),""))))</f>
        <v/>
      </c>
      <c r="M253" s="92">
        <f>UPPER(SUBSTITUTE(SUBSTITUTE(SUBSTITUTE(SUBSTITUTE(TRIM(B253&amp;""),"＜","&lt;"),"＞","&gt;"),"≤","&lt;="),"≥","&gt;="))</f>
        <v/>
      </c>
      <c r="N253" s="92">
        <f>IF(M253="","",IF(OR(M253="ND",M253="N.D."),"ND",IF(OR(M253="NA",M253="N/A",M253="N.A."),"NA",IF(OR(LEFT(M253,2)="&lt;=",LEFT(M253,2)="&gt;="),LEFT(M253,2),IF(OR(LEFT(M253,1)="&lt;",LEFT(M253,1)="&gt;"),LEFT(M253,1),"數值")))))</f>
        <v/>
      </c>
      <c r="O253" s="92">
        <f>IF(OR(N253="",N253="ND",N253="NA"),"",IF(N253="數值",M253,TRIM(MID(M253,LEN(N253)+1,99))))</f>
        <v/>
      </c>
      <c r="P253" s="92">
        <f>IF(O253="","",IFERROR(IF(OR(OR(ISNUMBER(SEARCH("%",O253)),ISNUMBER(SEARCH(" ",O253)),ISNUMBER(SEARCH(",",O253))),OR(SUBSTITUTE(SUBSTITUTE(SUBSTITUTE(SUBSTITUTE(SUBSTITUTE(SUBSTITUTE(SUBSTITUTE(SUBSTITUTE(SUBSTITUTE(SUBSTITUTE(SUBSTITUTE(SUBSTITUTE(SUBSTITUTE(SUBSTITUTE(SUBSTITUTE(SUBSTITUTE(SUBSTITUTE(SUBSTITUTE("x"&amp;O253,"0",""),"1",""),"2",""),"3",""),"4",""),"5",""),"6",""),"7",""),"8",""),"9",""),".",""),"E",""),"+",""),"-",""),"&lt;",""),"&gt;",""),"=","")," ","")&lt;&gt;"x",ISNUMBER(SEARCH("-",SUBSTITUTE(SUBSTITUTE("x"&amp;MID(O253,2,99),"E-","E"),"E+","E"))),ISNUMBER(SEARCH("+",SUBSTITUTE(SUBSTITUTE("x"&amp;MID(O253,2,99),"E-","E"),"E+","E"))))),"",IF(ISNUMBER(AH253),AH253,NA())),""))</f>
        <v/>
      </c>
      <c r="Q253" s="92">
        <f>IF(AND(ISNUMBER(L253),ISNUMBER(P253)),L253*P253,"")</f>
        <v/>
      </c>
      <c r="R253" s="92">
        <f>IF(OR(COUNTA($A253:$D253)=0,U253=0),"",IF(INDEX(DB_05[管制設定值],U253)="","",INDEX(DB_05[管制設定值],U253)))</f>
        <v/>
      </c>
      <c r="S253" s="92">
        <f>IF(OR(COUNTA($A253:$D253)=0,U253=0),"",IF(INDEX(DB_05[監測設定值],U253)="","",INDEX(DB_05[監測設定值],U253)))</f>
        <v/>
      </c>
      <c r="T253" s="92">
        <f>IF(COUNTA($A253:$D253)=0,"",IF(COUNTIFS(DB_04[測項鍵],V253)=1,MATCH(V253,DB_04[測項鍵],0),0))</f>
        <v/>
      </c>
      <c r="U253" s="92">
        <f>IF(COUNTA($A253:$D253)=0,"",IF(COUNTIFS(DB_05[標準鍵],W253)=1,MATCH(W253,DB_05[標準鍵],0),0))</f>
        <v/>
      </c>
      <c r="V253" s="92">
        <f>IF(OR(J253="",A253=""),"",J253&amp;"|"&amp;A253)</f>
        <v/>
      </c>
      <c r="W253" s="92">
        <f>IF(OR('07_QAQC'!$C$3="",V253=""),"",'07_QAQC'!$C$3&amp;"|"&amp;V253)</f>
        <v/>
      </c>
      <c r="X253" s="92">
        <f>IF(OR(H253="",A253=""),"",LEN(H253)&amp;":"&amp;H253&amp;LEN(A253)&amp;":"&amp;A253)</f>
        <v/>
      </c>
      <c r="Y253" s="93">
        <f>IF(COUNTA($A253:$D253)=0,"",IF(I253=0,"樣品未建或重複",IF(INDEX(Samples[樣品檢查],I253)="","OK",INDEX(Samples[樣品檢查],I253))))</f>
        <v/>
      </c>
      <c r="Z253" s="93">
        <f>IF(COUNTA($A253:$D253)=0,"",IF(B253="","缺原始值",IF(OR(B253="-",B253="--"),"無資料",IF(N253="NA","不適用",IF(N253="ND","OK",IF(NOT(ISNUMBER(P253)),"格式待核",IF(AND(N253&lt;&gt;"數值",P253&lt;0),"界限不得為負","OK")))))))</f>
        <v/>
      </c>
      <c r="AA253" s="93">
        <f>IF(COUNTA(A253:D253)=0,"",IF(OR(A253="",H253=""),"缺識別欄位",IF(IF(LEN("="&amp;SUBSTITUTE(SUBSTITUTE(SUBSTITUTE(X253,"~","~~"),"*","~*"),"?","~?"))&lt;=255,COUNTIF(Results[結果識別鍵],"="&amp;SUBSTITUTE(SUBSTITUTE(SUBSTITUTE(X253,"~","~~"),"*","~*"),"?","~?")),COUNTIFS(Results[關聯鍵],"="&amp;SUBSTITUTE(SUBSTITUTE(SUBSTITUTE(H253,"~","~~"),"*","~*"),"?","~?"),Results[分析項目],"="&amp;SUBSTITUTE(SUBSTITUTE(SUBSTITUTE(A253,"~","~~"),"*","~*"),"?","~?")))&gt;1,"同關聯鍵測項重複","OK")))</f>
        <v/>
      </c>
      <c r="AB253" s="93">
        <f>IF(COUNTA($A253:$D253)=0,"",IF(OR(C253="",K253=""),"缺單位",IF(NOT(ISNUMBER(L253)),"單位不相容",IF(L253=1,"OK","已換算"))))</f>
        <v/>
      </c>
      <c r="AC253" s="93">
        <f>IF(COUNTA($A253:$D253)=0,"",IF('07_QAQC'!$C$3="","未選比較版本",IF(U253=0,IF(COUNTIFS(DB_05[標準鍵],W253)&gt;1,"標準鍵重複","未訂此介質／測項門檻"),IF(INDEX(DB_05[版本檢查],U253)&lt;&gt;"OK","標準主檔待核",IF(INDEX(DB_05[標準單位],U253)&lt;&gt;K253,"標準單位不符",IF(INDEX(DB_05[核對狀態],U253)="停用","停用",IF(F253="","缺採樣日期",IF(OR(AND(INDEX(DB_05[生效日],U253)&lt;&gt;"",F253&lt;INDEX(DB_05[生效日],U253)),AND(INDEX(DB_05[失效日],U253)&lt;&gt;"",F253&gt;INDEX(DB_05[失效日],U253))),"日期不適用",INDEX(DB_05[核對狀態],U253)))))))))</f>
        <v/>
      </c>
      <c r="AD253" s="93">
        <f>IF(COUNTA($A253:$D253)=0,"",IF(AC253="未訂此介質／測項門檻",AC253,IF(AC253&lt;&gt;"已核對","標準待核",IF(R253="","未訂管制值",IF(NOT(ISNUMBER(L253)),"單位待核",IF(N253="ND","無法判定（ND無界限）",IF(N253="NA","不適用",IF(Z253&lt;&gt;"OK",Z253,IF(N253="數值",IF(Q253&gt;=R253,"達管制值","未達管制值"),IF(OR(N253="&lt;",N253="&lt;="),IF(OR(Q253&lt;R253,AND(N253="&lt;",Q253=R253)),"未達管制值","無法判定"),IF(OR(N253="&gt;",N253="&gt;="),IF(Q253&gt;=R253,"達管制值","無法判定"),"格式待核")))))))))))</f>
        <v/>
      </c>
      <c r="AE253" s="93">
        <f>IF(COUNTA($A253:$D253)=0,"",IF(AC253="未訂此介質／測項門檻",AC253,IF(AC253&lt;&gt;"已核對","標準待核",IF(S253="","未訂監測值",IF(NOT(ISNUMBER(L253)),"單位待核",IF(N253="ND","無法判定（ND無界限）",IF(N253="NA","不適用",IF(Z253&lt;&gt;"OK",Z253,IF(N253="數值",IF(Q253&gt;=S253,"達監測值","未達監測值"),IF(OR(N253="&lt;",N253="&lt;="),IF(OR(Q253&lt;S253,AND(N253="&lt;",Q253=S253)),"未達監測值","無法判定"),IF(OR(N253="&gt;",N253="&gt;="),IF(Q253&gt;=S253,"達監測值","無法判定"),"格式待核")))))))))))</f>
        <v/>
      </c>
      <c r="AF253" s="93">
        <f>IF(COUNTA($A253:$D253)=0,"",IF(OR(E253="",A253="",B253="",C253=""),"缺必要欄位",IF(Y253&lt;&gt;"OK","樣品資料待補",IF(T253=0,"測項未建或重複",IF(INDEX(DB_04[啟用],T253)&lt;&gt;"是","測項停用",IF(AND(Z253&lt;&gt;"OK",Z253&lt;&gt;"不適用"),Z253,IF(AND(AB253&lt;&gt;"OK",AB253&lt;&gt;"已換算"),"單位待核",IF(AA253&lt;&gt;"OK",AA253,"OK"))))))))</f>
        <v/>
      </c>
      <c r="AG253" s="93">
        <f>IF(COUNTA($A253:$D253)=0,"",IF(N253="ND","ND取0",IF(OR(N253="&lt;",N253="&lt;="),"界限除以2",IF(N253="NA","不適用",IF(OR(N253="&gt;",N253="&gt;="),"保留界限數值","保留原數值")))))</f>
        <v/>
      </c>
      <c r="AH253" s="92">
        <f>IF(O253="","",IFERROR(_xlfn.NUMBERVALUE(O253,".",","),""))</f>
        <v/>
      </c>
      <c r="AI253" s="92">
        <f>IF(H253="","",IFERROR(MATCH(H253,Samples[樣品編號],0),0))</f>
        <v/>
      </c>
    </row>
    <row r="254">
      <c r="A254" s="27" t="inlineStr">
        <is>
          <t>DO</t>
        </is>
      </c>
      <c r="B254" s="28" t="inlineStr">
        <is>
          <t>4.2</t>
        </is>
      </c>
      <c r="C254" s="27" t="inlineStr">
        <is>
          <t>mg/L</t>
        </is>
      </c>
      <c r="D254" s="39" t="inlineStr">
        <is>
          <t>合成資料，非實測；method=field</t>
        </is>
      </c>
      <c r="E254" s="29">
        <f>IF(OR(I254="",I254=0),"",IF(INDEX(Samples[監測點],I254)="","",INDEX(Samples[監測點],I254)))</f>
        <v/>
      </c>
      <c r="F254" s="90">
        <f>IF(OR(I254="",I254=0),"",IF(INDEX(Samples[採樣日期],I254)="","",INDEX(Samples[採樣日期],I254)))</f>
        <v/>
      </c>
      <c r="G254" s="91">
        <f>IF(OR(M254="",M254="NA",M254="N/A"),"",IF(OR(M254="ND",M254="N.D."),0,IFERROR(IF(OR(OR(ISNUMBER(SEARCH("%",O254)),ISNUMBER(SEARCH(" ",O254)),ISNUMBER(SEARCH(",",O254))),OR(SUBSTITUTE(SUBSTITUTE(SUBSTITUTE(SUBSTITUTE(SUBSTITUTE(SUBSTITUTE(SUBSTITUTE(SUBSTITUTE(SUBSTITUTE(SUBSTITUTE(SUBSTITUTE(SUBSTITUTE(SUBSTITUTE(SUBSTITUTE(SUBSTITUTE(SUBSTITUTE(SUBSTITUTE(SUBSTITUTE("x"&amp;M254,"0",""),"1",""),"2",""),"3",""),"4",""),"5",""),"6",""),"7",""),"8",""),"9",""),".",""),"E",""),"+",""),"-",""),"&lt;",""),"&gt;",""),"=","")," ","")&lt;&gt;"x",ISNUMBER(SEARCH("-",SUBSTITUTE(SUBSTITUTE("x"&amp;MID(M254,2,99),"E-","E"),"E+","E"))),ISNUMBER(SEARCH("+",SUBSTITUTE(SUBSTITUTE("x"&amp;MID(M254,2,99),"E-","E"),"E+","E"))))),"",IF(AND(OR(LEFT(M254,1)="&lt;",LEFT(M254,1)="&gt;"),IF(O254="",0,IF(ISNUMBER(AH254),AH254,NA()))&lt;0),"",IF(O254="",0,IF(ISNUMBER(AH254),AH254,NA()))/IF(LEFT(M254,1)="&lt;",2,1))),"")))</f>
        <v/>
      </c>
      <c r="H254" s="57" t="inlineStr">
        <is>
          <t>BH06-W_20260115_02</t>
        </is>
      </c>
      <c r="I254" s="92">
        <f>IF(OR(H254="",AI254=0),0,IF(INDEX(Samples[樣品重複筆數],AI254)=1,AI254,0))</f>
        <v/>
      </c>
      <c r="J254" s="92">
        <f>IF(OR(COUNTA($A254:$D254)=0,I254=0),"",IF(INDEX(Samples[介質],I254)="","",INDEX(Samples[介質],I254)))</f>
        <v/>
      </c>
      <c r="K254" s="92">
        <f>IF(OR(COUNTA($A254:$D254)=0,T254=0),"",IF(INDEX(DB_04[標準單位],T254)="","",INDEX(DB_04[標準單位],T254)))</f>
        <v/>
      </c>
      <c r="L254" s="92">
        <f>IF(COUNTA($A254:$D254)=0,"",IF(OR(C254="",K254=""),"",IF(C254=K254,1,IF(COUNTIFS(DB_06[換算鍵],C254&amp;"|"&amp;K254,DB_06[換算檢查],"OK")=1,INDEX(DB_06[乘數],MATCH(C254&amp;"|"&amp;K254,DB_06[換算鍵],0)),""))))</f>
        <v/>
      </c>
      <c r="M254" s="92">
        <f>UPPER(SUBSTITUTE(SUBSTITUTE(SUBSTITUTE(SUBSTITUTE(TRIM(B254&amp;""),"＜","&lt;"),"＞","&gt;"),"≤","&lt;="),"≥","&gt;="))</f>
        <v/>
      </c>
      <c r="N254" s="92">
        <f>IF(M254="","",IF(OR(M254="ND",M254="N.D."),"ND",IF(OR(M254="NA",M254="N/A",M254="N.A."),"NA",IF(OR(LEFT(M254,2)="&lt;=",LEFT(M254,2)="&gt;="),LEFT(M254,2),IF(OR(LEFT(M254,1)="&lt;",LEFT(M254,1)="&gt;"),LEFT(M254,1),"數值")))))</f>
        <v/>
      </c>
      <c r="O254" s="92">
        <f>IF(OR(N254="",N254="ND",N254="NA"),"",IF(N254="數值",M254,TRIM(MID(M254,LEN(N254)+1,99))))</f>
        <v/>
      </c>
      <c r="P254" s="92">
        <f>IF(O254="","",IFERROR(IF(OR(OR(ISNUMBER(SEARCH("%",O254)),ISNUMBER(SEARCH(" ",O254)),ISNUMBER(SEARCH(",",O254))),OR(SUBSTITUTE(SUBSTITUTE(SUBSTITUTE(SUBSTITUTE(SUBSTITUTE(SUBSTITUTE(SUBSTITUTE(SUBSTITUTE(SUBSTITUTE(SUBSTITUTE(SUBSTITUTE(SUBSTITUTE(SUBSTITUTE(SUBSTITUTE(SUBSTITUTE(SUBSTITUTE(SUBSTITUTE(SUBSTITUTE("x"&amp;O254,"0",""),"1",""),"2",""),"3",""),"4",""),"5",""),"6",""),"7",""),"8",""),"9",""),".",""),"E",""),"+",""),"-",""),"&lt;",""),"&gt;",""),"=","")," ","")&lt;&gt;"x",ISNUMBER(SEARCH("-",SUBSTITUTE(SUBSTITUTE("x"&amp;MID(O254,2,99),"E-","E"),"E+","E"))),ISNUMBER(SEARCH("+",SUBSTITUTE(SUBSTITUTE("x"&amp;MID(O254,2,99),"E-","E"),"E+","E"))))),"",IF(ISNUMBER(AH254),AH254,NA())),""))</f>
        <v/>
      </c>
      <c r="Q254" s="92">
        <f>IF(AND(ISNUMBER(L254),ISNUMBER(P254)),L254*P254,"")</f>
        <v/>
      </c>
      <c r="R254" s="92">
        <f>IF(OR(COUNTA($A254:$D254)=0,U254=0),"",IF(INDEX(DB_05[管制設定值],U254)="","",INDEX(DB_05[管制設定值],U254)))</f>
        <v/>
      </c>
      <c r="S254" s="92">
        <f>IF(OR(COUNTA($A254:$D254)=0,U254=0),"",IF(INDEX(DB_05[監測設定值],U254)="","",INDEX(DB_05[監測設定值],U254)))</f>
        <v/>
      </c>
      <c r="T254" s="92">
        <f>IF(COUNTA($A254:$D254)=0,"",IF(COUNTIFS(DB_04[測項鍵],V254)=1,MATCH(V254,DB_04[測項鍵],0),0))</f>
        <v/>
      </c>
      <c r="U254" s="92">
        <f>IF(COUNTA($A254:$D254)=0,"",IF(COUNTIFS(DB_05[標準鍵],W254)=1,MATCH(W254,DB_05[標準鍵],0),0))</f>
        <v/>
      </c>
      <c r="V254" s="92">
        <f>IF(OR(J254="",A254=""),"",J254&amp;"|"&amp;A254)</f>
        <v/>
      </c>
      <c r="W254" s="92">
        <f>IF(OR('07_QAQC'!$C$3="",V254=""),"",'07_QAQC'!$C$3&amp;"|"&amp;V254)</f>
        <v/>
      </c>
      <c r="X254" s="92">
        <f>IF(OR(H254="",A254=""),"",LEN(H254)&amp;":"&amp;H254&amp;LEN(A254)&amp;":"&amp;A254)</f>
        <v/>
      </c>
      <c r="Y254" s="93">
        <f>IF(COUNTA($A254:$D254)=0,"",IF(I254=0,"樣品未建或重複",IF(INDEX(Samples[樣品檢查],I254)="","OK",INDEX(Samples[樣品檢查],I254))))</f>
        <v/>
      </c>
      <c r="Z254" s="93">
        <f>IF(COUNTA($A254:$D254)=0,"",IF(B254="","缺原始值",IF(OR(B254="-",B254="--"),"無資料",IF(N254="NA","不適用",IF(N254="ND","OK",IF(NOT(ISNUMBER(P254)),"格式待核",IF(AND(N254&lt;&gt;"數值",P254&lt;0),"界限不得為負","OK")))))))</f>
        <v/>
      </c>
      <c r="AA254" s="93">
        <f>IF(COUNTA(A254:D254)=0,"",IF(OR(A254="",H254=""),"缺識別欄位",IF(IF(LEN("="&amp;SUBSTITUTE(SUBSTITUTE(SUBSTITUTE(X254,"~","~~"),"*","~*"),"?","~?"))&lt;=255,COUNTIF(Results[結果識別鍵],"="&amp;SUBSTITUTE(SUBSTITUTE(SUBSTITUTE(X254,"~","~~"),"*","~*"),"?","~?")),COUNTIFS(Results[關聯鍵],"="&amp;SUBSTITUTE(SUBSTITUTE(SUBSTITUTE(H254,"~","~~"),"*","~*"),"?","~?"),Results[分析項目],"="&amp;SUBSTITUTE(SUBSTITUTE(SUBSTITUTE(A254,"~","~~"),"*","~*"),"?","~?")))&gt;1,"同關聯鍵測項重複","OK")))</f>
        <v/>
      </c>
      <c r="AB254" s="93">
        <f>IF(COUNTA($A254:$D254)=0,"",IF(OR(C254="",K254=""),"缺單位",IF(NOT(ISNUMBER(L254)),"單位不相容",IF(L254=1,"OK","已換算"))))</f>
        <v/>
      </c>
      <c r="AC254" s="93">
        <f>IF(COUNTA($A254:$D254)=0,"",IF('07_QAQC'!$C$3="","未選比較版本",IF(U254=0,IF(COUNTIFS(DB_05[標準鍵],W254)&gt;1,"標準鍵重複","未訂此介質／測項門檻"),IF(INDEX(DB_05[版本檢查],U254)&lt;&gt;"OK","標準主檔待核",IF(INDEX(DB_05[標準單位],U254)&lt;&gt;K254,"標準單位不符",IF(INDEX(DB_05[核對狀態],U254)="停用","停用",IF(F254="","缺採樣日期",IF(OR(AND(INDEX(DB_05[生效日],U254)&lt;&gt;"",F254&lt;INDEX(DB_05[生效日],U254)),AND(INDEX(DB_05[失效日],U254)&lt;&gt;"",F254&gt;INDEX(DB_05[失效日],U254))),"日期不適用",INDEX(DB_05[核對狀態],U254)))))))))</f>
        <v/>
      </c>
      <c r="AD254" s="93">
        <f>IF(COUNTA($A254:$D254)=0,"",IF(AC254="未訂此介質／測項門檻",AC254,IF(AC254&lt;&gt;"已核對","標準待核",IF(R254="","未訂管制值",IF(NOT(ISNUMBER(L254)),"單位待核",IF(N254="ND","無法判定（ND無界限）",IF(N254="NA","不適用",IF(Z254&lt;&gt;"OK",Z254,IF(N254="數值",IF(Q254&gt;=R254,"達管制值","未達管制值"),IF(OR(N254="&lt;",N254="&lt;="),IF(OR(Q254&lt;R254,AND(N254="&lt;",Q254=R254)),"未達管制值","無法判定"),IF(OR(N254="&gt;",N254="&gt;="),IF(Q254&gt;=R254,"達管制值","無法判定"),"格式待核")))))))))))</f>
        <v/>
      </c>
      <c r="AE254" s="93">
        <f>IF(COUNTA($A254:$D254)=0,"",IF(AC254="未訂此介質／測項門檻",AC254,IF(AC254&lt;&gt;"已核對","標準待核",IF(S254="","未訂監測值",IF(NOT(ISNUMBER(L254)),"單位待核",IF(N254="ND","無法判定（ND無界限）",IF(N254="NA","不適用",IF(Z254&lt;&gt;"OK",Z254,IF(N254="數值",IF(Q254&gt;=S254,"達監測值","未達監測值"),IF(OR(N254="&lt;",N254="&lt;="),IF(OR(Q254&lt;S254,AND(N254="&lt;",Q254=S254)),"未達監測值","無法判定"),IF(OR(N254="&gt;",N254="&gt;="),IF(Q254&gt;=S254,"達監測值","無法判定"),"格式待核")))))))))))</f>
        <v/>
      </c>
      <c r="AF254" s="93">
        <f>IF(COUNTA($A254:$D254)=0,"",IF(OR(E254="",A254="",B254="",C254=""),"缺必要欄位",IF(Y254&lt;&gt;"OK","樣品資料待補",IF(T254=0,"測項未建或重複",IF(INDEX(DB_04[啟用],T254)&lt;&gt;"是","測項停用",IF(AND(Z254&lt;&gt;"OK",Z254&lt;&gt;"不適用"),Z254,IF(AND(AB254&lt;&gt;"OK",AB254&lt;&gt;"已換算"),"單位待核",IF(AA254&lt;&gt;"OK",AA254,"OK"))))))))</f>
        <v/>
      </c>
      <c r="AG254" s="93">
        <f>IF(COUNTA($A254:$D254)=0,"",IF(N254="ND","ND取0",IF(OR(N254="&lt;",N254="&lt;="),"界限除以2",IF(N254="NA","不適用",IF(OR(N254="&gt;",N254="&gt;="),"保留界限數值","保留原數值")))))</f>
        <v/>
      </c>
      <c r="AH254" s="92">
        <f>IF(O254="","",IFERROR(_xlfn.NUMBERVALUE(O254,".",","),""))</f>
        <v/>
      </c>
      <c r="AI254" s="92">
        <f>IF(H254="","",IFERROR(MATCH(H254,Samples[樣品編號],0),0))</f>
        <v/>
      </c>
    </row>
    <row r="255" ht="28.5" customHeight="1">
      <c r="A255" s="27" t="inlineStr">
        <is>
          <t>溶氧飽和度</t>
        </is>
      </c>
      <c r="B255" s="28" t="inlineStr">
        <is>
          <t>54</t>
        </is>
      </c>
      <c r="C255" s="27" t="inlineStr">
        <is>
          <t>%</t>
        </is>
      </c>
      <c r="D255" s="39" t="inlineStr">
        <is>
          <t>合成資料，非實測；method=field</t>
        </is>
      </c>
      <c r="E255" s="29">
        <f>IF(OR(I255="",I255=0),"",IF(INDEX(Samples[監測點],I255)="","",INDEX(Samples[監測點],I255)))</f>
        <v/>
      </c>
      <c r="F255" s="90">
        <f>IF(OR(I255="",I255=0),"",IF(INDEX(Samples[採樣日期],I255)="","",INDEX(Samples[採樣日期],I255)))</f>
        <v/>
      </c>
      <c r="G255" s="91">
        <f>IF(OR(M255="",M255="NA",M255="N/A"),"",IF(OR(M255="ND",M255="N.D."),0,IFERROR(IF(OR(OR(ISNUMBER(SEARCH("%",O255)),ISNUMBER(SEARCH(" ",O255)),ISNUMBER(SEARCH(",",O255))),OR(SUBSTITUTE(SUBSTITUTE(SUBSTITUTE(SUBSTITUTE(SUBSTITUTE(SUBSTITUTE(SUBSTITUTE(SUBSTITUTE(SUBSTITUTE(SUBSTITUTE(SUBSTITUTE(SUBSTITUTE(SUBSTITUTE(SUBSTITUTE(SUBSTITUTE(SUBSTITUTE(SUBSTITUTE(SUBSTITUTE("x"&amp;M255,"0",""),"1",""),"2",""),"3",""),"4",""),"5",""),"6",""),"7",""),"8",""),"9",""),".",""),"E",""),"+",""),"-",""),"&lt;",""),"&gt;",""),"=","")," ","")&lt;&gt;"x",ISNUMBER(SEARCH("-",SUBSTITUTE(SUBSTITUTE("x"&amp;MID(M255,2,99),"E-","E"),"E+","E"))),ISNUMBER(SEARCH("+",SUBSTITUTE(SUBSTITUTE("x"&amp;MID(M255,2,99),"E-","E"),"E+","E"))))),"",IF(AND(OR(LEFT(M255,1)="&lt;",LEFT(M255,1)="&gt;"),IF(O255="",0,IF(ISNUMBER(AH255),AH255,NA()))&lt;0),"",IF(O255="",0,IF(ISNUMBER(AH255),AH255,NA()))/IF(LEFT(M255,1)="&lt;",2,1))),"")))</f>
        <v/>
      </c>
      <c r="H255" s="57" t="inlineStr">
        <is>
          <t>BH06-W_20260115_02</t>
        </is>
      </c>
      <c r="I255" s="92">
        <f>IF(OR(H255="",AI255=0),0,IF(INDEX(Samples[樣品重複筆數],AI255)=1,AI255,0))</f>
        <v/>
      </c>
      <c r="J255" s="92">
        <f>IF(OR(COUNTA($A255:$D255)=0,I255=0),"",IF(INDEX(Samples[介質],I255)="","",INDEX(Samples[介質],I255)))</f>
        <v/>
      </c>
      <c r="K255" s="92">
        <f>IF(OR(COUNTA($A255:$D255)=0,T255=0),"",IF(INDEX(DB_04[標準單位],T255)="","",INDEX(DB_04[標準單位],T255)))</f>
        <v/>
      </c>
      <c r="L255" s="92">
        <f>IF(COUNTA($A255:$D255)=0,"",IF(OR(C255="",K255=""),"",IF(C255=K255,1,IF(COUNTIFS(DB_06[換算鍵],C255&amp;"|"&amp;K255,DB_06[換算檢查],"OK")=1,INDEX(DB_06[乘數],MATCH(C255&amp;"|"&amp;K255,DB_06[換算鍵],0)),""))))</f>
        <v/>
      </c>
      <c r="M255" s="92">
        <f>UPPER(SUBSTITUTE(SUBSTITUTE(SUBSTITUTE(SUBSTITUTE(TRIM(B255&amp;""),"＜","&lt;"),"＞","&gt;"),"≤","&lt;="),"≥","&gt;="))</f>
        <v/>
      </c>
      <c r="N255" s="92">
        <f>IF(M255="","",IF(OR(M255="ND",M255="N.D."),"ND",IF(OR(M255="NA",M255="N/A",M255="N.A."),"NA",IF(OR(LEFT(M255,2)="&lt;=",LEFT(M255,2)="&gt;="),LEFT(M255,2),IF(OR(LEFT(M255,1)="&lt;",LEFT(M255,1)="&gt;"),LEFT(M255,1),"數值")))))</f>
        <v/>
      </c>
      <c r="O255" s="92">
        <f>IF(OR(N255="",N255="ND",N255="NA"),"",IF(N255="數值",M255,TRIM(MID(M255,LEN(N255)+1,99))))</f>
        <v/>
      </c>
      <c r="P255" s="92">
        <f>IF(O255="","",IFERROR(IF(OR(OR(ISNUMBER(SEARCH("%",O255)),ISNUMBER(SEARCH(" ",O255)),ISNUMBER(SEARCH(",",O255))),OR(SUBSTITUTE(SUBSTITUTE(SUBSTITUTE(SUBSTITUTE(SUBSTITUTE(SUBSTITUTE(SUBSTITUTE(SUBSTITUTE(SUBSTITUTE(SUBSTITUTE(SUBSTITUTE(SUBSTITUTE(SUBSTITUTE(SUBSTITUTE(SUBSTITUTE(SUBSTITUTE(SUBSTITUTE(SUBSTITUTE("x"&amp;O255,"0",""),"1",""),"2",""),"3",""),"4",""),"5",""),"6",""),"7",""),"8",""),"9",""),".",""),"E",""),"+",""),"-",""),"&lt;",""),"&gt;",""),"=","")," ","")&lt;&gt;"x",ISNUMBER(SEARCH("-",SUBSTITUTE(SUBSTITUTE("x"&amp;MID(O255,2,99),"E-","E"),"E+","E"))),ISNUMBER(SEARCH("+",SUBSTITUTE(SUBSTITUTE("x"&amp;MID(O255,2,99),"E-","E"),"E+","E"))))),"",IF(ISNUMBER(AH255),AH255,NA())),""))</f>
        <v/>
      </c>
      <c r="Q255" s="92">
        <f>IF(AND(ISNUMBER(L255),ISNUMBER(P255)),L255*P255,"")</f>
        <v/>
      </c>
      <c r="R255" s="92">
        <f>IF(OR(COUNTA($A255:$D255)=0,U255=0),"",IF(INDEX(DB_05[管制設定值],U255)="","",INDEX(DB_05[管制設定值],U255)))</f>
        <v/>
      </c>
      <c r="S255" s="92">
        <f>IF(OR(COUNTA($A255:$D255)=0,U255=0),"",IF(INDEX(DB_05[監測設定值],U255)="","",INDEX(DB_05[監測設定值],U255)))</f>
        <v/>
      </c>
      <c r="T255" s="92">
        <f>IF(COUNTA($A255:$D255)=0,"",IF(COUNTIFS(DB_04[測項鍵],V255)=1,MATCH(V255,DB_04[測項鍵],0),0))</f>
        <v/>
      </c>
      <c r="U255" s="92">
        <f>IF(COUNTA($A255:$D255)=0,"",IF(COUNTIFS(DB_05[標準鍵],W255)=1,MATCH(W255,DB_05[標準鍵],0),0))</f>
        <v/>
      </c>
      <c r="V255" s="92">
        <f>IF(OR(J255="",A255=""),"",J255&amp;"|"&amp;A255)</f>
        <v/>
      </c>
      <c r="W255" s="92">
        <f>IF(OR('07_QAQC'!$C$3="",V255=""),"",'07_QAQC'!$C$3&amp;"|"&amp;V255)</f>
        <v/>
      </c>
      <c r="X255" s="92">
        <f>IF(OR(H255="",A255=""),"",LEN(H255)&amp;":"&amp;H255&amp;LEN(A255)&amp;":"&amp;A255)</f>
        <v/>
      </c>
      <c r="Y255" s="93">
        <f>IF(COUNTA($A255:$D255)=0,"",IF(I255=0,"樣品未建或重複",IF(INDEX(Samples[樣品檢查],I255)="","OK",INDEX(Samples[樣品檢查],I255))))</f>
        <v/>
      </c>
      <c r="Z255" s="93">
        <f>IF(COUNTA($A255:$D255)=0,"",IF(B255="","缺原始值",IF(OR(B255="-",B255="--"),"無資料",IF(N255="NA","不適用",IF(N255="ND","OK",IF(NOT(ISNUMBER(P255)),"格式待核",IF(AND(N255&lt;&gt;"數值",P255&lt;0),"界限不得為負","OK")))))))</f>
        <v/>
      </c>
      <c r="AA255" s="93">
        <f>IF(COUNTA(A255:D255)=0,"",IF(OR(A255="",H255=""),"缺識別欄位",IF(IF(LEN("="&amp;SUBSTITUTE(SUBSTITUTE(SUBSTITUTE(X255,"~","~~"),"*","~*"),"?","~?"))&lt;=255,COUNTIF(Results[結果識別鍵],"="&amp;SUBSTITUTE(SUBSTITUTE(SUBSTITUTE(X255,"~","~~"),"*","~*"),"?","~?")),COUNTIFS(Results[關聯鍵],"="&amp;SUBSTITUTE(SUBSTITUTE(SUBSTITUTE(H255,"~","~~"),"*","~*"),"?","~?"),Results[分析項目],"="&amp;SUBSTITUTE(SUBSTITUTE(SUBSTITUTE(A255,"~","~~"),"*","~*"),"?","~?")))&gt;1,"同關聯鍵測項重複","OK")))</f>
        <v/>
      </c>
      <c r="AB255" s="93">
        <f>IF(COUNTA($A255:$D255)=0,"",IF(OR(C255="",K255=""),"缺單位",IF(NOT(ISNUMBER(L255)),"單位不相容",IF(L255=1,"OK","已換算"))))</f>
        <v/>
      </c>
      <c r="AC255" s="93">
        <f>IF(COUNTA($A255:$D255)=0,"",IF('07_QAQC'!$C$3="","未選比較版本",IF(U255=0,IF(COUNTIFS(DB_05[標準鍵],W255)&gt;1,"標準鍵重複","未訂此介質／測項門檻"),IF(INDEX(DB_05[版本檢查],U255)&lt;&gt;"OK","標準主檔待核",IF(INDEX(DB_05[標準單位],U255)&lt;&gt;K255,"標準單位不符",IF(INDEX(DB_05[核對狀態],U255)="停用","停用",IF(F255="","缺採樣日期",IF(OR(AND(INDEX(DB_05[生效日],U255)&lt;&gt;"",F255&lt;INDEX(DB_05[生效日],U255)),AND(INDEX(DB_05[失效日],U255)&lt;&gt;"",F255&gt;INDEX(DB_05[失效日],U255))),"日期不適用",INDEX(DB_05[核對狀態],U255)))))))))</f>
        <v/>
      </c>
      <c r="AD255" s="93">
        <f>IF(COUNTA($A255:$D255)=0,"",IF(AC255="未訂此介質／測項門檻",AC255,IF(AC255&lt;&gt;"已核對","標準待核",IF(R255="","未訂管制值",IF(NOT(ISNUMBER(L255)),"單位待核",IF(N255="ND","無法判定（ND無界限）",IF(N255="NA","不適用",IF(Z255&lt;&gt;"OK",Z255,IF(N255="數值",IF(Q255&gt;=R255,"達管制值","未達管制值"),IF(OR(N255="&lt;",N255="&lt;="),IF(OR(Q255&lt;R255,AND(N255="&lt;",Q255=R255)),"未達管制值","無法判定"),IF(OR(N255="&gt;",N255="&gt;="),IF(Q255&gt;=R255,"達管制值","無法判定"),"格式待核")))))))))))</f>
        <v/>
      </c>
      <c r="AE255" s="93">
        <f>IF(COUNTA($A255:$D255)=0,"",IF(AC255="未訂此介質／測項門檻",AC255,IF(AC255&lt;&gt;"已核對","標準待核",IF(S255="","未訂監測值",IF(NOT(ISNUMBER(L255)),"單位待核",IF(N255="ND","無法判定（ND無界限）",IF(N255="NA","不適用",IF(Z255&lt;&gt;"OK",Z255,IF(N255="數值",IF(Q255&gt;=S255,"達監測值","未達監測值"),IF(OR(N255="&lt;",N255="&lt;="),IF(OR(Q255&lt;S255,AND(N255="&lt;",Q255=S255)),"未達監測值","無法判定"),IF(OR(N255="&gt;",N255="&gt;="),IF(Q255&gt;=S255,"達監測值","無法判定"),"格式待核")))))))))))</f>
        <v/>
      </c>
      <c r="AF255" s="93">
        <f>IF(COUNTA($A255:$D255)=0,"",IF(OR(E255="",A255="",B255="",C255=""),"缺必要欄位",IF(Y255&lt;&gt;"OK","樣品資料待補",IF(T255=0,"測項未建或重複",IF(INDEX(DB_04[啟用],T255)&lt;&gt;"是","測項停用",IF(AND(Z255&lt;&gt;"OK",Z255&lt;&gt;"不適用"),Z255,IF(AND(AB255&lt;&gt;"OK",AB255&lt;&gt;"已換算"),"單位待核",IF(AA255&lt;&gt;"OK",AA255,"OK"))))))))</f>
        <v/>
      </c>
      <c r="AG255" s="93">
        <f>IF(COUNTA($A255:$D255)=0,"",IF(N255="ND","ND取0",IF(OR(N255="&lt;",N255="&lt;="),"界限除以2",IF(N255="NA","不適用",IF(OR(N255="&gt;",N255="&gt;="),"保留界限數值","保留原數值")))))</f>
        <v/>
      </c>
      <c r="AH255" s="92">
        <f>IF(O255="","",IFERROR(_xlfn.NUMBERVALUE(O255,".",","),""))</f>
        <v/>
      </c>
      <c r="AI255" s="92">
        <f>IF(H255="","",IFERROR(MATCH(H255,Samples[樣品編號],0),0))</f>
        <v/>
      </c>
    </row>
    <row r="256">
      <c r="A256" s="27" t="inlineStr">
        <is>
          <t>ORP</t>
        </is>
      </c>
      <c r="B256" s="28" t="inlineStr">
        <is>
          <t>-115</t>
        </is>
      </c>
      <c r="C256" s="27" t="inlineStr">
        <is>
          <t>mV</t>
        </is>
      </c>
      <c r="D256" s="39" t="inlineStr">
        <is>
          <t>合成資料，非實測；method=field; reference_electrode=Ag/AgCl; calibration=verified</t>
        </is>
      </c>
      <c r="E256" s="29">
        <f>IF(OR(I256="",I256=0),"",IF(INDEX(Samples[監測點],I256)="","",INDEX(Samples[監測點],I256)))</f>
        <v/>
      </c>
      <c r="F256" s="90">
        <f>IF(OR(I256="",I256=0),"",IF(INDEX(Samples[採樣日期],I256)="","",INDEX(Samples[採樣日期],I256)))</f>
        <v/>
      </c>
      <c r="G256" s="91">
        <f>IF(OR(M256="",M256="NA",M256="N/A"),"",IF(OR(M256="ND",M256="N.D."),0,IFERROR(IF(OR(OR(ISNUMBER(SEARCH("%",O256)),ISNUMBER(SEARCH(" ",O256)),ISNUMBER(SEARCH(",",O256))),OR(SUBSTITUTE(SUBSTITUTE(SUBSTITUTE(SUBSTITUTE(SUBSTITUTE(SUBSTITUTE(SUBSTITUTE(SUBSTITUTE(SUBSTITUTE(SUBSTITUTE(SUBSTITUTE(SUBSTITUTE(SUBSTITUTE(SUBSTITUTE(SUBSTITUTE(SUBSTITUTE(SUBSTITUTE(SUBSTITUTE("x"&amp;M256,"0",""),"1",""),"2",""),"3",""),"4",""),"5",""),"6",""),"7",""),"8",""),"9",""),".",""),"E",""),"+",""),"-",""),"&lt;",""),"&gt;",""),"=","")," ","")&lt;&gt;"x",ISNUMBER(SEARCH("-",SUBSTITUTE(SUBSTITUTE("x"&amp;MID(M256,2,99),"E-","E"),"E+","E"))),ISNUMBER(SEARCH("+",SUBSTITUTE(SUBSTITUTE("x"&amp;MID(M256,2,99),"E-","E"),"E+","E"))))),"",IF(AND(OR(LEFT(M256,1)="&lt;",LEFT(M256,1)="&gt;"),IF(O256="",0,IF(ISNUMBER(AH256),AH256,NA()))&lt;0),"",IF(O256="",0,IF(ISNUMBER(AH256),AH256,NA()))/IF(LEFT(M256,1)="&lt;",2,1))),"")))</f>
        <v/>
      </c>
      <c r="H256" s="57" t="inlineStr">
        <is>
          <t>BH06-W_20260115_02</t>
        </is>
      </c>
      <c r="I256" s="92">
        <f>IF(OR(H256="",AI256=0),0,IF(INDEX(Samples[樣品重複筆數],AI256)=1,AI256,0))</f>
        <v/>
      </c>
      <c r="J256" s="92">
        <f>IF(OR(COUNTA($A256:$D256)=0,I256=0),"",IF(INDEX(Samples[介質],I256)="","",INDEX(Samples[介質],I256)))</f>
        <v/>
      </c>
      <c r="K256" s="92">
        <f>IF(OR(COUNTA($A256:$D256)=0,T256=0),"",IF(INDEX(DB_04[標準單位],T256)="","",INDEX(DB_04[標準單位],T256)))</f>
        <v/>
      </c>
      <c r="L256" s="92">
        <f>IF(COUNTA($A256:$D256)=0,"",IF(OR(C256="",K256=""),"",IF(C256=K256,1,IF(COUNTIFS(DB_06[換算鍵],C256&amp;"|"&amp;K256,DB_06[換算檢查],"OK")=1,INDEX(DB_06[乘數],MATCH(C256&amp;"|"&amp;K256,DB_06[換算鍵],0)),""))))</f>
        <v/>
      </c>
      <c r="M256" s="92">
        <f>UPPER(SUBSTITUTE(SUBSTITUTE(SUBSTITUTE(SUBSTITUTE(TRIM(B256&amp;""),"＜","&lt;"),"＞","&gt;"),"≤","&lt;="),"≥","&gt;="))</f>
        <v/>
      </c>
      <c r="N256" s="92">
        <f>IF(M256="","",IF(OR(M256="ND",M256="N.D."),"ND",IF(OR(M256="NA",M256="N/A",M256="N.A."),"NA",IF(OR(LEFT(M256,2)="&lt;=",LEFT(M256,2)="&gt;="),LEFT(M256,2),IF(OR(LEFT(M256,1)="&lt;",LEFT(M256,1)="&gt;"),LEFT(M256,1),"數值")))))</f>
        <v/>
      </c>
      <c r="O256" s="92">
        <f>IF(OR(N256="",N256="ND",N256="NA"),"",IF(N256="數值",M256,TRIM(MID(M256,LEN(N256)+1,99))))</f>
        <v/>
      </c>
      <c r="P256" s="92">
        <f>IF(O256="","",IFERROR(IF(OR(OR(ISNUMBER(SEARCH("%",O256)),ISNUMBER(SEARCH(" ",O256)),ISNUMBER(SEARCH(",",O256))),OR(SUBSTITUTE(SUBSTITUTE(SUBSTITUTE(SUBSTITUTE(SUBSTITUTE(SUBSTITUTE(SUBSTITUTE(SUBSTITUTE(SUBSTITUTE(SUBSTITUTE(SUBSTITUTE(SUBSTITUTE(SUBSTITUTE(SUBSTITUTE(SUBSTITUTE(SUBSTITUTE(SUBSTITUTE(SUBSTITUTE("x"&amp;O256,"0",""),"1",""),"2",""),"3",""),"4",""),"5",""),"6",""),"7",""),"8",""),"9",""),".",""),"E",""),"+",""),"-",""),"&lt;",""),"&gt;",""),"=","")," ","")&lt;&gt;"x",ISNUMBER(SEARCH("-",SUBSTITUTE(SUBSTITUTE("x"&amp;MID(O256,2,99),"E-","E"),"E+","E"))),ISNUMBER(SEARCH("+",SUBSTITUTE(SUBSTITUTE("x"&amp;MID(O256,2,99),"E-","E"),"E+","E"))))),"",IF(ISNUMBER(AH256),AH256,NA())),""))</f>
        <v/>
      </c>
      <c r="Q256" s="92">
        <f>IF(AND(ISNUMBER(L256),ISNUMBER(P256)),L256*P256,"")</f>
        <v/>
      </c>
      <c r="R256" s="92">
        <f>IF(OR(COUNTA($A256:$D256)=0,U256=0),"",IF(INDEX(DB_05[管制設定值],U256)="","",INDEX(DB_05[管制設定值],U256)))</f>
        <v/>
      </c>
      <c r="S256" s="92">
        <f>IF(OR(COUNTA($A256:$D256)=0,U256=0),"",IF(INDEX(DB_05[監測設定值],U256)="","",INDEX(DB_05[監測設定值],U256)))</f>
        <v/>
      </c>
      <c r="T256" s="92">
        <f>IF(COUNTA($A256:$D256)=0,"",IF(COUNTIFS(DB_04[測項鍵],V256)=1,MATCH(V256,DB_04[測項鍵],0),0))</f>
        <v/>
      </c>
      <c r="U256" s="92">
        <f>IF(COUNTA($A256:$D256)=0,"",IF(COUNTIFS(DB_05[標準鍵],W256)=1,MATCH(W256,DB_05[標準鍵],0),0))</f>
        <v/>
      </c>
      <c r="V256" s="92">
        <f>IF(OR(J256="",A256=""),"",J256&amp;"|"&amp;A256)</f>
        <v/>
      </c>
      <c r="W256" s="92">
        <f>IF(OR('07_QAQC'!$C$3="",V256=""),"",'07_QAQC'!$C$3&amp;"|"&amp;V256)</f>
        <v/>
      </c>
      <c r="X256" s="92">
        <f>IF(OR(H256="",A256=""),"",LEN(H256)&amp;":"&amp;H256&amp;LEN(A256)&amp;":"&amp;A256)</f>
        <v/>
      </c>
      <c r="Y256" s="93">
        <f>IF(COUNTA($A256:$D256)=0,"",IF(I256=0,"樣品未建或重複",IF(INDEX(Samples[樣品檢查],I256)="","OK",INDEX(Samples[樣品檢查],I256))))</f>
        <v/>
      </c>
      <c r="Z256" s="93">
        <f>IF(COUNTA($A256:$D256)=0,"",IF(B256="","缺原始值",IF(OR(B256="-",B256="--"),"無資料",IF(N256="NA","不適用",IF(N256="ND","OK",IF(NOT(ISNUMBER(P256)),"格式待核",IF(AND(N256&lt;&gt;"數值",P256&lt;0),"界限不得為負","OK")))))))</f>
        <v/>
      </c>
      <c r="AA256" s="93">
        <f>IF(COUNTA(A256:D256)=0,"",IF(OR(A256="",H256=""),"缺識別欄位",IF(IF(LEN("="&amp;SUBSTITUTE(SUBSTITUTE(SUBSTITUTE(X256,"~","~~"),"*","~*"),"?","~?"))&lt;=255,COUNTIF(Results[結果識別鍵],"="&amp;SUBSTITUTE(SUBSTITUTE(SUBSTITUTE(X256,"~","~~"),"*","~*"),"?","~?")),COUNTIFS(Results[關聯鍵],"="&amp;SUBSTITUTE(SUBSTITUTE(SUBSTITUTE(H256,"~","~~"),"*","~*"),"?","~?"),Results[分析項目],"="&amp;SUBSTITUTE(SUBSTITUTE(SUBSTITUTE(A256,"~","~~"),"*","~*"),"?","~?")))&gt;1,"同關聯鍵測項重複","OK")))</f>
        <v/>
      </c>
      <c r="AB256" s="93">
        <f>IF(COUNTA($A256:$D256)=0,"",IF(OR(C256="",K256=""),"缺單位",IF(NOT(ISNUMBER(L256)),"單位不相容",IF(L256=1,"OK","已換算"))))</f>
        <v/>
      </c>
      <c r="AC256" s="93">
        <f>IF(COUNTA($A256:$D256)=0,"",IF('07_QAQC'!$C$3="","未選比較版本",IF(U256=0,IF(COUNTIFS(DB_05[標準鍵],W256)&gt;1,"標準鍵重複","未訂此介質／測項門檻"),IF(INDEX(DB_05[版本檢查],U256)&lt;&gt;"OK","標準主檔待核",IF(INDEX(DB_05[標準單位],U256)&lt;&gt;K256,"標準單位不符",IF(INDEX(DB_05[核對狀態],U256)="停用","停用",IF(F256="","缺採樣日期",IF(OR(AND(INDEX(DB_05[生效日],U256)&lt;&gt;"",F256&lt;INDEX(DB_05[生效日],U256)),AND(INDEX(DB_05[失效日],U256)&lt;&gt;"",F256&gt;INDEX(DB_05[失效日],U256))),"日期不適用",INDEX(DB_05[核對狀態],U256)))))))))</f>
        <v/>
      </c>
      <c r="AD256" s="93">
        <f>IF(COUNTA($A256:$D256)=0,"",IF(AC256="未訂此介質／測項門檻",AC256,IF(AC256&lt;&gt;"已核對","標準待核",IF(R256="","未訂管制值",IF(NOT(ISNUMBER(L256)),"單位待核",IF(N256="ND","無法判定（ND無界限）",IF(N256="NA","不適用",IF(Z256&lt;&gt;"OK",Z256,IF(N256="數值",IF(Q256&gt;=R256,"達管制值","未達管制值"),IF(OR(N256="&lt;",N256="&lt;="),IF(OR(Q256&lt;R256,AND(N256="&lt;",Q256=R256)),"未達管制值","無法判定"),IF(OR(N256="&gt;",N256="&gt;="),IF(Q256&gt;=R256,"達管制值","無法判定"),"格式待核")))))))))))</f>
        <v/>
      </c>
      <c r="AE256" s="93">
        <f>IF(COUNTA($A256:$D256)=0,"",IF(AC256="未訂此介質／測項門檻",AC256,IF(AC256&lt;&gt;"已核對","標準待核",IF(S256="","未訂監測值",IF(NOT(ISNUMBER(L256)),"單位待核",IF(N256="ND","無法判定（ND無界限）",IF(N256="NA","不適用",IF(Z256&lt;&gt;"OK",Z256,IF(N256="數值",IF(Q256&gt;=S256,"達監測值","未達監測值"),IF(OR(N256="&lt;",N256="&lt;="),IF(OR(Q256&lt;S256,AND(N256="&lt;",Q256=S256)),"未達監測值","無法判定"),IF(OR(N256="&gt;",N256="&gt;="),IF(Q256&gt;=S256,"達監測值","無法判定"),"格式待核")))))))))))</f>
        <v/>
      </c>
      <c r="AF256" s="93">
        <f>IF(COUNTA($A256:$D256)=0,"",IF(OR(E256="",A256="",B256="",C256=""),"缺必要欄位",IF(Y256&lt;&gt;"OK","樣品資料待補",IF(T256=0,"測項未建或重複",IF(INDEX(DB_04[啟用],T256)&lt;&gt;"是","測項停用",IF(AND(Z256&lt;&gt;"OK",Z256&lt;&gt;"不適用"),Z256,IF(AND(AB256&lt;&gt;"OK",AB256&lt;&gt;"已換算"),"單位待核",IF(AA256&lt;&gt;"OK",AA256,"OK"))))))))</f>
        <v/>
      </c>
      <c r="AG256" s="93">
        <f>IF(COUNTA($A256:$D256)=0,"",IF(N256="ND","ND取0",IF(OR(N256="&lt;",N256="&lt;="),"界限除以2",IF(N256="NA","不適用",IF(OR(N256="&gt;",N256="&gt;="),"保留界限數值","保留原數值")))))</f>
        <v/>
      </c>
      <c r="AH256" s="92">
        <f>IF(O256="","",IFERROR(_xlfn.NUMBERVALUE(O256,".",","),""))</f>
        <v/>
      </c>
      <c r="AI256" s="92">
        <f>IF(H256="","",IFERROR(MATCH(H256,Samples[樣品編號],0),0))</f>
        <v/>
      </c>
    </row>
    <row r="257">
      <c r="A257" s="27" t="inlineStr">
        <is>
          <t>總有機碳</t>
        </is>
      </c>
      <c r="B257" s="28" t="inlineStr">
        <is>
          <t>3.5</t>
        </is>
      </c>
      <c r="C257" s="27" t="inlineStr">
        <is>
          <t>mg/L</t>
        </is>
      </c>
      <c r="D257" s="39" t="inlineStr">
        <is>
          <t>合成資料，非實測；method=lab</t>
        </is>
      </c>
      <c r="E257" s="29">
        <f>IF(OR(I257="",I257=0),"",IF(INDEX(Samples[監測點],I257)="","",INDEX(Samples[監測點],I257)))</f>
        <v/>
      </c>
      <c r="F257" s="90">
        <f>IF(OR(I257="",I257=0),"",IF(INDEX(Samples[採樣日期],I257)="","",INDEX(Samples[採樣日期],I257)))</f>
        <v/>
      </c>
      <c r="G257" s="91">
        <f>IF(OR(M257="",M257="NA",M257="N/A"),"",IF(OR(M257="ND",M257="N.D."),0,IFERROR(IF(OR(OR(ISNUMBER(SEARCH("%",O257)),ISNUMBER(SEARCH(" ",O257)),ISNUMBER(SEARCH(",",O257))),OR(SUBSTITUTE(SUBSTITUTE(SUBSTITUTE(SUBSTITUTE(SUBSTITUTE(SUBSTITUTE(SUBSTITUTE(SUBSTITUTE(SUBSTITUTE(SUBSTITUTE(SUBSTITUTE(SUBSTITUTE(SUBSTITUTE(SUBSTITUTE(SUBSTITUTE(SUBSTITUTE(SUBSTITUTE(SUBSTITUTE("x"&amp;M257,"0",""),"1",""),"2",""),"3",""),"4",""),"5",""),"6",""),"7",""),"8",""),"9",""),".",""),"E",""),"+",""),"-",""),"&lt;",""),"&gt;",""),"=","")," ","")&lt;&gt;"x",ISNUMBER(SEARCH("-",SUBSTITUTE(SUBSTITUTE("x"&amp;MID(M257,2,99),"E-","E"),"E+","E"))),ISNUMBER(SEARCH("+",SUBSTITUTE(SUBSTITUTE("x"&amp;MID(M257,2,99),"E-","E"),"E+","E"))))),"",IF(AND(OR(LEFT(M257,1)="&lt;",LEFT(M257,1)="&gt;"),IF(O257="",0,IF(ISNUMBER(AH257),AH257,NA()))&lt;0),"",IF(O257="",0,IF(ISNUMBER(AH257),AH257,NA()))/IF(LEFT(M257,1)="&lt;",2,1))),"")))</f>
        <v/>
      </c>
      <c r="H257" s="57" t="inlineStr">
        <is>
          <t>BH06-W_20260115_02</t>
        </is>
      </c>
      <c r="I257" s="92">
        <f>IF(OR(H257="",AI257=0),0,IF(INDEX(Samples[樣品重複筆數],AI257)=1,AI257,0))</f>
        <v/>
      </c>
      <c r="J257" s="92">
        <f>IF(OR(COUNTA($A257:$D257)=0,I257=0),"",IF(INDEX(Samples[介質],I257)="","",INDEX(Samples[介質],I257)))</f>
        <v/>
      </c>
      <c r="K257" s="92">
        <f>IF(OR(COUNTA($A257:$D257)=0,T257=0),"",IF(INDEX(DB_04[標準單位],T257)="","",INDEX(DB_04[標準單位],T257)))</f>
        <v/>
      </c>
      <c r="L257" s="92">
        <f>IF(COUNTA($A257:$D257)=0,"",IF(OR(C257="",K257=""),"",IF(C257=K257,1,IF(COUNTIFS(DB_06[換算鍵],C257&amp;"|"&amp;K257,DB_06[換算檢查],"OK")=1,INDEX(DB_06[乘數],MATCH(C257&amp;"|"&amp;K257,DB_06[換算鍵],0)),""))))</f>
        <v/>
      </c>
      <c r="M257" s="92">
        <f>UPPER(SUBSTITUTE(SUBSTITUTE(SUBSTITUTE(SUBSTITUTE(TRIM(B257&amp;""),"＜","&lt;"),"＞","&gt;"),"≤","&lt;="),"≥","&gt;="))</f>
        <v/>
      </c>
      <c r="N257" s="92">
        <f>IF(M257="","",IF(OR(M257="ND",M257="N.D."),"ND",IF(OR(M257="NA",M257="N/A",M257="N.A."),"NA",IF(OR(LEFT(M257,2)="&lt;=",LEFT(M257,2)="&gt;="),LEFT(M257,2),IF(OR(LEFT(M257,1)="&lt;",LEFT(M257,1)="&gt;"),LEFT(M257,1),"數值")))))</f>
        <v/>
      </c>
      <c r="O257" s="92">
        <f>IF(OR(N257="",N257="ND",N257="NA"),"",IF(N257="數值",M257,TRIM(MID(M257,LEN(N257)+1,99))))</f>
        <v/>
      </c>
      <c r="P257" s="92">
        <f>IF(O257="","",IFERROR(IF(OR(OR(ISNUMBER(SEARCH("%",O257)),ISNUMBER(SEARCH(" ",O257)),ISNUMBER(SEARCH(",",O257))),OR(SUBSTITUTE(SUBSTITUTE(SUBSTITUTE(SUBSTITUTE(SUBSTITUTE(SUBSTITUTE(SUBSTITUTE(SUBSTITUTE(SUBSTITUTE(SUBSTITUTE(SUBSTITUTE(SUBSTITUTE(SUBSTITUTE(SUBSTITUTE(SUBSTITUTE(SUBSTITUTE(SUBSTITUTE(SUBSTITUTE("x"&amp;O257,"0",""),"1",""),"2",""),"3",""),"4",""),"5",""),"6",""),"7",""),"8",""),"9",""),".",""),"E",""),"+",""),"-",""),"&lt;",""),"&gt;",""),"=","")," ","")&lt;&gt;"x",ISNUMBER(SEARCH("-",SUBSTITUTE(SUBSTITUTE("x"&amp;MID(O257,2,99),"E-","E"),"E+","E"))),ISNUMBER(SEARCH("+",SUBSTITUTE(SUBSTITUTE("x"&amp;MID(O257,2,99),"E-","E"),"E+","E"))))),"",IF(ISNUMBER(AH257),AH257,NA())),""))</f>
        <v/>
      </c>
      <c r="Q257" s="92">
        <f>IF(AND(ISNUMBER(L257),ISNUMBER(P257)),L257*P257,"")</f>
        <v/>
      </c>
      <c r="R257" s="92">
        <f>IF(OR(COUNTA($A257:$D257)=0,U257=0),"",IF(INDEX(DB_05[管制設定值],U257)="","",INDEX(DB_05[管制設定值],U257)))</f>
        <v/>
      </c>
      <c r="S257" s="92">
        <f>IF(OR(COUNTA($A257:$D257)=0,U257=0),"",IF(INDEX(DB_05[監測設定值],U257)="","",INDEX(DB_05[監測設定值],U257)))</f>
        <v/>
      </c>
      <c r="T257" s="92">
        <f>IF(COUNTA($A257:$D257)=0,"",IF(COUNTIFS(DB_04[測項鍵],V257)=1,MATCH(V257,DB_04[測項鍵],0),0))</f>
        <v/>
      </c>
      <c r="U257" s="92">
        <f>IF(COUNTA($A257:$D257)=0,"",IF(COUNTIFS(DB_05[標準鍵],W257)=1,MATCH(W257,DB_05[標準鍵],0),0))</f>
        <v/>
      </c>
      <c r="V257" s="92">
        <f>IF(OR(J257="",A257=""),"",J257&amp;"|"&amp;A257)</f>
        <v/>
      </c>
      <c r="W257" s="92">
        <f>IF(OR('07_QAQC'!$C$3="",V257=""),"",'07_QAQC'!$C$3&amp;"|"&amp;V257)</f>
        <v/>
      </c>
      <c r="X257" s="92">
        <f>IF(OR(H257="",A257=""),"",LEN(H257)&amp;":"&amp;H257&amp;LEN(A257)&amp;":"&amp;A257)</f>
        <v/>
      </c>
      <c r="Y257" s="93">
        <f>IF(COUNTA($A257:$D257)=0,"",IF(I257=0,"樣品未建或重複",IF(INDEX(Samples[樣品檢查],I257)="","OK",INDEX(Samples[樣品檢查],I257))))</f>
        <v/>
      </c>
      <c r="Z257" s="93">
        <f>IF(COUNTA($A257:$D257)=0,"",IF(B257="","缺原始值",IF(OR(B257="-",B257="--"),"無資料",IF(N257="NA","不適用",IF(N257="ND","OK",IF(NOT(ISNUMBER(P257)),"格式待核",IF(AND(N257&lt;&gt;"數值",P257&lt;0),"界限不得為負","OK")))))))</f>
        <v/>
      </c>
      <c r="AA257" s="93">
        <f>IF(COUNTA(A257:D257)=0,"",IF(OR(A257="",H257=""),"缺識別欄位",IF(IF(LEN("="&amp;SUBSTITUTE(SUBSTITUTE(SUBSTITUTE(X257,"~","~~"),"*","~*"),"?","~?"))&lt;=255,COUNTIF(Results[結果識別鍵],"="&amp;SUBSTITUTE(SUBSTITUTE(SUBSTITUTE(X257,"~","~~"),"*","~*"),"?","~?")),COUNTIFS(Results[關聯鍵],"="&amp;SUBSTITUTE(SUBSTITUTE(SUBSTITUTE(H257,"~","~~"),"*","~*"),"?","~?"),Results[分析項目],"="&amp;SUBSTITUTE(SUBSTITUTE(SUBSTITUTE(A257,"~","~~"),"*","~*"),"?","~?")))&gt;1,"同關聯鍵測項重複","OK")))</f>
        <v/>
      </c>
      <c r="AB257" s="93">
        <f>IF(COUNTA($A257:$D257)=0,"",IF(OR(C257="",K257=""),"缺單位",IF(NOT(ISNUMBER(L257)),"單位不相容",IF(L257=1,"OK","已換算"))))</f>
        <v/>
      </c>
      <c r="AC257" s="93">
        <f>IF(COUNTA($A257:$D257)=0,"",IF('07_QAQC'!$C$3="","未選比較版本",IF(U257=0,IF(COUNTIFS(DB_05[標準鍵],W257)&gt;1,"標準鍵重複","未訂此介質／測項門檻"),IF(INDEX(DB_05[版本檢查],U257)&lt;&gt;"OK","標準主檔待核",IF(INDEX(DB_05[標準單位],U257)&lt;&gt;K257,"標準單位不符",IF(INDEX(DB_05[核對狀態],U257)="停用","停用",IF(F257="","缺採樣日期",IF(OR(AND(INDEX(DB_05[生效日],U257)&lt;&gt;"",F257&lt;INDEX(DB_05[生效日],U257)),AND(INDEX(DB_05[失效日],U257)&lt;&gt;"",F257&gt;INDEX(DB_05[失效日],U257))),"日期不適用",INDEX(DB_05[核對狀態],U257)))))))))</f>
        <v/>
      </c>
      <c r="AD257" s="93">
        <f>IF(COUNTA($A257:$D257)=0,"",IF(AC257="未訂此介質／測項門檻",AC257,IF(AC257&lt;&gt;"已核對","標準待核",IF(R257="","未訂管制值",IF(NOT(ISNUMBER(L257)),"單位待核",IF(N257="ND","無法判定（ND無界限）",IF(N257="NA","不適用",IF(Z257&lt;&gt;"OK",Z257,IF(N257="數值",IF(Q257&gt;=R257,"達管制值","未達管制值"),IF(OR(N257="&lt;",N257="&lt;="),IF(OR(Q257&lt;R257,AND(N257="&lt;",Q257=R257)),"未達管制值","無法判定"),IF(OR(N257="&gt;",N257="&gt;="),IF(Q257&gt;=R257,"達管制值","無法判定"),"格式待核")))))))))))</f>
        <v/>
      </c>
      <c r="AE257" s="93">
        <f>IF(COUNTA($A257:$D257)=0,"",IF(AC257="未訂此介質／測項門檻",AC257,IF(AC257&lt;&gt;"已核對","標準待核",IF(S257="","未訂監測值",IF(NOT(ISNUMBER(L257)),"單位待核",IF(N257="ND","無法判定（ND無界限）",IF(N257="NA","不適用",IF(Z257&lt;&gt;"OK",Z257,IF(N257="數值",IF(Q257&gt;=S257,"達監測值","未達監測值"),IF(OR(N257="&lt;",N257="&lt;="),IF(OR(Q257&lt;S257,AND(N257="&lt;",Q257=S257)),"未達監測值","無法判定"),IF(OR(N257="&gt;",N257="&gt;="),IF(Q257&gt;=S257,"達監測值","無法判定"),"格式待核")))))))))))</f>
        <v/>
      </c>
      <c r="AF257" s="93">
        <f>IF(COUNTA($A257:$D257)=0,"",IF(OR(E257="",A257="",B257="",C257=""),"缺必要欄位",IF(Y257&lt;&gt;"OK","樣品資料待補",IF(T257=0,"測項未建或重複",IF(INDEX(DB_04[啟用],T257)&lt;&gt;"是","測項停用",IF(AND(Z257&lt;&gt;"OK",Z257&lt;&gt;"不適用"),Z257,IF(AND(AB257&lt;&gt;"OK",AB257&lt;&gt;"已換算"),"單位待核",IF(AA257&lt;&gt;"OK",AA257,"OK"))))))))</f>
        <v/>
      </c>
      <c r="AG257" s="93">
        <f>IF(COUNTA($A257:$D257)=0,"",IF(N257="ND","ND取0",IF(OR(N257="&lt;",N257="&lt;="),"界限除以2",IF(N257="NA","不適用",IF(OR(N257="&gt;",N257="&gt;="),"保留界限數值","保留原數值")))))</f>
        <v/>
      </c>
      <c r="AH257" s="92">
        <f>IF(O257="","",IFERROR(_xlfn.NUMBERVALUE(O257,".",","),""))</f>
        <v/>
      </c>
      <c r="AI257" s="92">
        <f>IF(H257="","",IFERROR(MATCH(H257,Samples[樣品編號],0),0))</f>
        <v/>
      </c>
    </row>
    <row r="258">
      <c r="A258" s="27" t="inlineStr">
        <is>
          <t>鋅</t>
        </is>
      </c>
      <c r="B258" s="28" t="inlineStr">
        <is>
          <t>188</t>
        </is>
      </c>
      <c r="C258" s="27" t="inlineStr">
        <is>
          <t>mg/kg</t>
        </is>
      </c>
      <c r="D258" s="39" t="inlineStr">
        <is>
          <t>合成資料，非實測；method=XRF; basis=dry</t>
        </is>
      </c>
      <c r="E258" s="29">
        <f>IF(OR(I258="",I258=0),"",IF(INDEX(Samples[監測點],I258)="","",INDEX(Samples[監測點],I258)))</f>
        <v/>
      </c>
      <c r="F258" s="90">
        <f>IF(OR(I258="",I258=0),"",IF(INDEX(Samples[採樣日期],I258)="","",INDEX(Samples[採樣日期],I258)))</f>
        <v/>
      </c>
      <c r="G258" s="91">
        <f>IF(OR(M258="",M258="NA",M258="N/A"),"",IF(OR(M258="ND",M258="N.D."),0,IFERROR(IF(OR(OR(ISNUMBER(SEARCH("%",O258)),ISNUMBER(SEARCH(" ",O258)),ISNUMBER(SEARCH(",",O258))),OR(SUBSTITUTE(SUBSTITUTE(SUBSTITUTE(SUBSTITUTE(SUBSTITUTE(SUBSTITUTE(SUBSTITUTE(SUBSTITUTE(SUBSTITUTE(SUBSTITUTE(SUBSTITUTE(SUBSTITUTE(SUBSTITUTE(SUBSTITUTE(SUBSTITUTE(SUBSTITUTE(SUBSTITUTE(SUBSTITUTE("x"&amp;M258,"0",""),"1",""),"2",""),"3",""),"4",""),"5",""),"6",""),"7",""),"8",""),"9",""),".",""),"E",""),"+",""),"-",""),"&lt;",""),"&gt;",""),"=","")," ","")&lt;&gt;"x",ISNUMBER(SEARCH("-",SUBSTITUTE(SUBSTITUTE("x"&amp;MID(M258,2,99),"E-","E"),"E+","E"))),ISNUMBER(SEARCH("+",SUBSTITUTE(SUBSTITUTE("x"&amp;MID(M258,2,99),"E-","E"),"E+","E"))))),"",IF(AND(OR(LEFT(M258,1)="&lt;",LEFT(M258,1)="&gt;"),IF(O258="",0,IF(ISNUMBER(AH258),AH258,NA()))&lt;0),"",IF(O258="",0,IF(ISNUMBER(AH258),AH258,NA()))/IF(LEFT(M258,1)="&lt;",2,1))),"")))</f>
        <v/>
      </c>
      <c r="H258" s="57" t="inlineStr">
        <is>
          <t>BH06-S_20260115_03</t>
        </is>
      </c>
      <c r="I258" s="92">
        <f>IF(OR(H258="",AI258=0),0,IF(INDEX(Samples[樣品重複筆數],AI258)=1,AI258,0))</f>
        <v/>
      </c>
      <c r="J258" s="92">
        <f>IF(OR(COUNTA($A258:$D258)=0,I258=0),"",IF(INDEX(Samples[介質],I258)="","",INDEX(Samples[介質],I258)))</f>
        <v/>
      </c>
      <c r="K258" s="92">
        <f>IF(OR(COUNTA($A258:$D258)=0,T258=0),"",IF(INDEX(DB_04[標準單位],T258)="","",INDEX(DB_04[標準單位],T258)))</f>
        <v/>
      </c>
      <c r="L258" s="92">
        <f>IF(COUNTA($A258:$D258)=0,"",IF(OR(C258="",K258=""),"",IF(C258=K258,1,IF(COUNTIFS(DB_06[換算鍵],C258&amp;"|"&amp;K258,DB_06[換算檢查],"OK")=1,INDEX(DB_06[乘數],MATCH(C258&amp;"|"&amp;K258,DB_06[換算鍵],0)),""))))</f>
        <v/>
      </c>
      <c r="M258" s="92">
        <f>UPPER(SUBSTITUTE(SUBSTITUTE(SUBSTITUTE(SUBSTITUTE(TRIM(B258&amp;""),"＜","&lt;"),"＞","&gt;"),"≤","&lt;="),"≥","&gt;="))</f>
        <v/>
      </c>
      <c r="N258" s="92">
        <f>IF(M258="","",IF(OR(M258="ND",M258="N.D."),"ND",IF(OR(M258="NA",M258="N/A",M258="N.A."),"NA",IF(OR(LEFT(M258,2)="&lt;=",LEFT(M258,2)="&gt;="),LEFT(M258,2),IF(OR(LEFT(M258,1)="&lt;",LEFT(M258,1)="&gt;"),LEFT(M258,1),"數值")))))</f>
        <v/>
      </c>
      <c r="O258" s="92">
        <f>IF(OR(N258="",N258="ND",N258="NA"),"",IF(N258="數值",M258,TRIM(MID(M258,LEN(N258)+1,99))))</f>
        <v/>
      </c>
      <c r="P258" s="92">
        <f>IF(O258="","",IFERROR(IF(OR(OR(ISNUMBER(SEARCH("%",O258)),ISNUMBER(SEARCH(" ",O258)),ISNUMBER(SEARCH(",",O258))),OR(SUBSTITUTE(SUBSTITUTE(SUBSTITUTE(SUBSTITUTE(SUBSTITUTE(SUBSTITUTE(SUBSTITUTE(SUBSTITUTE(SUBSTITUTE(SUBSTITUTE(SUBSTITUTE(SUBSTITUTE(SUBSTITUTE(SUBSTITUTE(SUBSTITUTE(SUBSTITUTE(SUBSTITUTE(SUBSTITUTE("x"&amp;O258,"0",""),"1",""),"2",""),"3",""),"4",""),"5",""),"6",""),"7",""),"8",""),"9",""),".",""),"E",""),"+",""),"-",""),"&lt;",""),"&gt;",""),"=","")," ","")&lt;&gt;"x",ISNUMBER(SEARCH("-",SUBSTITUTE(SUBSTITUTE("x"&amp;MID(O258,2,99),"E-","E"),"E+","E"))),ISNUMBER(SEARCH("+",SUBSTITUTE(SUBSTITUTE("x"&amp;MID(O258,2,99),"E-","E"),"E+","E"))))),"",IF(ISNUMBER(AH258),AH258,NA())),""))</f>
        <v/>
      </c>
      <c r="Q258" s="92">
        <f>IF(AND(ISNUMBER(L258),ISNUMBER(P258)),L258*P258,"")</f>
        <v/>
      </c>
      <c r="R258" s="92">
        <f>IF(OR(COUNTA($A258:$D258)=0,U258=0),"",IF(INDEX(DB_05[管制設定值],U258)="","",INDEX(DB_05[管制設定值],U258)))</f>
        <v/>
      </c>
      <c r="S258" s="92">
        <f>IF(OR(COUNTA($A258:$D258)=0,U258=0),"",IF(INDEX(DB_05[監測設定值],U258)="","",INDEX(DB_05[監測設定值],U258)))</f>
        <v/>
      </c>
      <c r="T258" s="92">
        <f>IF(COUNTA($A258:$D258)=0,"",IF(COUNTIFS(DB_04[測項鍵],V258)=1,MATCH(V258,DB_04[測項鍵],0),0))</f>
        <v/>
      </c>
      <c r="U258" s="92">
        <f>IF(COUNTA($A258:$D258)=0,"",IF(COUNTIFS(DB_05[標準鍵],W258)=1,MATCH(W258,DB_05[標準鍵],0),0))</f>
        <v/>
      </c>
      <c r="V258" s="92">
        <f>IF(OR(J258="",A258=""),"",J258&amp;"|"&amp;A258)</f>
        <v/>
      </c>
      <c r="W258" s="92">
        <f>IF(OR('07_QAQC'!$C$3="",V258=""),"",'07_QAQC'!$C$3&amp;"|"&amp;V258)</f>
        <v/>
      </c>
      <c r="X258" s="92">
        <f>IF(OR(H258="",A258=""),"",LEN(H258)&amp;":"&amp;H258&amp;LEN(A258)&amp;":"&amp;A258)</f>
        <v/>
      </c>
      <c r="Y258" s="93">
        <f>IF(COUNTA($A258:$D258)=0,"",IF(I258=0,"樣品未建或重複",IF(INDEX(Samples[樣品檢查],I258)="","OK",INDEX(Samples[樣品檢查],I258))))</f>
        <v/>
      </c>
      <c r="Z258" s="93">
        <f>IF(COUNTA($A258:$D258)=0,"",IF(B258="","缺原始值",IF(OR(B258="-",B258="--"),"無資料",IF(N258="NA","不適用",IF(N258="ND","OK",IF(NOT(ISNUMBER(P258)),"格式待核",IF(AND(N258&lt;&gt;"數值",P258&lt;0),"界限不得為負","OK")))))))</f>
        <v/>
      </c>
      <c r="AA258" s="93">
        <f>IF(COUNTA(A258:D258)=0,"",IF(OR(A258="",H258=""),"缺識別欄位",IF(IF(LEN("="&amp;SUBSTITUTE(SUBSTITUTE(SUBSTITUTE(X258,"~","~~"),"*","~*"),"?","~?"))&lt;=255,COUNTIF(Results[結果識別鍵],"="&amp;SUBSTITUTE(SUBSTITUTE(SUBSTITUTE(X258,"~","~~"),"*","~*"),"?","~?")),COUNTIFS(Results[關聯鍵],"="&amp;SUBSTITUTE(SUBSTITUTE(SUBSTITUTE(H258,"~","~~"),"*","~*"),"?","~?"),Results[分析項目],"="&amp;SUBSTITUTE(SUBSTITUTE(SUBSTITUTE(A258,"~","~~"),"*","~*"),"?","~?")))&gt;1,"同關聯鍵測項重複","OK")))</f>
        <v/>
      </c>
      <c r="AB258" s="93">
        <f>IF(COUNTA($A258:$D258)=0,"",IF(OR(C258="",K258=""),"缺單位",IF(NOT(ISNUMBER(L258)),"單位不相容",IF(L258=1,"OK","已換算"))))</f>
        <v/>
      </c>
      <c r="AC258" s="93">
        <f>IF(COUNTA($A258:$D258)=0,"",IF('07_QAQC'!$C$3="","未選比較版本",IF(U258=0,IF(COUNTIFS(DB_05[標準鍵],W258)&gt;1,"標準鍵重複","未訂此介質／測項門檻"),IF(INDEX(DB_05[版本檢查],U258)&lt;&gt;"OK","標準主檔待核",IF(INDEX(DB_05[標準單位],U258)&lt;&gt;K258,"標準單位不符",IF(INDEX(DB_05[核對狀態],U258)="停用","停用",IF(F258="","缺採樣日期",IF(OR(AND(INDEX(DB_05[生效日],U258)&lt;&gt;"",F258&lt;INDEX(DB_05[生效日],U258)),AND(INDEX(DB_05[失效日],U258)&lt;&gt;"",F258&gt;INDEX(DB_05[失效日],U258))),"日期不適用",INDEX(DB_05[核對狀態],U258)))))))))</f>
        <v/>
      </c>
      <c r="AD258" s="93">
        <f>IF(COUNTA($A258:$D258)=0,"",IF(AC258="未訂此介質／測項門檻",AC258,IF(AC258&lt;&gt;"已核對","標準待核",IF(R258="","未訂管制值",IF(NOT(ISNUMBER(L258)),"單位待核",IF(N258="ND","無法判定（ND無界限）",IF(N258="NA","不適用",IF(Z258&lt;&gt;"OK",Z258,IF(N258="數值",IF(Q258&gt;=R258,"達管制值","未達管制值"),IF(OR(N258="&lt;",N258="&lt;="),IF(OR(Q258&lt;R258,AND(N258="&lt;",Q258=R258)),"未達管制值","無法判定"),IF(OR(N258="&gt;",N258="&gt;="),IF(Q258&gt;=R258,"達管制值","無法判定"),"格式待核")))))))))))</f>
        <v/>
      </c>
      <c r="AE258" s="93">
        <f>IF(COUNTA($A258:$D258)=0,"",IF(AC258="未訂此介質／測項門檻",AC258,IF(AC258&lt;&gt;"已核對","標準待核",IF(S258="","未訂監測值",IF(NOT(ISNUMBER(L258)),"單位待核",IF(N258="ND","無法判定（ND無界限）",IF(N258="NA","不適用",IF(Z258&lt;&gt;"OK",Z258,IF(N258="數值",IF(Q258&gt;=S258,"達監測值","未達監測值"),IF(OR(N258="&lt;",N258="&lt;="),IF(OR(Q258&lt;S258,AND(N258="&lt;",Q258=S258)),"未達監測值","無法判定"),IF(OR(N258="&gt;",N258="&gt;="),IF(Q258&gt;=S258,"達監測值","無法判定"),"格式待核")))))))))))</f>
        <v/>
      </c>
      <c r="AF258" s="93">
        <f>IF(COUNTA($A258:$D258)=0,"",IF(OR(E258="",A258="",B258="",C258=""),"缺必要欄位",IF(Y258&lt;&gt;"OK","樣品資料待補",IF(T258=0,"測項未建或重複",IF(INDEX(DB_04[啟用],T258)&lt;&gt;"是","測項停用",IF(AND(Z258&lt;&gt;"OK",Z258&lt;&gt;"不適用"),Z258,IF(AND(AB258&lt;&gt;"OK",AB258&lt;&gt;"已換算"),"單位待核",IF(AA258&lt;&gt;"OK",AA258,"OK"))))))))</f>
        <v/>
      </c>
      <c r="AG258" s="93">
        <f>IF(COUNTA($A258:$D258)=0,"",IF(N258="ND","ND取0",IF(OR(N258="&lt;",N258="&lt;="),"界限除以2",IF(N258="NA","不適用",IF(OR(N258="&gt;",N258="&gt;="),"保留界限數值","保留原數值")))))</f>
        <v/>
      </c>
      <c r="AH258" s="92">
        <f>IF(O258="","",IFERROR(_xlfn.NUMBERVALUE(O258,".",","),""))</f>
        <v/>
      </c>
      <c r="AI258" s="92">
        <f>IF(H258="","",IFERROR(MATCH(H258,Samples[樣品編號],0),0))</f>
        <v/>
      </c>
    </row>
    <row r="259">
      <c r="A259" s="27" t="inlineStr">
        <is>
          <t>總有機碳</t>
        </is>
      </c>
      <c r="B259" s="28" t="inlineStr">
        <is>
          <t>0.62</t>
        </is>
      </c>
      <c r="C259" s="27" t="inlineStr">
        <is>
          <t>%</t>
        </is>
      </c>
      <c r="D259" s="39" t="inlineStr">
        <is>
          <t>合成資料，非實測；method=lab; basis=dry</t>
        </is>
      </c>
      <c r="E259" s="29">
        <f>IF(OR(I259="",I259=0),"",IF(INDEX(Samples[監測點],I259)="","",INDEX(Samples[監測點],I259)))</f>
        <v/>
      </c>
      <c r="F259" s="90">
        <f>IF(OR(I259="",I259=0),"",IF(INDEX(Samples[採樣日期],I259)="","",INDEX(Samples[採樣日期],I259)))</f>
        <v/>
      </c>
      <c r="G259" s="91">
        <f>IF(OR(M259="",M259="NA",M259="N/A"),"",IF(OR(M259="ND",M259="N.D."),0,IFERROR(IF(OR(OR(ISNUMBER(SEARCH("%",O259)),ISNUMBER(SEARCH(" ",O259)),ISNUMBER(SEARCH(",",O259))),OR(SUBSTITUTE(SUBSTITUTE(SUBSTITUTE(SUBSTITUTE(SUBSTITUTE(SUBSTITUTE(SUBSTITUTE(SUBSTITUTE(SUBSTITUTE(SUBSTITUTE(SUBSTITUTE(SUBSTITUTE(SUBSTITUTE(SUBSTITUTE(SUBSTITUTE(SUBSTITUTE(SUBSTITUTE(SUBSTITUTE("x"&amp;M259,"0",""),"1",""),"2",""),"3",""),"4",""),"5",""),"6",""),"7",""),"8",""),"9",""),".",""),"E",""),"+",""),"-",""),"&lt;",""),"&gt;",""),"=","")," ","")&lt;&gt;"x",ISNUMBER(SEARCH("-",SUBSTITUTE(SUBSTITUTE("x"&amp;MID(M259,2,99),"E-","E"),"E+","E"))),ISNUMBER(SEARCH("+",SUBSTITUTE(SUBSTITUTE("x"&amp;MID(M259,2,99),"E-","E"),"E+","E"))))),"",IF(AND(OR(LEFT(M259,1)="&lt;",LEFT(M259,1)="&gt;"),IF(O259="",0,IF(ISNUMBER(AH259),AH259,NA()))&lt;0),"",IF(O259="",0,IF(ISNUMBER(AH259),AH259,NA()))/IF(LEFT(M259,1)="&lt;",2,1))),"")))</f>
        <v/>
      </c>
      <c r="H259" s="57" t="inlineStr">
        <is>
          <t>BH06-S_20260115_03</t>
        </is>
      </c>
      <c r="I259" s="92">
        <f>IF(OR(H259="",AI259=0),0,IF(INDEX(Samples[樣品重複筆數],AI259)=1,AI259,0))</f>
        <v/>
      </c>
      <c r="J259" s="92">
        <f>IF(OR(COUNTA($A259:$D259)=0,I259=0),"",IF(INDEX(Samples[介質],I259)="","",INDEX(Samples[介質],I259)))</f>
        <v/>
      </c>
      <c r="K259" s="92">
        <f>IF(OR(COUNTA($A259:$D259)=0,T259=0),"",IF(INDEX(DB_04[標準單位],T259)="","",INDEX(DB_04[標準單位],T259)))</f>
        <v/>
      </c>
      <c r="L259" s="92">
        <f>IF(COUNTA($A259:$D259)=0,"",IF(OR(C259="",K259=""),"",IF(C259=K259,1,IF(COUNTIFS(DB_06[換算鍵],C259&amp;"|"&amp;K259,DB_06[換算檢查],"OK")=1,INDEX(DB_06[乘數],MATCH(C259&amp;"|"&amp;K259,DB_06[換算鍵],0)),""))))</f>
        <v/>
      </c>
      <c r="M259" s="92">
        <f>UPPER(SUBSTITUTE(SUBSTITUTE(SUBSTITUTE(SUBSTITUTE(TRIM(B259&amp;""),"＜","&lt;"),"＞","&gt;"),"≤","&lt;="),"≥","&gt;="))</f>
        <v/>
      </c>
      <c r="N259" s="92">
        <f>IF(M259="","",IF(OR(M259="ND",M259="N.D."),"ND",IF(OR(M259="NA",M259="N/A",M259="N.A."),"NA",IF(OR(LEFT(M259,2)="&lt;=",LEFT(M259,2)="&gt;="),LEFT(M259,2),IF(OR(LEFT(M259,1)="&lt;",LEFT(M259,1)="&gt;"),LEFT(M259,1),"數值")))))</f>
        <v/>
      </c>
      <c r="O259" s="92">
        <f>IF(OR(N259="",N259="ND",N259="NA"),"",IF(N259="數值",M259,TRIM(MID(M259,LEN(N259)+1,99))))</f>
        <v/>
      </c>
      <c r="P259" s="92">
        <f>IF(O259="","",IFERROR(IF(OR(OR(ISNUMBER(SEARCH("%",O259)),ISNUMBER(SEARCH(" ",O259)),ISNUMBER(SEARCH(",",O259))),OR(SUBSTITUTE(SUBSTITUTE(SUBSTITUTE(SUBSTITUTE(SUBSTITUTE(SUBSTITUTE(SUBSTITUTE(SUBSTITUTE(SUBSTITUTE(SUBSTITUTE(SUBSTITUTE(SUBSTITUTE(SUBSTITUTE(SUBSTITUTE(SUBSTITUTE(SUBSTITUTE(SUBSTITUTE(SUBSTITUTE("x"&amp;O259,"0",""),"1",""),"2",""),"3",""),"4",""),"5",""),"6",""),"7",""),"8",""),"9",""),".",""),"E",""),"+",""),"-",""),"&lt;",""),"&gt;",""),"=","")," ","")&lt;&gt;"x",ISNUMBER(SEARCH("-",SUBSTITUTE(SUBSTITUTE("x"&amp;MID(O259,2,99),"E-","E"),"E+","E"))),ISNUMBER(SEARCH("+",SUBSTITUTE(SUBSTITUTE("x"&amp;MID(O259,2,99),"E-","E"),"E+","E"))))),"",IF(ISNUMBER(AH259),AH259,NA())),""))</f>
        <v/>
      </c>
      <c r="Q259" s="92">
        <f>IF(AND(ISNUMBER(L259),ISNUMBER(P259)),L259*P259,"")</f>
        <v/>
      </c>
      <c r="R259" s="92">
        <f>IF(OR(COUNTA($A259:$D259)=0,U259=0),"",IF(INDEX(DB_05[管制設定值],U259)="","",INDEX(DB_05[管制設定值],U259)))</f>
        <v/>
      </c>
      <c r="S259" s="92">
        <f>IF(OR(COUNTA($A259:$D259)=0,U259=0),"",IF(INDEX(DB_05[監測設定值],U259)="","",INDEX(DB_05[監測設定值],U259)))</f>
        <v/>
      </c>
      <c r="T259" s="92">
        <f>IF(COUNTA($A259:$D259)=0,"",IF(COUNTIFS(DB_04[測項鍵],V259)=1,MATCH(V259,DB_04[測項鍵],0),0))</f>
        <v/>
      </c>
      <c r="U259" s="92">
        <f>IF(COUNTA($A259:$D259)=0,"",IF(COUNTIFS(DB_05[標準鍵],W259)=1,MATCH(W259,DB_05[標準鍵],0),0))</f>
        <v/>
      </c>
      <c r="V259" s="92">
        <f>IF(OR(J259="",A259=""),"",J259&amp;"|"&amp;A259)</f>
        <v/>
      </c>
      <c r="W259" s="92">
        <f>IF(OR('07_QAQC'!$C$3="",V259=""),"",'07_QAQC'!$C$3&amp;"|"&amp;V259)</f>
        <v/>
      </c>
      <c r="X259" s="92">
        <f>IF(OR(H259="",A259=""),"",LEN(H259)&amp;":"&amp;H259&amp;LEN(A259)&amp;":"&amp;A259)</f>
        <v/>
      </c>
      <c r="Y259" s="93">
        <f>IF(COUNTA($A259:$D259)=0,"",IF(I259=0,"樣品未建或重複",IF(INDEX(Samples[樣品檢查],I259)="","OK",INDEX(Samples[樣品檢查],I259))))</f>
        <v/>
      </c>
      <c r="Z259" s="93">
        <f>IF(COUNTA($A259:$D259)=0,"",IF(B259="","缺原始值",IF(OR(B259="-",B259="--"),"無資料",IF(N259="NA","不適用",IF(N259="ND","OK",IF(NOT(ISNUMBER(P259)),"格式待核",IF(AND(N259&lt;&gt;"數值",P259&lt;0),"界限不得為負","OK")))))))</f>
        <v/>
      </c>
      <c r="AA259" s="93">
        <f>IF(COUNTA(A259:D259)=0,"",IF(OR(A259="",H259=""),"缺識別欄位",IF(IF(LEN("="&amp;SUBSTITUTE(SUBSTITUTE(SUBSTITUTE(X259,"~","~~"),"*","~*"),"?","~?"))&lt;=255,COUNTIF(Results[結果識別鍵],"="&amp;SUBSTITUTE(SUBSTITUTE(SUBSTITUTE(X259,"~","~~"),"*","~*"),"?","~?")),COUNTIFS(Results[關聯鍵],"="&amp;SUBSTITUTE(SUBSTITUTE(SUBSTITUTE(H259,"~","~~"),"*","~*"),"?","~?"),Results[分析項目],"="&amp;SUBSTITUTE(SUBSTITUTE(SUBSTITUTE(A259,"~","~~"),"*","~*"),"?","~?")))&gt;1,"同關聯鍵測項重複","OK")))</f>
        <v/>
      </c>
      <c r="AB259" s="93">
        <f>IF(COUNTA($A259:$D259)=0,"",IF(OR(C259="",K259=""),"缺單位",IF(NOT(ISNUMBER(L259)),"單位不相容",IF(L259=1,"OK","已換算"))))</f>
        <v/>
      </c>
      <c r="AC259" s="93">
        <f>IF(COUNTA($A259:$D259)=0,"",IF('07_QAQC'!$C$3="","未選比較版本",IF(U259=0,IF(COUNTIFS(DB_05[標準鍵],W259)&gt;1,"標準鍵重複","未訂此介質／測項門檻"),IF(INDEX(DB_05[版本檢查],U259)&lt;&gt;"OK","標準主檔待核",IF(INDEX(DB_05[標準單位],U259)&lt;&gt;K259,"標準單位不符",IF(INDEX(DB_05[核對狀態],U259)="停用","停用",IF(F259="","缺採樣日期",IF(OR(AND(INDEX(DB_05[生效日],U259)&lt;&gt;"",F259&lt;INDEX(DB_05[生效日],U259)),AND(INDEX(DB_05[失效日],U259)&lt;&gt;"",F259&gt;INDEX(DB_05[失效日],U259))),"日期不適用",INDEX(DB_05[核對狀態],U259)))))))))</f>
        <v/>
      </c>
      <c r="AD259" s="93">
        <f>IF(COUNTA($A259:$D259)=0,"",IF(AC259="未訂此介質／測項門檻",AC259,IF(AC259&lt;&gt;"已核對","標準待核",IF(R259="","未訂管制值",IF(NOT(ISNUMBER(L259)),"單位待核",IF(N259="ND","無法判定（ND無界限）",IF(N259="NA","不適用",IF(Z259&lt;&gt;"OK",Z259,IF(N259="數值",IF(Q259&gt;=R259,"達管制值","未達管制值"),IF(OR(N259="&lt;",N259="&lt;="),IF(OR(Q259&lt;R259,AND(N259="&lt;",Q259=R259)),"未達管制值","無法判定"),IF(OR(N259="&gt;",N259="&gt;="),IF(Q259&gt;=R259,"達管制值","無法判定"),"格式待核")))))))))))</f>
        <v/>
      </c>
      <c r="AE259" s="93">
        <f>IF(COUNTA($A259:$D259)=0,"",IF(AC259="未訂此介質／測項門檻",AC259,IF(AC259&lt;&gt;"已核對","標準待核",IF(S259="","未訂監測值",IF(NOT(ISNUMBER(L259)),"單位待核",IF(N259="ND","無法判定（ND無界限）",IF(N259="NA","不適用",IF(Z259&lt;&gt;"OK",Z259,IF(N259="數值",IF(Q259&gt;=S259,"達監測值","未達監測值"),IF(OR(N259="&lt;",N259="&lt;="),IF(OR(Q259&lt;S259,AND(N259="&lt;",Q259=S259)),"未達監測值","無法判定"),IF(OR(N259="&gt;",N259="&gt;="),IF(Q259&gt;=S259,"達監測值","無法判定"),"格式待核")))))))))))</f>
        <v/>
      </c>
      <c r="AF259" s="93">
        <f>IF(COUNTA($A259:$D259)=0,"",IF(OR(E259="",A259="",B259="",C259=""),"缺必要欄位",IF(Y259&lt;&gt;"OK","樣品資料待補",IF(T259=0,"測項未建或重複",IF(INDEX(DB_04[啟用],T259)&lt;&gt;"是","測項停用",IF(AND(Z259&lt;&gt;"OK",Z259&lt;&gt;"不適用"),Z259,IF(AND(AB259&lt;&gt;"OK",AB259&lt;&gt;"已換算"),"單位待核",IF(AA259&lt;&gt;"OK",AA259,"OK"))))))))</f>
        <v/>
      </c>
      <c r="AG259" s="93">
        <f>IF(COUNTA($A259:$D259)=0,"",IF(N259="ND","ND取0",IF(OR(N259="&lt;",N259="&lt;="),"界限除以2",IF(N259="NA","不適用",IF(OR(N259="&gt;",N259="&gt;="),"保留界限數值","保留原數值")))))</f>
        <v/>
      </c>
      <c r="AH259" s="92">
        <f>IF(O259="","",IFERROR(_xlfn.NUMBERVALUE(O259,".",","),""))</f>
        <v/>
      </c>
      <c r="AI259" s="92">
        <f>IF(H259="","",IFERROR(MATCH(H259,Samples[樣品編號],0),0))</f>
        <v/>
      </c>
    </row>
    <row r="260">
      <c r="A260" s="27" t="inlineStr">
        <is>
          <t>pH</t>
        </is>
      </c>
      <c r="B260" s="28" t="inlineStr">
        <is>
          <t>7.02</t>
        </is>
      </c>
      <c r="C260" s="27" t="inlineStr">
        <is>
          <t>無因次</t>
        </is>
      </c>
      <c r="D260" s="39" t="inlineStr">
        <is>
          <t>合成資料，非實測；method=field</t>
        </is>
      </c>
      <c r="E260" s="29">
        <f>IF(OR(I260="",I260=0),"",IF(INDEX(Samples[監測點],I260)="","",INDEX(Samples[監測點],I260)))</f>
        <v/>
      </c>
      <c r="F260" s="90">
        <f>IF(OR(I260="",I260=0),"",IF(INDEX(Samples[採樣日期],I260)="","",INDEX(Samples[採樣日期],I260)))</f>
        <v/>
      </c>
      <c r="G260" s="91">
        <f>IF(OR(M260="",M260="NA",M260="N/A"),"",IF(OR(M260="ND",M260="N.D."),0,IFERROR(IF(OR(OR(ISNUMBER(SEARCH("%",O260)),ISNUMBER(SEARCH(" ",O260)),ISNUMBER(SEARCH(",",O260))),OR(SUBSTITUTE(SUBSTITUTE(SUBSTITUTE(SUBSTITUTE(SUBSTITUTE(SUBSTITUTE(SUBSTITUTE(SUBSTITUTE(SUBSTITUTE(SUBSTITUTE(SUBSTITUTE(SUBSTITUTE(SUBSTITUTE(SUBSTITUTE(SUBSTITUTE(SUBSTITUTE(SUBSTITUTE(SUBSTITUTE("x"&amp;M260,"0",""),"1",""),"2",""),"3",""),"4",""),"5",""),"6",""),"7",""),"8",""),"9",""),".",""),"E",""),"+",""),"-",""),"&lt;",""),"&gt;",""),"=","")," ","")&lt;&gt;"x",ISNUMBER(SEARCH("-",SUBSTITUTE(SUBSTITUTE("x"&amp;MID(M260,2,99),"E-","E"),"E+","E"))),ISNUMBER(SEARCH("+",SUBSTITUTE(SUBSTITUTE("x"&amp;MID(M260,2,99),"E-","E"),"E+","E"))))),"",IF(AND(OR(LEFT(M260,1)="&lt;",LEFT(M260,1)="&gt;"),IF(O260="",0,IF(ISNUMBER(AH260),AH260,NA()))&lt;0),"",IF(O260="",0,IF(ISNUMBER(AH260),AH260,NA()))/IF(LEFT(M260,1)="&lt;",2,1))),"")))</f>
        <v/>
      </c>
      <c r="H260" s="57" t="inlineStr">
        <is>
          <t>BH06-W_20260115_03</t>
        </is>
      </c>
      <c r="I260" s="92">
        <f>IF(OR(H260="",AI260=0),0,IF(INDEX(Samples[樣品重複筆數],AI260)=1,AI260,0))</f>
        <v/>
      </c>
      <c r="J260" s="92">
        <f>IF(OR(COUNTA($A260:$D260)=0,I260=0),"",IF(INDEX(Samples[介質],I260)="","",INDEX(Samples[介質],I260)))</f>
        <v/>
      </c>
      <c r="K260" s="92">
        <f>IF(OR(COUNTA($A260:$D260)=0,T260=0),"",IF(INDEX(DB_04[標準單位],T260)="","",INDEX(DB_04[標準單位],T260)))</f>
        <v/>
      </c>
      <c r="L260" s="92">
        <f>IF(COUNTA($A260:$D260)=0,"",IF(OR(C260="",K260=""),"",IF(C260=K260,1,IF(COUNTIFS(DB_06[換算鍵],C260&amp;"|"&amp;K260,DB_06[換算檢查],"OK")=1,INDEX(DB_06[乘數],MATCH(C260&amp;"|"&amp;K260,DB_06[換算鍵],0)),""))))</f>
        <v/>
      </c>
      <c r="M260" s="92">
        <f>UPPER(SUBSTITUTE(SUBSTITUTE(SUBSTITUTE(SUBSTITUTE(TRIM(B260&amp;""),"＜","&lt;"),"＞","&gt;"),"≤","&lt;="),"≥","&gt;="))</f>
        <v/>
      </c>
      <c r="N260" s="92">
        <f>IF(M260="","",IF(OR(M260="ND",M260="N.D."),"ND",IF(OR(M260="NA",M260="N/A",M260="N.A."),"NA",IF(OR(LEFT(M260,2)="&lt;=",LEFT(M260,2)="&gt;="),LEFT(M260,2),IF(OR(LEFT(M260,1)="&lt;",LEFT(M260,1)="&gt;"),LEFT(M260,1),"數值")))))</f>
        <v/>
      </c>
      <c r="O260" s="92">
        <f>IF(OR(N260="",N260="ND",N260="NA"),"",IF(N260="數值",M260,TRIM(MID(M260,LEN(N260)+1,99))))</f>
        <v/>
      </c>
      <c r="P260" s="92">
        <f>IF(O260="","",IFERROR(IF(OR(OR(ISNUMBER(SEARCH("%",O260)),ISNUMBER(SEARCH(" ",O260)),ISNUMBER(SEARCH(",",O260))),OR(SUBSTITUTE(SUBSTITUTE(SUBSTITUTE(SUBSTITUTE(SUBSTITUTE(SUBSTITUTE(SUBSTITUTE(SUBSTITUTE(SUBSTITUTE(SUBSTITUTE(SUBSTITUTE(SUBSTITUTE(SUBSTITUTE(SUBSTITUTE(SUBSTITUTE(SUBSTITUTE(SUBSTITUTE(SUBSTITUTE("x"&amp;O260,"0",""),"1",""),"2",""),"3",""),"4",""),"5",""),"6",""),"7",""),"8",""),"9",""),".",""),"E",""),"+",""),"-",""),"&lt;",""),"&gt;",""),"=","")," ","")&lt;&gt;"x",ISNUMBER(SEARCH("-",SUBSTITUTE(SUBSTITUTE("x"&amp;MID(O260,2,99),"E-","E"),"E+","E"))),ISNUMBER(SEARCH("+",SUBSTITUTE(SUBSTITUTE("x"&amp;MID(O260,2,99),"E-","E"),"E+","E"))))),"",IF(ISNUMBER(AH260),AH260,NA())),""))</f>
        <v/>
      </c>
      <c r="Q260" s="92">
        <f>IF(AND(ISNUMBER(L260),ISNUMBER(P260)),L260*P260,"")</f>
        <v/>
      </c>
      <c r="R260" s="92">
        <f>IF(OR(COUNTA($A260:$D260)=0,U260=0),"",IF(INDEX(DB_05[管制設定值],U260)="","",INDEX(DB_05[管制設定值],U260)))</f>
        <v/>
      </c>
      <c r="S260" s="92">
        <f>IF(OR(COUNTA($A260:$D260)=0,U260=0),"",IF(INDEX(DB_05[監測設定值],U260)="","",INDEX(DB_05[監測設定值],U260)))</f>
        <v/>
      </c>
      <c r="T260" s="92">
        <f>IF(COUNTA($A260:$D260)=0,"",IF(COUNTIFS(DB_04[測項鍵],V260)=1,MATCH(V260,DB_04[測項鍵],0),0))</f>
        <v/>
      </c>
      <c r="U260" s="92">
        <f>IF(COUNTA($A260:$D260)=0,"",IF(COUNTIFS(DB_05[標準鍵],W260)=1,MATCH(W260,DB_05[標準鍵],0),0))</f>
        <v/>
      </c>
      <c r="V260" s="92">
        <f>IF(OR(J260="",A260=""),"",J260&amp;"|"&amp;A260)</f>
        <v/>
      </c>
      <c r="W260" s="92">
        <f>IF(OR('07_QAQC'!$C$3="",V260=""),"",'07_QAQC'!$C$3&amp;"|"&amp;V260)</f>
        <v/>
      </c>
      <c r="X260" s="92">
        <f>IF(OR(H260="",A260=""),"",LEN(H260)&amp;":"&amp;H260&amp;LEN(A260)&amp;":"&amp;A260)</f>
        <v/>
      </c>
      <c r="Y260" s="93">
        <f>IF(COUNTA($A260:$D260)=0,"",IF(I260=0,"樣品未建或重複",IF(INDEX(Samples[樣品檢查],I260)="","OK",INDEX(Samples[樣品檢查],I260))))</f>
        <v/>
      </c>
      <c r="Z260" s="93">
        <f>IF(COUNTA($A260:$D260)=0,"",IF(B260="","缺原始值",IF(OR(B260="-",B260="--"),"無資料",IF(N260="NA","不適用",IF(N260="ND","OK",IF(NOT(ISNUMBER(P260)),"格式待核",IF(AND(N260&lt;&gt;"數值",P260&lt;0),"界限不得為負","OK")))))))</f>
        <v/>
      </c>
      <c r="AA260" s="93">
        <f>IF(COUNTA(A260:D260)=0,"",IF(OR(A260="",H260=""),"缺識別欄位",IF(IF(LEN("="&amp;SUBSTITUTE(SUBSTITUTE(SUBSTITUTE(X260,"~","~~"),"*","~*"),"?","~?"))&lt;=255,COUNTIF(Results[結果識別鍵],"="&amp;SUBSTITUTE(SUBSTITUTE(SUBSTITUTE(X260,"~","~~"),"*","~*"),"?","~?")),COUNTIFS(Results[關聯鍵],"="&amp;SUBSTITUTE(SUBSTITUTE(SUBSTITUTE(H260,"~","~~"),"*","~*"),"?","~?"),Results[分析項目],"="&amp;SUBSTITUTE(SUBSTITUTE(SUBSTITUTE(A260,"~","~~"),"*","~*"),"?","~?")))&gt;1,"同關聯鍵測項重複","OK")))</f>
        <v/>
      </c>
      <c r="AB260" s="93">
        <f>IF(COUNTA($A260:$D260)=0,"",IF(OR(C260="",K260=""),"缺單位",IF(NOT(ISNUMBER(L260)),"單位不相容",IF(L260=1,"OK","已換算"))))</f>
        <v/>
      </c>
      <c r="AC260" s="93">
        <f>IF(COUNTA($A260:$D260)=0,"",IF('07_QAQC'!$C$3="","未選比較版本",IF(U260=0,IF(COUNTIFS(DB_05[標準鍵],W260)&gt;1,"標準鍵重複","未訂此介質／測項門檻"),IF(INDEX(DB_05[版本檢查],U260)&lt;&gt;"OK","標準主檔待核",IF(INDEX(DB_05[標準單位],U260)&lt;&gt;K260,"標準單位不符",IF(INDEX(DB_05[核對狀態],U260)="停用","停用",IF(F260="","缺採樣日期",IF(OR(AND(INDEX(DB_05[生效日],U260)&lt;&gt;"",F260&lt;INDEX(DB_05[生效日],U260)),AND(INDEX(DB_05[失效日],U260)&lt;&gt;"",F260&gt;INDEX(DB_05[失效日],U260))),"日期不適用",INDEX(DB_05[核對狀態],U260)))))))))</f>
        <v/>
      </c>
      <c r="AD260" s="93">
        <f>IF(COUNTA($A260:$D260)=0,"",IF(AC260="未訂此介質／測項門檻",AC260,IF(AC260&lt;&gt;"已核對","標準待核",IF(R260="","未訂管制值",IF(NOT(ISNUMBER(L260)),"單位待核",IF(N260="ND","無法判定（ND無界限）",IF(N260="NA","不適用",IF(Z260&lt;&gt;"OK",Z260,IF(N260="數值",IF(Q260&gt;=R260,"達管制值","未達管制值"),IF(OR(N260="&lt;",N260="&lt;="),IF(OR(Q260&lt;R260,AND(N260="&lt;",Q260=R260)),"未達管制值","無法判定"),IF(OR(N260="&gt;",N260="&gt;="),IF(Q260&gt;=R260,"達管制值","無法判定"),"格式待核")))))))))))</f>
        <v/>
      </c>
      <c r="AE260" s="93">
        <f>IF(COUNTA($A260:$D260)=0,"",IF(AC260="未訂此介質／測項門檻",AC260,IF(AC260&lt;&gt;"已核對","標準待核",IF(S260="","未訂監測值",IF(NOT(ISNUMBER(L260)),"單位待核",IF(N260="ND","無法判定（ND無界限）",IF(N260="NA","不適用",IF(Z260&lt;&gt;"OK",Z260,IF(N260="數值",IF(Q260&gt;=S260,"達監測值","未達監測值"),IF(OR(N260="&lt;",N260="&lt;="),IF(OR(Q260&lt;S260,AND(N260="&lt;",Q260=S260)),"未達監測值","無法判定"),IF(OR(N260="&gt;",N260="&gt;="),IF(Q260&gt;=S260,"達監測值","無法判定"),"格式待核")))))))))))</f>
        <v/>
      </c>
      <c r="AF260" s="93">
        <f>IF(COUNTA($A260:$D260)=0,"",IF(OR(E260="",A260="",B260="",C260=""),"缺必要欄位",IF(Y260&lt;&gt;"OK","樣品資料待補",IF(T260=0,"測項未建或重複",IF(INDEX(DB_04[啟用],T260)&lt;&gt;"是","測項停用",IF(AND(Z260&lt;&gt;"OK",Z260&lt;&gt;"不適用"),Z260,IF(AND(AB260&lt;&gt;"OK",AB260&lt;&gt;"已換算"),"單位待核",IF(AA260&lt;&gt;"OK",AA260,"OK"))))))))</f>
        <v/>
      </c>
      <c r="AG260" s="93">
        <f>IF(COUNTA($A260:$D260)=0,"",IF(N260="ND","ND取0",IF(OR(N260="&lt;",N260="&lt;="),"界限除以2",IF(N260="NA","不適用",IF(OR(N260="&gt;",N260="&gt;="),"保留界限數值","保留原數值")))))</f>
        <v/>
      </c>
      <c r="AH260" s="92">
        <f>IF(O260="","",IFERROR(_xlfn.NUMBERVALUE(O260,".",","),""))</f>
        <v/>
      </c>
      <c r="AI260" s="92">
        <f>IF(H260="","",IFERROR(MATCH(H260,Samples[樣品編號],0),0))</f>
        <v/>
      </c>
    </row>
    <row r="261">
      <c r="A261" s="27" t="inlineStr">
        <is>
          <t>EC</t>
        </is>
      </c>
      <c r="B261" s="28" t="inlineStr">
        <is>
          <t>0.78</t>
        </is>
      </c>
      <c r="C261" s="27" t="inlineStr">
        <is>
          <t>mS/cm</t>
        </is>
      </c>
      <c r="D261" s="39" t="inlineStr">
        <is>
          <t>合成資料，非實測；method=field; temperature=25; temperature_compensated=25C; reference_temperature=25</t>
        </is>
      </c>
      <c r="E261" s="29">
        <f>IF(OR(I261="",I261=0),"",IF(INDEX(Samples[監測點],I261)="","",INDEX(Samples[監測點],I261)))</f>
        <v/>
      </c>
      <c r="F261" s="90">
        <f>IF(OR(I261="",I261=0),"",IF(INDEX(Samples[採樣日期],I261)="","",INDEX(Samples[採樣日期],I261)))</f>
        <v/>
      </c>
      <c r="G261" s="91">
        <f>IF(OR(M261="",M261="NA",M261="N/A"),"",IF(OR(M261="ND",M261="N.D."),0,IFERROR(IF(OR(OR(ISNUMBER(SEARCH("%",O261)),ISNUMBER(SEARCH(" ",O261)),ISNUMBER(SEARCH(",",O261))),OR(SUBSTITUTE(SUBSTITUTE(SUBSTITUTE(SUBSTITUTE(SUBSTITUTE(SUBSTITUTE(SUBSTITUTE(SUBSTITUTE(SUBSTITUTE(SUBSTITUTE(SUBSTITUTE(SUBSTITUTE(SUBSTITUTE(SUBSTITUTE(SUBSTITUTE(SUBSTITUTE(SUBSTITUTE(SUBSTITUTE("x"&amp;M261,"0",""),"1",""),"2",""),"3",""),"4",""),"5",""),"6",""),"7",""),"8",""),"9",""),".",""),"E",""),"+",""),"-",""),"&lt;",""),"&gt;",""),"=","")," ","")&lt;&gt;"x",ISNUMBER(SEARCH("-",SUBSTITUTE(SUBSTITUTE("x"&amp;MID(M261,2,99),"E-","E"),"E+","E"))),ISNUMBER(SEARCH("+",SUBSTITUTE(SUBSTITUTE("x"&amp;MID(M261,2,99),"E-","E"),"E+","E"))))),"",IF(AND(OR(LEFT(M261,1)="&lt;",LEFT(M261,1)="&gt;"),IF(O261="",0,IF(ISNUMBER(AH261),AH261,NA()))&lt;0),"",IF(O261="",0,IF(ISNUMBER(AH261),AH261,NA()))/IF(LEFT(M261,1)="&lt;",2,1))),"")))</f>
        <v/>
      </c>
      <c r="H261" s="57" t="inlineStr">
        <is>
          <t>BH06-W_20260115_03</t>
        </is>
      </c>
      <c r="I261" s="92">
        <f>IF(OR(H261="",AI261=0),0,IF(INDEX(Samples[樣品重複筆數],AI261)=1,AI261,0))</f>
        <v/>
      </c>
      <c r="J261" s="92">
        <f>IF(OR(COUNTA($A261:$D261)=0,I261=0),"",IF(INDEX(Samples[介質],I261)="","",INDEX(Samples[介質],I261)))</f>
        <v/>
      </c>
      <c r="K261" s="92">
        <f>IF(OR(COUNTA($A261:$D261)=0,T261=0),"",IF(INDEX(DB_04[標準單位],T261)="","",INDEX(DB_04[標準單位],T261)))</f>
        <v/>
      </c>
      <c r="L261" s="92">
        <f>IF(COUNTA($A261:$D261)=0,"",IF(OR(C261="",K261=""),"",IF(C261=K261,1,IF(COUNTIFS(DB_06[換算鍵],C261&amp;"|"&amp;K261,DB_06[換算檢查],"OK")=1,INDEX(DB_06[乘數],MATCH(C261&amp;"|"&amp;K261,DB_06[換算鍵],0)),""))))</f>
        <v/>
      </c>
      <c r="M261" s="92">
        <f>UPPER(SUBSTITUTE(SUBSTITUTE(SUBSTITUTE(SUBSTITUTE(TRIM(B261&amp;""),"＜","&lt;"),"＞","&gt;"),"≤","&lt;="),"≥","&gt;="))</f>
        <v/>
      </c>
      <c r="N261" s="92">
        <f>IF(M261="","",IF(OR(M261="ND",M261="N.D."),"ND",IF(OR(M261="NA",M261="N/A",M261="N.A."),"NA",IF(OR(LEFT(M261,2)="&lt;=",LEFT(M261,2)="&gt;="),LEFT(M261,2),IF(OR(LEFT(M261,1)="&lt;",LEFT(M261,1)="&gt;"),LEFT(M261,1),"數值")))))</f>
        <v/>
      </c>
      <c r="O261" s="92">
        <f>IF(OR(N261="",N261="ND",N261="NA"),"",IF(N261="數值",M261,TRIM(MID(M261,LEN(N261)+1,99))))</f>
        <v/>
      </c>
      <c r="P261" s="92">
        <f>IF(O261="","",IFERROR(IF(OR(OR(ISNUMBER(SEARCH("%",O261)),ISNUMBER(SEARCH(" ",O261)),ISNUMBER(SEARCH(",",O261))),OR(SUBSTITUTE(SUBSTITUTE(SUBSTITUTE(SUBSTITUTE(SUBSTITUTE(SUBSTITUTE(SUBSTITUTE(SUBSTITUTE(SUBSTITUTE(SUBSTITUTE(SUBSTITUTE(SUBSTITUTE(SUBSTITUTE(SUBSTITUTE(SUBSTITUTE(SUBSTITUTE(SUBSTITUTE(SUBSTITUTE("x"&amp;O261,"0",""),"1",""),"2",""),"3",""),"4",""),"5",""),"6",""),"7",""),"8",""),"9",""),".",""),"E",""),"+",""),"-",""),"&lt;",""),"&gt;",""),"=","")," ","")&lt;&gt;"x",ISNUMBER(SEARCH("-",SUBSTITUTE(SUBSTITUTE("x"&amp;MID(O261,2,99),"E-","E"),"E+","E"))),ISNUMBER(SEARCH("+",SUBSTITUTE(SUBSTITUTE("x"&amp;MID(O261,2,99),"E-","E"),"E+","E"))))),"",IF(ISNUMBER(AH261),AH261,NA())),""))</f>
        <v/>
      </c>
      <c r="Q261" s="92">
        <f>IF(AND(ISNUMBER(L261),ISNUMBER(P261)),L261*P261,"")</f>
        <v/>
      </c>
      <c r="R261" s="92">
        <f>IF(OR(COUNTA($A261:$D261)=0,U261=0),"",IF(INDEX(DB_05[管制設定值],U261)="","",INDEX(DB_05[管制設定值],U261)))</f>
        <v/>
      </c>
      <c r="S261" s="92">
        <f>IF(OR(COUNTA($A261:$D261)=0,U261=0),"",IF(INDEX(DB_05[監測設定值],U261)="","",INDEX(DB_05[監測設定值],U261)))</f>
        <v/>
      </c>
      <c r="T261" s="92">
        <f>IF(COUNTA($A261:$D261)=0,"",IF(COUNTIFS(DB_04[測項鍵],V261)=1,MATCH(V261,DB_04[測項鍵],0),0))</f>
        <v/>
      </c>
      <c r="U261" s="92">
        <f>IF(COUNTA($A261:$D261)=0,"",IF(COUNTIFS(DB_05[標準鍵],W261)=1,MATCH(W261,DB_05[標準鍵],0),0))</f>
        <v/>
      </c>
      <c r="V261" s="92">
        <f>IF(OR(J261="",A261=""),"",J261&amp;"|"&amp;A261)</f>
        <v/>
      </c>
      <c r="W261" s="92">
        <f>IF(OR('07_QAQC'!$C$3="",V261=""),"",'07_QAQC'!$C$3&amp;"|"&amp;V261)</f>
        <v/>
      </c>
      <c r="X261" s="92">
        <f>IF(OR(H261="",A261=""),"",LEN(H261)&amp;":"&amp;H261&amp;LEN(A261)&amp;":"&amp;A261)</f>
        <v/>
      </c>
      <c r="Y261" s="93">
        <f>IF(COUNTA($A261:$D261)=0,"",IF(I261=0,"樣品未建或重複",IF(INDEX(Samples[樣品檢查],I261)="","OK",INDEX(Samples[樣品檢查],I261))))</f>
        <v/>
      </c>
      <c r="Z261" s="93">
        <f>IF(COUNTA($A261:$D261)=0,"",IF(B261="","缺原始值",IF(OR(B261="-",B261="--"),"無資料",IF(N261="NA","不適用",IF(N261="ND","OK",IF(NOT(ISNUMBER(P261)),"格式待核",IF(AND(N261&lt;&gt;"數值",P261&lt;0),"界限不得為負","OK")))))))</f>
        <v/>
      </c>
      <c r="AA261" s="93">
        <f>IF(COUNTA(A261:D261)=0,"",IF(OR(A261="",H261=""),"缺識別欄位",IF(IF(LEN("="&amp;SUBSTITUTE(SUBSTITUTE(SUBSTITUTE(X261,"~","~~"),"*","~*"),"?","~?"))&lt;=255,COUNTIF(Results[結果識別鍵],"="&amp;SUBSTITUTE(SUBSTITUTE(SUBSTITUTE(X261,"~","~~"),"*","~*"),"?","~?")),COUNTIFS(Results[關聯鍵],"="&amp;SUBSTITUTE(SUBSTITUTE(SUBSTITUTE(H261,"~","~~"),"*","~*"),"?","~?"),Results[分析項目],"="&amp;SUBSTITUTE(SUBSTITUTE(SUBSTITUTE(A261,"~","~~"),"*","~*"),"?","~?")))&gt;1,"同關聯鍵測項重複","OK")))</f>
        <v/>
      </c>
      <c r="AB261" s="93">
        <f>IF(COUNTA($A261:$D261)=0,"",IF(OR(C261="",K261=""),"缺單位",IF(NOT(ISNUMBER(L261)),"單位不相容",IF(L261=1,"OK","已換算"))))</f>
        <v/>
      </c>
      <c r="AC261" s="93">
        <f>IF(COUNTA($A261:$D261)=0,"",IF('07_QAQC'!$C$3="","未選比較版本",IF(U261=0,IF(COUNTIFS(DB_05[標準鍵],W261)&gt;1,"標準鍵重複","未訂此介質／測項門檻"),IF(INDEX(DB_05[版本檢查],U261)&lt;&gt;"OK","標準主檔待核",IF(INDEX(DB_05[標準單位],U261)&lt;&gt;K261,"標準單位不符",IF(INDEX(DB_05[核對狀態],U261)="停用","停用",IF(F261="","缺採樣日期",IF(OR(AND(INDEX(DB_05[生效日],U261)&lt;&gt;"",F261&lt;INDEX(DB_05[生效日],U261)),AND(INDEX(DB_05[失效日],U261)&lt;&gt;"",F261&gt;INDEX(DB_05[失效日],U261))),"日期不適用",INDEX(DB_05[核對狀態],U261)))))))))</f>
        <v/>
      </c>
      <c r="AD261" s="93">
        <f>IF(COUNTA($A261:$D261)=0,"",IF(AC261="未訂此介質／測項門檻",AC261,IF(AC261&lt;&gt;"已核對","標準待核",IF(R261="","未訂管制值",IF(NOT(ISNUMBER(L261)),"單位待核",IF(N261="ND","無法判定（ND無界限）",IF(N261="NA","不適用",IF(Z261&lt;&gt;"OK",Z261,IF(N261="數值",IF(Q261&gt;=R261,"達管制值","未達管制值"),IF(OR(N261="&lt;",N261="&lt;="),IF(OR(Q261&lt;R261,AND(N261="&lt;",Q261=R261)),"未達管制值","無法判定"),IF(OR(N261="&gt;",N261="&gt;="),IF(Q261&gt;=R261,"達管制值","無法判定"),"格式待核")))))))))))</f>
        <v/>
      </c>
      <c r="AE261" s="93">
        <f>IF(COUNTA($A261:$D261)=0,"",IF(AC261="未訂此介質／測項門檻",AC261,IF(AC261&lt;&gt;"已核對","標準待核",IF(S261="","未訂監測值",IF(NOT(ISNUMBER(L261)),"單位待核",IF(N261="ND","無法判定（ND無界限）",IF(N261="NA","不適用",IF(Z261&lt;&gt;"OK",Z261,IF(N261="數值",IF(Q261&gt;=S261,"達監測值","未達監測值"),IF(OR(N261="&lt;",N261="&lt;="),IF(OR(Q261&lt;S261,AND(N261="&lt;",Q261=S261)),"未達監測值","無法判定"),IF(OR(N261="&gt;",N261="&gt;="),IF(Q261&gt;=S261,"達監測值","無法判定"),"格式待核")))))))))))</f>
        <v/>
      </c>
      <c r="AF261" s="93">
        <f>IF(COUNTA($A261:$D261)=0,"",IF(OR(E261="",A261="",B261="",C261=""),"缺必要欄位",IF(Y261&lt;&gt;"OK","樣品資料待補",IF(T261=0,"測項未建或重複",IF(INDEX(DB_04[啟用],T261)&lt;&gt;"是","測項停用",IF(AND(Z261&lt;&gt;"OK",Z261&lt;&gt;"不適用"),Z261,IF(AND(AB261&lt;&gt;"OK",AB261&lt;&gt;"已換算"),"單位待核",IF(AA261&lt;&gt;"OK",AA261,"OK"))))))))</f>
        <v/>
      </c>
      <c r="AG261" s="93">
        <f>IF(COUNTA($A261:$D261)=0,"",IF(N261="ND","ND取0",IF(OR(N261="&lt;",N261="&lt;="),"界限除以2",IF(N261="NA","不適用",IF(OR(N261="&gt;",N261="&gt;="),"保留界限數值","保留原數值")))))</f>
        <v/>
      </c>
      <c r="AH261" s="92">
        <f>IF(O261="","",IFERROR(_xlfn.NUMBERVALUE(O261,".",","),""))</f>
        <v/>
      </c>
      <c r="AI261" s="92">
        <f>IF(H261="","",IFERROR(MATCH(H261,Samples[樣品編號],0),0))</f>
        <v/>
      </c>
    </row>
    <row r="262">
      <c r="A262" s="27" t="inlineStr">
        <is>
          <t>DO</t>
        </is>
      </c>
      <c r="B262" s="28" t="inlineStr">
        <is>
          <t>3.4</t>
        </is>
      </c>
      <c r="C262" s="27" t="inlineStr">
        <is>
          <t>mg/L</t>
        </is>
      </c>
      <c r="D262" s="39" t="inlineStr">
        <is>
          <t>合成資料，非實測；method=field</t>
        </is>
      </c>
      <c r="E262" s="29">
        <f>IF(OR(I262="",I262=0),"",IF(INDEX(Samples[監測點],I262)="","",INDEX(Samples[監測點],I262)))</f>
        <v/>
      </c>
      <c r="F262" s="90">
        <f>IF(OR(I262="",I262=0),"",IF(INDEX(Samples[採樣日期],I262)="","",INDEX(Samples[採樣日期],I262)))</f>
        <v/>
      </c>
      <c r="G262" s="91">
        <f>IF(OR(M262="",M262="NA",M262="N/A"),"",IF(OR(M262="ND",M262="N.D."),0,IFERROR(IF(OR(OR(ISNUMBER(SEARCH("%",O262)),ISNUMBER(SEARCH(" ",O262)),ISNUMBER(SEARCH(",",O262))),OR(SUBSTITUTE(SUBSTITUTE(SUBSTITUTE(SUBSTITUTE(SUBSTITUTE(SUBSTITUTE(SUBSTITUTE(SUBSTITUTE(SUBSTITUTE(SUBSTITUTE(SUBSTITUTE(SUBSTITUTE(SUBSTITUTE(SUBSTITUTE(SUBSTITUTE(SUBSTITUTE(SUBSTITUTE(SUBSTITUTE("x"&amp;M262,"0",""),"1",""),"2",""),"3",""),"4",""),"5",""),"6",""),"7",""),"8",""),"9",""),".",""),"E",""),"+",""),"-",""),"&lt;",""),"&gt;",""),"=","")," ","")&lt;&gt;"x",ISNUMBER(SEARCH("-",SUBSTITUTE(SUBSTITUTE("x"&amp;MID(M262,2,99),"E-","E"),"E+","E"))),ISNUMBER(SEARCH("+",SUBSTITUTE(SUBSTITUTE("x"&amp;MID(M262,2,99),"E-","E"),"E+","E"))))),"",IF(AND(OR(LEFT(M262,1)="&lt;",LEFT(M262,1)="&gt;"),IF(O262="",0,IF(ISNUMBER(AH262),AH262,NA()))&lt;0),"",IF(O262="",0,IF(ISNUMBER(AH262),AH262,NA()))/IF(LEFT(M262,1)="&lt;",2,1))),"")))</f>
        <v/>
      </c>
      <c r="H262" s="57" t="inlineStr">
        <is>
          <t>BH06-W_20260115_03</t>
        </is>
      </c>
      <c r="I262" s="92">
        <f>IF(OR(H262="",AI262=0),0,IF(INDEX(Samples[樣品重複筆數],AI262)=1,AI262,0))</f>
        <v/>
      </c>
      <c r="J262" s="92">
        <f>IF(OR(COUNTA($A262:$D262)=0,I262=0),"",IF(INDEX(Samples[介質],I262)="","",INDEX(Samples[介質],I262)))</f>
        <v/>
      </c>
      <c r="K262" s="92">
        <f>IF(OR(COUNTA($A262:$D262)=0,T262=0),"",IF(INDEX(DB_04[標準單位],T262)="","",INDEX(DB_04[標準單位],T262)))</f>
        <v/>
      </c>
      <c r="L262" s="92">
        <f>IF(COUNTA($A262:$D262)=0,"",IF(OR(C262="",K262=""),"",IF(C262=K262,1,IF(COUNTIFS(DB_06[換算鍵],C262&amp;"|"&amp;K262,DB_06[換算檢查],"OK")=1,INDEX(DB_06[乘數],MATCH(C262&amp;"|"&amp;K262,DB_06[換算鍵],0)),""))))</f>
        <v/>
      </c>
      <c r="M262" s="92">
        <f>UPPER(SUBSTITUTE(SUBSTITUTE(SUBSTITUTE(SUBSTITUTE(TRIM(B262&amp;""),"＜","&lt;"),"＞","&gt;"),"≤","&lt;="),"≥","&gt;="))</f>
        <v/>
      </c>
      <c r="N262" s="92">
        <f>IF(M262="","",IF(OR(M262="ND",M262="N.D."),"ND",IF(OR(M262="NA",M262="N/A",M262="N.A."),"NA",IF(OR(LEFT(M262,2)="&lt;=",LEFT(M262,2)="&gt;="),LEFT(M262,2),IF(OR(LEFT(M262,1)="&lt;",LEFT(M262,1)="&gt;"),LEFT(M262,1),"數值")))))</f>
        <v/>
      </c>
      <c r="O262" s="92">
        <f>IF(OR(N262="",N262="ND",N262="NA"),"",IF(N262="數值",M262,TRIM(MID(M262,LEN(N262)+1,99))))</f>
        <v/>
      </c>
      <c r="P262" s="92">
        <f>IF(O262="","",IFERROR(IF(OR(OR(ISNUMBER(SEARCH("%",O262)),ISNUMBER(SEARCH(" ",O262)),ISNUMBER(SEARCH(",",O262))),OR(SUBSTITUTE(SUBSTITUTE(SUBSTITUTE(SUBSTITUTE(SUBSTITUTE(SUBSTITUTE(SUBSTITUTE(SUBSTITUTE(SUBSTITUTE(SUBSTITUTE(SUBSTITUTE(SUBSTITUTE(SUBSTITUTE(SUBSTITUTE(SUBSTITUTE(SUBSTITUTE(SUBSTITUTE(SUBSTITUTE("x"&amp;O262,"0",""),"1",""),"2",""),"3",""),"4",""),"5",""),"6",""),"7",""),"8",""),"9",""),".",""),"E",""),"+",""),"-",""),"&lt;",""),"&gt;",""),"=","")," ","")&lt;&gt;"x",ISNUMBER(SEARCH("-",SUBSTITUTE(SUBSTITUTE("x"&amp;MID(O262,2,99),"E-","E"),"E+","E"))),ISNUMBER(SEARCH("+",SUBSTITUTE(SUBSTITUTE("x"&amp;MID(O262,2,99),"E-","E"),"E+","E"))))),"",IF(ISNUMBER(AH262),AH262,NA())),""))</f>
        <v/>
      </c>
      <c r="Q262" s="92">
        <f>IF(AND(ISNUMBER(L262),ISNUMBER(P262)),L262*P262,"")</f>
        <v/>
      </c>
      <c r="R262" s="92">
        <f>IF(OR(COUNTA($A262:$D262)=0,U262=0),"",IF(INDEX(DB_05[管制設定值],U262)="","",INDEX(DB_05[管制設定值],U262)))</f>
        <v/>
      </c>
      <c r="S262" s="92">
        <f>IF(OR(COUNTA($A262:$D262)=0,U262=0),"",IF(INDEX(DB_05[監測設定值],U262)="","",INDEX(DB_05[監測設定值],U262)))</f>
        <v/>
      </c>
      <c r="T262" s="92">
        <f>IF(COUNTA($A262:$D262)=0,"",IF(COUNTIFS(DB_04[測項鍵],V262)=1,MATCH(V262,DB_04[測項鍵],0),0))</f>
        <v/>
      </c>
      <c r="U262" s="92">
        <f>IF(COUNTA($A262:$D262)=0,"",IF(COUNTIFS(DB_05[標準鍵],W262)=1,MATCH(W262,DB_05[標準鍵],0),0))</f>
        <v/>
      </c>
      <c r="V262" s="92">
        <f>IF(OR(J262="",A262=""),"",J262&amp;"|"&amp;A262)</f>
        <v/>
      </c>
      <c r="W262" s="92">
        <f>IF(OR('07_QAQC'!$C$3="",V262=""),"",'07_QAQC'!$C$3&amp;"|"&amp;V262)</f>
        <v/>
      </c>
      <c r="X262" s="92">
        <f>IF(OR(H262="",A262=""),"",LEN(H262)&amp;":"&amp;H262&amp;LEN(A262)&amp;":"&amp;A262)</f>
        <v/>
      </c>
      <c r="Y262" s="93">
        <f>IF(COUNTA($A262:$D262)=0,"",IF(I262=0,"樣品未建或重複",IF(INDEX(Samples[樣品檢查],I262)="","OK",INDEX(Samples[樣品檢查],I262))))</f>
        <v/>
      </c>
      <c r="Z262" s="93">
        <f>IF(COUNTA($A262:$D262)=0,"",IF(B262="","缺原始值",IF(OR(B262="-",B262="--"),"無資料",IF(N262="NA","不適用",IF(N262="ND","OK",IF(NOT(ISNUMBER(P262)),"格式待核",IF(AND(N262&lt;&gt;"數值",P262&lt;0),"界限不得為負","OK")))))))</f>
        <v/>
      </c>
      <c r="AA262" s="93">
        <f>IF(COUNTA(A262:D262)=0,"",IF(OR(A262="",H262=""),"缺識別欄位",IF(IF(LEN("="&amp;SUBSTITUTE(SUBSTITUTE(SUBSTITUTE(X262,"~","~~"),"*","~*"),"?","~?"))&lt;=255,COUNTIF(Results[結果識別鍵],"="&amp;SUBSTITUTE(SUBSTITUTE(SUBSTITUTE(X262,"~","~~"),"*","~*"),"?","~?")),COUNTIFS(Results[關聯鍵],"="&amp;SUBSTITUTE(SUBSTITUTE(SUBSTITUTE(H262,"~","~~"),"*","~*"),"?","~?"),Results[分析項目],"="&amp;SUBSTITUTE(SUBSTITUTE(SUBSTITUTE(A262,"~","~~"),"*","~*"),"?","~?")))&gt;1,"同關聯鍵測項重複","OK")))</f>
        <v/>
      </c>
      <c r="AB262" s="93">
        <f>IF(COUNTA($A262:$D262)=0,"",IF(OR(C262="",K262=""),"缺單位",IF(NOT(ISNUMBER(L262)),"單位不相容",IF(L262=1,"OK","已換算"))))</f>
        <v/>
      </c>
      <c r="AC262" s="93">
        <f>IF(COUNTA($A262:$D262)=0,"",IF('07_QAQC'!$C$3="","未選比較版本",IF(U262=0,IF(COUNTIFS(DB_05[標準鍵],W262)&gt;1,"標準鍵重複","未訂此介質／測項門檻"),IF(INDEX(DB_05[版本檢查],U262)&lt;&gt;"OK","標準主檔待核",IF(INDEX(DB_05[標準單位],U262)&lt;&gt;K262,"標準單位不符",IF(INDEX(DB_05[核對狀態],U262)="停用","停用",IF(F262="","缺採樣日期",IF(OR(AND(INDEX(DB_05[生效日],U262)&lt;&gt;"",F262&lt;INDEX(DB_05[生效日],U262)),AND(INDEX(DB_05[失效日],U262)&lt;&gt;"",F262&gt;INDEX(DB_05[失效日],U262))),"日期不適用",INDEX(DB_05[核對狀態],U262)))))))))</f>
        <v/>
      </c>
      <c r="AD262" s="93">
        <f>IF(COUNTA($A262:$D262)=0,"",IF(AC262="未訂此介質／測項門檻",AC262,IF(AC262&lt;&gt;"已核對","標準待核",IF(R262="","未訂管制值",IF(NOT(ISNUMBER(L262)),"單位待核",IF(N262="ND","無法判定（ND無界限）",IF(N262="NA","不適用",IF(Z262&lt;&gt;"OK",Z262,IF(N262="數值",IF(Q262&gt;=R262,"達管制值","未達管制值"),IF(OR(N262="&lt;",N262="&lt;="),IF(OR(Q262&lt;R262,AND(N262="&lt;",Q262=R262)),"未達管制值","無法判定"),IF(OR(N262="&gt;",N262="&gt;="),IF(Q262&gt;=R262,"達管制值","無法判定"),"格式待核")))))))))))</f>
        <v/>
      </c>
      <c r="AE262" s="93">
        <f>IF(COUNTA($A262:$D262)=0,"",IF(AC262="未訂此介質／測項門檻",AC262,IF(AC262&lt;&gt;"已核對","標準待核",IF(S262="","未訂監測值",IF(NOT(ISNUMBER(L262)),"單位待核",IF(N262="ND","無法判定（ND無界限）",IF(N262="NA","不適用",IF(Z262&lt;&gt;"OK",Z262,IF(N262="數值",IF(Q262&gt;=S262,"達監測值","未達監測值"),IF(OR(N262="&lt;",N262="&lt;="),IF(OR(Q262&lt;S262,AND(N262="&lt;",Q262=S262)),"未達監測值","無法判定"),IF(OR(N262="&gt;",N262="&gt;="),IF(Q262&gt;=S262,"達監測值","無法判定"),"格式待核")))))))))))</f>
        <v/>
      </c>
      <c r="AF262" s="93">
        <f>IF(COUNTA($A262:$D262)=0,"",IF(OR(E262="",A262="",B262="",C262=""),"缺必要欄位",IF(Y262&lt;&gt;"OK","樣品資料待補",IF(T262=0,"測項未建或重複",IF(INDEX(DB_04[啟用],T262)&lt;&gt;"是","測項停用",IF(AND(Z262&lt;&gt;"OK",Z262&lt;&gt;"不適用"),Z262,IF(AND(AB262&lt;&gt;"OK",AB262&lt;&gt;"已換算"),"單位待核",IF(AA262&lt;&gt;"OK",AA262,"OK"))))))))</f>
        <v/>
      </c>
      <c r="AG262" s="93">
        <f>IF(COUNTA($A262:$D262)=0,"",IF(N262="ND","ND取0",IF(OR(N262="&lt;",N262="&lt;="),"界限除以2",IF(N262="NA","不適用",IF(OR(N262="&gt;",N262="&gt;="),"保留界限數值","保留原數值")))))</f>
        <v/>
      </c>
      <c r="AH262" s="92">
        <f>IF(O262="","",IFERROR(_xlfn.NUMBERVALUE(O262,".",","),""))</f>
        <v/>
      </c>
      <c r="AI262" s="92">
        <f>IF(H262="","",IFERROR(MATCH(H262,Samples[樣品編號],0),0))</f>
        <v/>
      </c>
    </row>
    <row r="263">
      <c r="A263" s="27" t="inlineStr">
        <is>
          <t>溶氧飽和度</t>
        </is>
      </c>
      <c r="B263" s="28" t="inlineStr">
        <is>
          <t>46</t>
        </is>
      </c>
      <c r="C263" s="27" t="inlineStr">
        <is>
          <t>%</t>
        </is>
      </c>
      <c r="D263" s="39" t="inlineStr">
        <is>
          <t>合成資料，非實測；method=field</t>
        </is>
      </c>
      <c r="E263" s="29">
        <f>IF(OR(I263="",I263=0),"",IF(INDEX(Samples[監測點],I263)="","",INDEX(Samples[監測點],I263)))</f>
        <v/>
      </c>
      <c r="F263" s="90">
        <f>IF(OR(I263="",I263=0),"",IF(INDEX(Samples[採樣日期],I263)="","",INDEX(Samples[採樣日期],I263)))</f>
        <v/>
      </c>
      <c r="G263" s="91">
        <f>IF(OR(M263="",M263="NA",M263="N/A"),"",IF(OR(M263="ND",M263="N.D."),0,IFERROR(IF(OR(OR(ISNUMBER(SEARCH("%",O263)),ISNUMBER(SEARCH(" ",O263)),ISNUMBER(SEARCH(",",O263))),OR(SUBSTITUTE(SUBSTITUTE(SUBSTITUTE(SUBSTITUTE(SUBSTITUTE(SUBSTITUTE(SUBSTITUTE(SUBSTITUTE(SUBSTITUTE(SUBSTITUTE(SUBSTITUTE(SUBSTITUTE(SUBSTITUTE(SUBSTITUTE(SUBSTITUTE(SUBSTITUTE(SUBSTITUTE(SUBSTITUTE("x"&amp;M263,"0",""),"1",""),"2",""),"3",""),"4",""),"5",""),"6",""),"7",""),"8",""),"9",""),".",""),"E",""),"+",""),"-",""),"&lt;",""),"&gt;",""),"=","")," ","")&lt;&gt;"x",ISNUMBER(SEARCH("-",SUBSTITUTE(SUBSTITUTE("x"&amp;MID(M263,2,99),"E-","E"),"E+","E"))),ISNUMBER(SEARCH("+",SUBSTITUTE(SUBSTITUTE("x"&amp;MID(M263,2,99),"E-","E"),"E+","E"))))),"",IF(AND(OR(LEFT(M263,1)="&lt;",LEFT(M263,1)="&gt;"),IF(O263="",0,IF(ISNUMBER(AH263),AH263,NA()))&lt;0),"",IF(O263="",0,IF(ISNUMBER(AH263),AH263,NA()))/IF(LEFT(M263,1)="&lt;",2,1))),"")))</f>
        <v/>
      </c>
      <c r="H263" s="57" t="inlineStr">
        <is>
          <t>BH06-W_20260115_03</t>
        </is>
      </c>
      <c r="I263" s="92">
        <f>IF(OR(H263="",AI263=0),0,IF(INDEX(Samples[樣品重複筆數],AI263)=1,AI263,0))</f>
        <v/>
      </c>
      <c r="J263" s="92">
        <f>IF(OR(COUNTA($A263:$D263)=0,I263=0),"",IF(INDEX(Samples[介質],I263)="","",INDEX(Samples[介質],I263)))</f>
        <v/>
      </c>
      <c r="K263" s="92">
        <f>IF(OR(COUNTA($A263:$D263)=0,T263=0),"",IF(INDEX(DB_04[標準單位],T263)="","",INDEX(DB_04[標準單位],T263)))</f>
        <v/>
      </c>
      <c r="L263" s="92">
        <f>IF(COUNTA($A263:$D263)=0,"",IF(OR(C263="",K263=""),"",IF(C263=K263,1,IF(COUNTIFS(DB_06[換算鍵],C263&amp;"|"&amp;K263,DB_06[換算檢查],"OK")=1,INDEX(DB_06[乘數],MATCH(C263&amp;"|"&amp;K263,DB_06[換算鍵],0)),""))))</f>
        <v/>
      </c>
      <c r="M263" s="92">
        <f>UPPER(SUBSTITUTE(SUBSTITUTE(SUBSTITUTE(SUBSTITUTE(TRIM(B263&amp;""),"＜","&lt;"),"＞","&gt;"),"≤","&lt;="),"≥","&gt;="))</f>
        <v/>
      </c>
      <c r="N263" s="92">
        <f>IF(M263="","",IF(OR(M263="ND",M263="N.D."),"ND",IF(OR(M263="NA",M263="N/A",M263="N.A."),"NA",IF(OR(LEFT(M263,2)="&lt;=",LEFT(M263,2)="&gt;="),LEFT(M263,2),IF(OR(LEFT(M263,1)="&lt;",LEFT(M263,1)="&gt;"),LEFT(M263,1),"數值")))))</f>
        <v/>
      </c>
      <c r="O263" s="92">
        <f>IF(OR(N263="",N263="ND",N263="NA"),"",IF(N263="數值",M263,TRIM(MID(M263,LEN(N263)+1,99))))</f>
        <v/>
      </c>
      <c r="P263" s="92">
        <f>IF(O263="","",IFERROR(IF(OR(OR(ISNUMBER(SEARCH("%",O263)),ISNUMBER(SEARCH(" ",O263)),ISNUMBER(SEARCH(",",O263))),OR(SUBSTITUTE(SUBSTITUTE(SUBSTITUTE(SUBSTITUTE(SUBSTITUTE(SUBSTITUTE(SUBSTITUTE(SUBSTITUTE(SUBSTITUTE(SUBSTITUTE(SUBSTITUTE(SUBSTITUTE(SUBSTITUTE(SUBSTITUTE(SUBSTITUTE(SUBSTITUTE(SUBSTITUTE(SUBSTITUTE("x"&amp;O263,"0",""),"1",""),"2",""),"3",""),"4",""),"5",""),"6",""),"7",""),"8",""),"9",""),".",""),"E",""),"+",""),"-",""),"&lt;",""),"&gt;",""),"=","")," ","")&lt;&gt;"x",ISNUMBER(SEARCH("-",SUBSTITUTE(SUBSTITUTE("x"&amp;MID(O263,2,99),"E-","E"),"E+","E"))),ISNUMBER(SEARCH("+",SUBSTITUTE(SUBSTITUTE("x"&amp;MID(O263,2,99),"E-","E"),"E+","E"))))),"",IF(ISNUMBER(AH263),AH263,NA())),""))</f>
        <v/>
      </c>
      <c r="Q263" s="92">
        <f>IF(AND(ISNUMBER(L263),ISNUMBER(P263)),L263*P263,"")</f>
        <v/>
      </c>
      <c r="R263" s="92">
        <f>IF(OR(COUNTA($A263:$D263)=0,U263=0),"",IF(INDEX(DB_05[管制設定值],U263)="","",INDEX(DB_05[管制設定值],U263)))</f>
        <v/>
      </c>
      <c r="S263" s="92">
        <f>IF(OR(COUNTA($A263:$D263)=0,U263=0),"",IF(INDEX(DB_05[監測設定值],U263)="","",INDEX(DB_05[監測設定值],U263)))</f>
        <v/>
      </c>
      <c r="T263" s="92">
        <f>IF(COUNTA($A263:$D263)=0,"",IF(COUNTIFS(DB_04[測項鍵],V263)=1,MATCH(V263,DB_04[測項鍵],0),0))</f>
        <v/>
      </c>
      <c r="U263" s="92">
        <f>IF(COUNTA($A263:$D263)=0,"",IF(COUNTIFS(DB_05[標準鍵],W263)=1,MATCH(W263,DB_05[標準鍵],0),0))</f>
        <v/>
      </c>
      <c r="V263" s="92">
        <f>IF(OR(J263="",A263=""),"",J263&amp;"|"&amp;A263)</f>
        <v/>
      </c>
      <c r="W263" s="92">
        <f>IF(OR('07_QAQC'!$C$3="",V263=""),"",'07_QAQC'!$C$3&amp;"|"&amp;V263)</f>
        <v/>
      </c>
      <c r="X263" s="92">
        <f>IF(OR(H263="",A263=""),"",LEN(H263)&amp;":"&amp;H263&amp;LEN(A263)&amp;":"&amp;A263)</f>
        <v/>
      </c>
      <c r="Y263" s="93">
        <f>IF(COUNTA($A263:$D263)=0,"",IF(I263=0,"樣品未建或重複",IF(INDEX(Samples[樣品檢查],I263)="","OK",INDEX(Samples[樣品檢查],I263))))</f>
        <v/>
      </c>
      <c r="Z263" s="93">
        <f>IF(COUNTA($A263:$D263)=0,"",IF(B263="","缺原始值",IF(OR(B263="-",B263="--"),"無資料",IF(N263="NA","不適用",IF(N263="ND","OK",IF(NOT(ISNUMBER(P263)),"格式待核",IF(AND(N263&lt;&gt;"數值",P263&lt;0),"界限不得為負","OK")))))))</f>
        <v/>
      </c>
      <c r="AA263" s="93">
        <f>IF(COUNTA(A263:D263)=0,"",IF(OR(A263="",H263=""),"缺識別欄位",IF(IF(LEN("="&amp;SUBSTITUTE(SUBSTITUTE(SUBSTITUTE(X263,"~","~~"),"*","~*"),"?","~?"))&lt;=255,COUNTIF(Results[結果識別鍵],"="&amp;SUBSTITUTE(SUBSTITUTE(SUBSTITUTE(X263,"~","~~"),"*","~*"),"?","~?")),COUNTIFS(Results[關聯鍵],"="&amp;SUBSTITUTE(SUBSTITUTE(SUBSTITUTE(H263,"~","~~"),"*","~*"),"?","~?"),Results[分析項目],"="&amp;SUBSTITUTE(SUBSTITUTE(SUBSTITUTE(A263,"~","~~"),"*","~*"),"?","~?")))&gt;1,"同關聯鍵測項重複","OK")))</f>
        <v/>
      </c>
      <c r="AB263" s="93">
        <f>IF(COUNTA($A263:$D263)=0,"",IF(OR(C263="",K263=""),"缺單位",IF(NOT(ISNUMBER(L263)),"單位不相容",IF(L263=1,"OK","已換算"))))</f>
        <v/>
      </c>
      <c r="AC263" s="93">
        <f>IF(COUNTA($A263:$D263)=0,"",IF('07_QAQC'!$C$3="","未選比較版本",IF(U263=0,IF(COUNTIFS(DB_05[標準鍵],W263)&gt;1,"標準鍵重複","未訂此介質／測項門檻"),IF(INDEX(DB_05[版本檢查],U263)&lt;&gt;"OK","標準主檔待核",IF(INDEX(DB_05[標準單位],U263)&lt;&gt;K263,"標準單位不符",IF(INDEX(DB_05[核對狀態],U263)="停用","停用",IF(F263="","缺採樣日期",IF(OR(AND(INDEX(DB_05[生效日],U263)&lt;&gt;"",F263&lt;INDEX(DB_05[生效日],U263)),AND(INDEX(DB_05[失效日],U263)&lt;&gt;"",F263&gt;INDEX(DB_05[失效日],U263))),"日期不適用",INDEX(DB_05[核對狀態],U263)))))))))</f>
        <v/>
      </c>
      <c r="AD263" s="93">
        <f>IF(COUNTA($A263:$D263)=0,"",IF(AC263="未訂此介質／測項門檻",AC263,IF(AC263&lt;&gt;"已核對","標準待核",IF(R263="","未訂管制值",IF(NOT(ISNUMBER(L263)),"單位待核",IF(N263="ND","無法判定（ND無界限）",IF(N263="NA","不適用",IF(Z263&lt;&gt;"OK",Z263,IF(N263="數值",IF(Q263&gt;=R263,"達管制值","未達管制值"),IF(OR(N263="&lt;",N263="&lt;="),IF(OR(Q263&lt;R263,AND(N263="&lt;",Q263=R263)),"未達管制值","無法判定"),IF(OR(N263="&gt;",N263="&gt;="),IF(Q263&gt;=R263,"達管制值","無法判定"),"格式待核")))))))))))</f>
        <v/>
      </c>
      <c r="AE263" s="93">
        <f>IF(COUNTA($A263:$D263)=0,"",IF(AC263="未訂此介質／測項門檻",AC263,IF(AC263&lt;&gt;"已核對","標準待核",IF(S263="","未訂監測值",IF(NOT(ISNUMBER(L263)),"單位待核",IF(N263="ND","無法判定（ND無界限）",IF(N263="NA","不適用",IF(Z263&lt;&gt;"OK",Z263,IF(N263="數值",IF(Q263&gt;=S263,"達監測值","未達監測值"),IF(OR(N263="&lt;",N263="&lt;="),IF(OR(Q263&lt;S263,AND(N263="&lt;",Q263=S263)),"未達監測值","無法判定"),IF(OR(N263="&gt;",N263="&gt;="),IF(Q263&gt;=S263,"達監測值","無法判定"),"格式待核")))))))))))</f>
        <v/>
      </c>
      <c r="AF263" s="93">
        <f>IF(COUNTA($A263:$D263)=0,"",IF(OR(E263="",A263="",B263="",C263=""),"缺必要欄位",IF(Y263&lt;&gt;"OK","樣品資料待補",IF(T263=0,"測項未建或重複",IF(INDEX(DB_04[啟用],T263)&lt;&gt;"是","測項停用",IF(AND(Z263&lt;&gt;"OK",Z263&lt;&gt;"不適用"),Z263,IF(AND(AB263&lt;&gt;"OK",AB263&lt;&gt;"已換算"),"單位待核",IF(AA263&lt;&gt;"OK",AA263,"OK"))))))))</f>
        <v/>
      </c>
      <c r="AG263" s="93">
        <f>IF(COUNTA($A263:$D263)=0,"",IF(N263="ND","ND取0",IF(OR(N263="&lt;",N263="&lt;="),"界限除以2",IF(N263="NA","不適用",IF(OR(N263="&gt;",N263="&gt;="),"保留界限數值","保留原數值")))))</f>
        <v/>
      </c>
      <c r="AH263" s="92">
        <f>IF(O263="","",IFERROR(_xlfn.NUMBERVALUE(O263,".",","),""))</f>
        <v/>
      </c>
      <c r="AI263" s="92">
        <f>IF(H263="","",IFERROR(MATCH(H263,Samples[樣品編號],0),0))</f>
        <v/>
      </c>
    </row>
    <row r="264">
      <c r="A264" s="27" t="inlineStr">
        <is>
          <t>ORP</t>
        </is>
      </c>
      <c r="B264" s="28" t="inlineStr">
        <is>
          <t>-150</t>
        </is>
      </c>
      <c r="C264" s="27" t="inlineStr">
        <is>
          <t>mV</t>
        </is>
      </c>
      <c r="D264" s="39" t="inlineStr">
        <is>
          <t>合成資料，非實測；method=field; reference_electrode=Ag/AgCl; calibration=verified</t>
        </is>
      </c>
      <c r="E264" s="29">
        <f>IF(OR(I264="",I264=0),"",IF(INDEX(Samples[監測點],I264)="","",INDEX(Samples[監測點],I264)))</f>
        <v/>
      </c>
      <c r="F264" s="90">
        <f>IF(OR(I264="",I264=0),"",IF(INDEX(Samples[採樣日期],I264)="","",INDEX(Samples[採樣日期],I264)))</f>
        <v/>
      </c>
      <c r="G264" s="91">
        <f>IF(OR(M264="",M264="NA",M264="N/A"),"",IF(OR(M264="ND",M264="N.D."),0,IFERROR(IF(OR(OR(ISNUMBER(SEARCH("%",O264)),ISNUMBER(SEARCH(" ",O264)),ISNUMBER(SEARCH(",",O264))),OR(SUBSTITUTE(SUBSTITUTE(SUBSTITUTE(SUBSTITUTE(SUBSTITUTE(SUBSTITUTE(SUBSTITUTE(SUBSTITUTE(SUBSTITUTE(SUBSTITUTE(SUBSTITUTE(SUBSTITUTE(SUBSTITUTE(SUBSTITUTE(SUBSTITUTE(SUBSTITUTE(SUBSTITUTE(SUBSTITUTE("x"&amp;M264,"0",""),"1",""),"2",""),"3",""),"4",""),"5",""),"6",""),"7",""),"8",""),"9",""),".",""),"E",""),"+",""),"-",""),"&lt;",""),"&gt;",""),"=","")," ","")&lt;&gt;"x",ISNUMBER(SEARCH("-",SUBSTITUTE(SUBSTITUTE("x"&amp;MID(M264,2,99),"E-","E"),"E+","E"))),ISNUMBER(SEARCH("+",SUBSTITUTE(SUBSTITUTE("x"&amp;MID(M264,2,99),"E-","E"),"E+","E"))))),"",IF(AND(OR(LEFT(M264,1)="&lt;",LEFT(M264,1)="&gt;"),IF(O264="",0,IF(ISNUMBER(AH264),AH264,NA()))&lt;0),"",IF(O264="",0,IF(ISNUMBER(AH264),AH264,NA()))/IF(LEFT(M264,1)="&lt;",2,1))),"")))</f>
        <v/>
      </c>
      <c r="H264" s="57" t="inlineStr">
        <is>
          <t>BH06-W_20260115_03</t>
        </is>
      </c>
      <c r="I264" s="92">
        <f>IF(OR(H264="",AI264=0),0,IF(INDEX(Samples[樣品重複筆數],AI264)=1,AI264,0))</f>
        <v/>
      </c>
      <c r="J264" s="92">
        <f>IF(OR(COUNTA($A264:$D264)=0,I264=0),"",IF(INDEX(Samples[介質],I264)="","",INDEX(Samples[介質],I264)))</f>
        <v/>
      </c>
      <c r="K264" s="92">
        <f>IF(OR(COUNTA($A264:$D264)=0,T264=0),"",IF(INDEX(DB_04[標準單位],T264)="","",INDEX(DB_04[標準單位],T264)))</f>
        <v/>
      </c>
      <c r="L264" s="92">
        <f>IF(COUNTA($A264:$D264)=0,"",IF(OR(C264="",K264=""),"",IF(C264=K264,1,IF(COUNTIFS(DB_06[換算鍵],C264&amp;"|"&amp;K264,DB_06[換算檢查],"OK")=1,INDEX(DB_06[乘數],MATCH(C264&amp;"|"&amp;K264,DB_06[換算鍵],0)),""))))</f>
        <v/>
      </c>
      <c r="M264" s="92">
        <f>UPPER(SUBSTITUTE(SUBSTITUTE(SUBSTITUTE(SUBSTITUTE(TRIM(B264&amp;""),"＜","&lt;"),"＞","&gt;"),"≤","&lt;="),"≥","&gt;="))</f>
        <v/>
      </c>
      <c r="N264" s="92">
        <f>IF(M264="","",IF(OR(M264="ND",M264="N.D."),"ND",IF(OR(M264="NA",M264="N/A",M264="N.A."),"NA",IF(OR(LEFT(M264,2)="&lt;=",LEFT(M264,2)="&gt;="),LEFT(M264,2),IF(OR(LEFT(M264,1)="&lt;",LEFT(M264,1)="&gt;"),LEFT(M264,1),"數值")))))</f>
        <v/>
      </c>
      <c r="O264" s="92">
        <f>IF(OR(N264="",N264="ND",N264="NA"),"",IF(N264="數值",M264,TRIM(MID(M264,LEN(N264)+1,99))))</f>
        <v/>
      </c>
      <c r="P264" s="92">
        <f>IF(O264="","",IFERROR(IF(OR(OR(ISNUMBER(SEARCH("%",O264)),ISNUMBER(SEARCH(" ",O264)),ISNUMBER(SEARCH(",",O264))),OR(SUBSTITUTE(SUBSTITUTE(SUBSTITUTE(SUBSTITUTE(SUBSTITUTE(SUBSTITUTE(SUBSTITUTE(SUBSTITUTE(SUBSTITUTE(SUBSTITUTE(SUBSTITUTE(SUBSTITUTE(SUBSTITUTE(SUBSTITUTE(SUBSTITUTE(SUBSTITUTE(SUBSTITUTE(SUBSTITUTE("x"&amp;O264,"0",""),"1",""),"2",""),"3",""),"4",""),"5",""),"6",""),"7",""),"8",""),"9",""),".",""),"E",""),"+",""),"-",""),"&lt;",""),"&gt;",""),"=","")," ","")&lt;&gt;"x",ISNUMBER(SEARCH("-",SUBSTITUTE(SUBSTITUTE("x"&amp;MID(O264,2,99),"E-","E"),"E+","E"))),ISNUMBER(SEARCH("+",SUBSTITUTE(SUBSTITUTE("x"&amp;MID(O264,2,99),"E-","E"),"E+","E"))))),"",IF(ISNUMBER(AH264),AH264,NA())),""))</f>
        <v/>
      </c>
      <c r="Q264" s="92">
        <f>IF(AND(ISNUMBER(L264),ISNUMBER(P264)),L264*P264,"")</f>
        <v/>
      </c>
      <c r="R264" s="92">
        <f>IF(OR(COUNTA($A264:$D264)=0,U264=0),"",IF(INDEX(DB_05[管制設定值],U264)="","",INDEX(DB_05[管制設定值],U264)))</f>
        <v/>
      </c>
      <c r="S264" s="92">
        <f>IF(OR(COUNTA($A264:$D264)=0,U264=0),"",IF(INDEX(DB_05[監測設定值],U264)="","",INDEX(DB_05[監測設定值],U264)))</f>
        <v/>
      </c>
      <c r="T264" s="92">
        <f>IF(COUNTA($A264:$D264)=0,"",IF(COUNTIFS(DB_04[測項鍵],V264)=1,MATCH(V264,DB_04[測項鍵],0),0))</f>
        <v/>
      </c>
      <c r="U264" s="92">
        <f>IF(COUNTA($A264:$D264)=0,"",IF(COUNTIFS(DB_05[標準鍵],W264)=1,MATCH(W264,DB_05[標準鍵],0),0))</f>
        <v/>
      </c>
      <c r="V264" s="92">
        <f>IF(OR(J264="",A264=""),"",J264&amp;"|"&amp;A264)</f>
        <v/>
      </c>
      <c r="W264" s="92">
        <f>IF(OR('07_QAQC'!$C$3="",V264=""),"",'07_QAQC'!$C$3&amp;"|"&amp;V264)</f>
        <v/>
      </c>
      <c r="X264" s="92">
        <f>IF(OR(H264="",A264=""),"",LEN(H264)&amp;":"&amp;H264&amp;LEN(A264)&amp;":"&amp;A264)</f>
        <v/>
      </c>
      <c r="Y264" s="93">
        <f>IF(COUNTA($A264:$D264)=0,"",IF(I264=0,"樣品未建或重複",IF(INDEX(Samples[樣品檢查],I264)="","OK",INDEX(Samples[樣品檢查],I264))))</f>
        <v/>
      </c>
      <c r="Z264" s="93">
        <f>IF(COUNTA($A264:$D264)=0,"",IF(B264="","缺原始值",IF(OR(B264="-",B264="--"),"無資料",IF(N264="NA","不適用",IF(N264="ND","OK",IF(NOT(ISNUMBER(P264)),"格式待核",IF(AND(N264&lt;&gt;"數值",P264&lt;0),"界限不得為負","OK")))))))</f>
        <v/>
      </c>
      <c r="AA264" s="93">
        <f>IF(COUNTA(A264:D264)=0,"",IF(OR(A264="",H264=""),"缺識別欄位",IF(IF(LEN("="&amp;SUBSTITUTE(SUBSTITUTE(SUBSTITUTE(X264,"~","~~"),"*","~*"),"?","~?"))&lt;=255,COUNTIF(Results[結果識別鍵],"="&amp;SUBSTITUTE(SUBSTITUTE(SUBSTITUTE(X264,"~","~~"),"*","~*"),"?","~?")),COUNTIFS(Results[關聯鍵],"="&amp;SUBSTITUTE(SUBSTITUTE(SUBSTITUTE(H264,"~","~~"),"*","~*"),"?","~?"),Results[分析項目],"="&amp;SUBSTITUTE(SUBSTITUTE(SUBSTITUTE(A264,"~","~~"),"*","~*"),"?","~?")))&gt;1,"同關聯鍵測項重複","OK")))</f>
        <v/>
      </c>
      <c r="AB264" s="93">
        <f>IF(COUNTA($A264:$D264)=0,"",IF(OR(C264="",K264=""),"缺單位",IF(NOT(ISNUMBER(L264)),"單位不相容",IF(L264=1,"OK","已換算"))))</f>
        <v/>
      </c>
      <c r="AC264" s="93">
        <f>IF(COUNTA($A264:$D264)=0,"",IF('07_QAQC'!$C$3="","未選比較版本",IF(U264=0,IF(COUNTIFS(DB_05[標準鍵],W264)&gt;1,"標準鍵重複","未訂此介質／測項門檻"),IF(INDEX(DB_05[版本檢查],U264)&lt;&gt;"OK","標準主檔待核",IF(INDEX(DB_05[標準單位],U264)&lt;&gt;K264,"標準單位不符",IF(INDEX(DB_05[核對狀態],U264)="停用","停用",IF(F264="","缺採樣日期",IF(OR(AND(INDEX(DB_05[生效日],U264)&lt;&gt;"",F264&lt;INDEX(DB_05[生效日],U264)),AND(INDEX(DB_05[失效日],U264)&lt;&gt;"",F264&gt;INDEX(DB_05[失效日],U264))),"日期不適用",INDEX(DB_05[核對狀態],U264)))))))))</f>
        <v/>
      </c>
      <c r="AD264" s="93">
        <f>IF(COUNTA($A264:$D264)=0,"",IF(AC264="未訂此介質／測項門檻",AC264,IF(AC264&lt;&gt;"已核對","標準待核",IF(R264="","未訂管制值",IF(NOT(ISNUMBER(L264)),"單位待核",IF(N264="ND","無法判定（ND無界限）",IF(N264="NA","不適用",IF(Z264&lt;&gt;"OK",Z264,IF(N264="數值",IF(Q264&gt;=R264,"達管制值","未達管制值"),IF(OR(N264="&lt;",N264="&lt;="),IF(OR(Q264&lt;R264,AND(N264="&lt;",Q264=R264)),"未達管制值","無法判定"),IF(OR(N264="&gt;",N264="&gt;="),IF(Q264&gt;=R264,"達管制值","無法判定"),"格式待核")))))))))))</f>
        <v/>
      </c>
      <c r="AE264" s="93">
        <f>IF(COUNTA($A264:$D264)=0,"",IF(AC264="未訂此介質／測項門檻",AC264,IF(AC264&lt;&gt;"已核對","標準待核",IF(S264="","未訂監測值",IF(NOT(ISNUMBER(L264)),"單位待核",IF(N264="ND","無法判定（ND無界限）",IF(N264="NA","不適用",IF(Z264&lt;&gt;"OK",Z264,IF(N264="數值",IF(Q264&gt;=S264,"達監測值","未達監測值"),IF(OR(N264="&lt;",N264="&lt;="),IF(OR(Q264&lt;S264,AND(N264="&lt;",Q264=S264)),"未達監測值","無法判定"),IF(OR(N264="&gt;",N264="&gt;="),IF(Q264&gt;=S264,"達監測值","無法判定"),"格式待核")))))))))))</f>
        <v/>
      </c>
      <c r="AF264" s="93">
        <f>IF(COUNTA($A264:$D264)=0,"",IF(OR(E264="",A264="",B264="",C264=""),"缺必要欄位",IF(Y264&lt;&gt;"OK","樣品資料待補",IF(T264=0,"測項未建或重複",IF(INDEX(DB_04[啟用],T264)&lt;&gt;"是","測項停用",IF(AND(Z264&lt;&gt;"OK",Z264&lt;&gt;"不適用"),Z264,IF(AND(AB264&lt;&gt;"OK",AB264&lt;&gt;"已換算"),"單位待核",IF(AA264&lt;&gt;"OK",AA264,"OK"))))))))</f>
        <v/>
      </c>
      <c r="AG264" s="93">
        <f>IF(COUNTA($A264:$D264)=0,"",IF(N264="ND","ND取0",IF(OR(N264="&lt;",N264="&lt;="),"界限除以2",IF(N264="NA","不適用",IF(OR(N264="&gt;",N264="&gt;="),"保留界限數值","保留原數值")))))</f>
        <v/>
      </c>
      <c r="AH264" s="92">
        <f>IF(O264="","",IFERROR(_xlfn.NUMBERVALUE(O264,".",","),""))</f>
        <v/>
      </c>
      <c r="AI264" s="92">
        <f>IF(H264="","",IFERROR(MATCH(H264,Samples[樣品編號],0),0))</f>
        <v/>
      </c>
    </row>
    <row r="265">
      <c r="A265" s="27" t="inlineStr">
        <is>
          <t>總有機碳</t>
        </is>
      </c>
      <c r="B265" s="28" t="inlineStr">
        <is>
          <t>3.8</t>
        </is>
      </c>
      <c r="C265" s="27" t="inlineStr">
        <is>
          <t>mg/L</t>
        </is>
      </c>
      <c r="D265" s="39" t="inlineStr">
        <is>
          <t>合成資料，非實測；method=lab</t>
        </is>
      </c>
      <c r="E265" s="29">
        <f>IF(OR(I265="",I265=0),"",IF(INDEX(Samples[監測點],I265)="","",INDEX(Samples[監測點],I265)))</f>
        <v/>
      </c>
      <c r="F265" s="90">
        <f>IF(OR(I265="",I265=0),"",IF(INDEX(Samples[採樣日期],I265)="","",INDEX(Samples[採樣日期],I265)))</f>
        <v/>
      </c>
      <c r="G265" s="91">
        <f>IF(OR(M265="",M265="NA",M265="N/A"),"",IF(OR(M265="ND",M265="N.D."),0,IFERROR(IF(OR(OR(ISNUMBER(SEARCH("%",O265)),ISNUMBER(SEARCH(" ",O265)),ISNUMBER(SEARCH(",",O265))),OR(SUBSTITUTE(SUBSTITUTE(SUBSTITUTE(SUBSTITUTE(SUBSTITUTE(SUBSTITUTE(SUBSTITUTE(SUBSTITUTE(SUBSTITUTE(SUBSTITUTE(SUBSTITUTE(SUBSTITUTE(SUBSTITUTE(SUBSTITUTE(SUBSTITUTE(SUBSTITUTE(SUBSTITUTE(SUBSTITUTE("x"&amp;M265,"0",""),"1",""),"2",""),"3",""),"4",""),"5",""),"6",""),"7",""),"8",""),"9",""),".",""),"E",""),"+",""),"-",""),"&lt;",""),"&gt;",""),"=","")," ","")&lt;&gt;"x",ISNUMBER(SEARCH("-",SUBSTITUTE(SUBSTITUTE("x"&amp;MID(M265,2,99),"E-","E"),"E+","E"))),ISNUMBER(SEARCH("+",SUBSTITUTE(SUBSTITUTE("x"&amp;MID(M265,2,99),"E-","E"),"E+","E"))))),"",IF(AND(OR(LEFT(M265,1)="&lt;",LEFT(M265,1)="&gt;"),IF(O265="",0,IF(ISNUMBER(AH265),AH265,NA()))&lt;0),"",IF(O265="",0,IF(ISNUMBER(AH265),AH265,NA()))/IF(LEFT(M265,1)="&lt;",2,1))),"")))</f>
        <v/>
      </c>
      <c r="H265" s="57" t="inlineStr">
        <is>
          <t>BH06-W_20260115_03</t>
        </is>
      </c>
      <c r="I265" s="92">
        <f>IF(OR(H265="",AI265=0),0,IF(INDEX(Samples[樣品重複筆數],AI265)=1,AI265,0))</f>
        <v/>
      </c>
      <c r="J265" s="92">
        <f>IF(OR(COUNTA($A265:$D265)=0,I265=0),"",IF(INDEX(Samples[介質],I265)="","",INDEX(Samples[介質],I265)))</f>
        <v/>
      </c>
      <c r="K265" s="92">
        <f>IF(OR(COUNTA($A265:$D265)=0,T265=0),"",IF(INDEX(DB_04[標準單位],T265)="","",INDEX(DB_04[標準單位],T265)))</f>
        <v/>
      </c>
      <c r="L265" s="92">
        <f>IF(COUNTA($A265:$D265)=0,"",IF(OR(C265="",K265=""),"",IF(C265=K265,1,IF(COUNTIFS(DB_06[換算鍵],C265&amp;"|"&amp;K265,DB_06[換算檢查],"OK")=1,INDEX(DB_06[乘數],MATCH(C265&amp;"|"&amp;K265,DB_06[換算鍵],0)),""))))</f>
        <v/>
      </c>
      <c r="M265" s="92">
        <f>UPPER(SUBSTITUTE(SUBSTITUTE(SUBSTITUTE(SUBSTITUTE(TRIM(B265&amp;""),"＜","&lt;"),"＞","&gt;"),"≤","&lt;="),"≥","&gt;="))</f>
        <v/>
      </c>
      <c r="N265" s="92">
        <f>IF(M265="","",IF(OR(M265="ND",M265="N.D."),"ND",IF(OR(M265="NA",M265="N/A",M265="N.A."),"NA",IF(OR(LEFT(M265,2)="&lt;=",LEFT(M265,2)="&gt;="),LEFT(M265,2),IF(OR(LEFT(M265,1)="&lt;",LEFT(M265,1)="&gt;"),LEFT(M265,1),"數值")))))</f>
        <v/>
      </c>
      <c r="O265" s="92">
        <f>IF(OR(N265="",N265="ND",N265="NA"),"",IF(N265="數值",M265,TRIM(MID(M265,LEN(N265)+1,99))))</f>
        <v/>
      </c>
      <c r="P265" s="92">
        <f>IF(O265="","",IFERROR(IF(OR(OR(ISNUMBER(SEARCH("%",O265)),ISNUMBER(SEARCH(" ",O265)),ISNUMBER(SEARCH(",",O265))),OR(SUBSTITUTE(SUBSTITUTE(SUBSTITUTE(SUBSTITUTE(SUBSTITUTE(SUBSTITUTE(SUBSTITUTE(SUBSTITUTE(SUBSTITUTE(SUBSTITUTE(SUBSTITUTE(SUBSTITUTE(SUBSTITUTE(SUBSTITUTE(SUBSTITUTE(SUBSTITUTE(SUBSTITUTE(SUBSTITUTE("x"&amp;O265,"0",""),"1",""),"2",""),"3",""),"4",""),"5",""),"6",""),"7",""),"8",""),"9",""),".",""),"E",""),"+",""),"-",""),"&lt;",""),"&gt;",""),"=","")," ","")&lt;&gt;"x",ISNUMBER(SEARCH("-",SUBSTITUTE(SUBSTITUTE("x"&amp;MID(O265,2,99),"E-","E"),"E+","E"))),ISNUMBER(SEARCH("+",SUBSTITUTE(SUBSTITUTE("x"&amp;MID(O265,2,99),"E-","E"),"E+","E"))))),"",IF(ISNUMBER(AH265),AH265,NA())),""))</f>
        <v/>
      </c>
      <c r="Q265" s="92">
        <f>IF(AND(ISNUMBER(L265),ISNUMBER(P265)),L265*P265,"")</f>
        <v/>
      </c>
      <c r="R265" s="92">
        <f>IF(OR(COUNTA($A265:$D265)=0,U265=0),"",IF(INDEX(DB_05[管制設定值],U265)="","",INDEX(DB_05[管制設定值],U265)))</f>
        <v/>
      </c>
      <c r="S265" s="92">
        <f>IF(OR(COUNTA($A265:$D265)=0,U265=0),"",IF(INDEX(DB_05[監測設定值],U265)="","",INDEX(DB_05[監測設定值],U265)))</f>
        <v/>
      </c>
      <c r="T265" s="92">
        <f>IF(COUNTA($A265:$D265)=0,"",IF(COUNTIFS(DB_04[測項鍵],V265)=1,MATCH(V265,DB_04[測項鍵],0),0))</f>
        <v/>
      </c>
      <c r="U265" s="92">
        <f>IF(COUNTA($A265:$D265)=0,"",IF(COUNTIFS(DB_05[標準鍵],W265)=1,MATCH(W265,DB_05[標準鍵],0),0))</f>
        <v/>
      </c>
      <c r="V265" s="92">
        <f>IF(OR(J265="",A265=""),"",J265&amp;"|"&amp;A265)</f>
        <v/>
      </c>
      <c r="W265" s="92">
        <f>IF(OR('07_QAQC'!$C$3="",V265=""),"",'07_QAQC'!$C$3&amp;"|"&amp;V265)</f>
        <v/>
      </c>
      <c r="X265" s="92">
        <f>IF(OR(H265="",A265=""),"",LEN(H265)&amp;":"&amp;H265&amp;LEN(A265)&amp;":"&amp;A265)</f>
        <v/>
      </c>
      <c r="Y265" s="93">
        <f>IF(COUNTA($A265:$D265)=0,"",IF(I265=0,"樣品未建或重複",IF(INDEX(Samples[樣品檢查],I265)="","OK",INDEX(Samples[樣品檢查],I265))))</f>
        <v/>
      </c>
      <c r="Z265" s="93">
        <f>IF(COUNTA($A265:$D265)=0,"",IF(B265="","缺原始值",IF(OR(B265="-",B265="--"),"無資料",IF(N265="NA","不適用",IF(N265="ND","OK",IF(NOT(ISNUMBER(P265)),"格式待核",IF(AND(N265&lt;&gt;"數值",P265&lt;0),"界限不得為負","OK")))))))</f>
        <v/>
      </c>
      <c r="AA265" s="93">
        <f>IF(COUNTA(A265:D265)=0,"",IF(OR(A265="",H265=""),"缺識別欄位",IF(IF(LEN("="&amp;SUBSTITUTE(SUBSTITUTE(SUBSTITUTE(X265,"~","~~"),"*","~*"),"?","~?"))&lt;=255,COUNTIF(Results[結果識別鍵],"="&amp;SUBSTITUTE(SUBSTITUTE(SUBSTITUTE(X265,"~","~~"),"*","~*"),"?","~?")),COUNTIFS(Results[關聯鍵],"="&amp;SUBSTITUTE(SUBSTITUTE(SUBSTITUTE(H265,"~","~~"),"*","~*"),"?","~?"),Results[分析項目],"="&amp;SUBSTITUTE(SUBSTITUTE(SUBSTITUTE(A265,"~","~~"),"*","~*"),"?","~?")))&gt;1,"同關聯鍵測項重複","OK")))</f>
        <v/>
      </c>
      <c r="AB265" s="93">
        <f>IF(COUNTA($A265:$D265)=0,"",IF(OR(C265="",K265=""),"缺單位",IF(NOT(ISNUMBER(L265)),"單位不相容",IF(L265=1,"OK","已換算"))))</f>
        <v/>
      </c>
      <c r="AC265" s="93">
        <f>IF(COUNTA($A265:$D265)=0,"",IF('07_QAQC'!$C$3="","未選比較版本",IF(U265=0,IF(COUNTIFS(DB_05[標準鍵],W265)&gt;1,"標準鍵重複","未訂此介質／測項門檻"),IF(INDEX(DB_05[版本檢查],U265)&lt;&gt;"OK","標準主檔待核",IF(INDEX(DB_05[標準單位],U265)&lt;&gt;K265,"標準單位不符",IF(INDEX(DB_05[核對狀態],U265)="停用","停用",IF(F265="","缺採樣日期",IF(OR(AND(INDEX(DB_05[生效日],U265)&lt;&gt;"",F265&lt;INDEX(DB_05[生效日],U265)),AND(INDEX(DB_05[失效日],U265)&lt;&gt;"",F265&gt;INDEX(DB_05[失效日],U265))),"日期不適用",INDEX(DB_05[核對狀態],U265)))))))))</f>
        <v/>
      </c>
      <c r="AD265" s="93">
        <f>IF(COUNTA($A265:$D265)=0,"",IF(AC265="未訂此介質／測項門檻",AC265,IF(AC265&lt;&gt;"已核對","標準待核",IF(R265="","未訂管制值",IF(NOT(ISNUMBER(L265)),"單位待核",IF(N265="ND","無法判定（ND無界限）",IF(N265="NA","不適用",IF(Z265&lt;&gt;"OK",Z265,IF(N265="數值",IF(Q265&gt;=R265,"達管制值","未達管制值"),IF(OR(N265="&lt;",N265="&lt;="),IF(OR(Q265&lt;R265,AND(N265="&lt;",Q265=R265)),"未達管制值","無法判定"),IF(OR(N265="&gt;",N265="&gt;="),IF(Q265&gt;=R265,"達管制值","無法判定"),"格式待核")))))))))))</f>
        <v/>
      </c>
      <c r="AE265" s="93">
        <f>IF(COUNTA($A265:$D265)=0,"",IF(AC265="未訂此介質／測項門檻",AC265,IF(AC265&lt;&gt;"已核對","標準待核",IF(S265="","未訂監測值",IF(NOT(ISNUMBER(L265)),"單位待核",IF(N265="ND","無法判定（ND無界限）",IF(N265="NA","不適用",IF(Z265&lt;&gt;"OK",Z265,IF(N265="數值",IF(Q265&gt;=S265,"達監測值","未達監測值"),IF(OR(N265="&lt;",N265="&lt;="),IF(OR(Q265&lt;S265,AND(N265="&lt;",Q265=S265)),"未達監測值","無法判定"),IF(OR(N265="&gt;",N265="&gt;="),IF(Q265&gt;=S265,"達監測值","無法判定"),"格式待核")))))))))))</f>
        <v/>
      </c>
      <c r="AF265" s="93">
        <f>IF(COUNTA($A265:$D265)=0,"",IF(OR(E265="",A265="",B265="",C265=""),"缺必要欄位",IF(Y265&lt;&gt;"OK","樣品資料待補",IF(T265=0,"測項未建或重複",IF(INDEX(DB_04[啟用],T265)&lt;&gt;"是","測項停用",IF(AND(Z265&lt;&gt;"OK",Z265&lt;&gt;"不適用"),Z265,IF(AND(AB265&lt;&gt;"OK",AB265&lt;&gt;"已換算"),"單位待核",IF(AA265&lt;&gt;"OK",AA265,"OK"))))))))</f>
        <v/>
      </c>
      <c r="AG265" s="93">
        <f>IF(COUNTA($A265:$D265)=0,"",IF(N265="ND","ND取0",IF(OR(N265="&lt;",N265="&lt;="),"界限除以2",IF(N265="NA","不適用",IF(OR(N265="&gt;",N265="&gt;="),"保留界限數值","保留原數值")))))</f>
        <v/>
      </c>
      <c r="AH265" s="92">
        <f>IF(O265="","",IFERROR(_xlfn.NUMBERVALUE(O265,".",","),""))</f>
        <v/>
      </c>
      <c r="AI265" s="92">
        <f>IF(H265="","",IFERROR(MATCH(H265,Samples[樣品編號],0),0))</f>
        <v/>
      </c>
    </row>
    <row r="266">
      <c r="A266" s="27" t="inlineStr">
        <is>
          <t>鋅</t>
        </is>
      </c>
      <c r="B266" s="28" t="inlineStr">
        <is>
          <t>154</t>
        </is>
      </c>
      <c r="C266" s="27" t="inlineStr">
        <is>
          <t>mg/kg</t>
        </is>
      </c>
      <c r="D266" s="39" t="inlineStr">
        <is>
          <t>合成資料，非實測；method=XRF; basis=dry</t>
        </is>
      </c>
      <c r="E266" s="29">
        <f>IF(OR(I266="",I266=0),"",IF(INDEX(Samples[監測點],I266)="","",INDEX(Samples[監測點],I266)))</f>
        <v/>
      </c>
      <c r="F266" s="90">
        <f>IF(OR(I266="",I266=0),"",IF(INDEX(Samples[採樣日期],I266)="","",INDEX(Samples[採樣日期],I266)))</f>
        <v/>
      </c>
      <c r="G266" s="91">
        <f>IF(OR(M266="",M266="NA",M266="N/A"),"",IF(OR(M266="ND",M266="N.D."),0,IFERROR(IF(OR(OR(ISNUMBER(SEARCH("%",O266)),ISNUMBER(SEARCH(" ",O266)),ISNUMBER(SEARCH(",",O266))),OR(SUBSTITUTE(SUBSTITUTE(SUBSTITUTE(SUBSTITUTE(SUBSTITUTE(SUBSTITUTE(SUBSTITUTE(SUBSTITUTE(SUBSTITUTE(SUBSTITUTE(SUBSTITUTE(SUBSTITUTE(SUBSTITUTE(SUBSTITUTE(SUBSTITUTE(SUBSTITUTE(SUBSTITUTE(SUBSTITUTE("x"&amp;M266,"0",""),"1",""),"2",""),"3",""),"4",""),"5",""),"6",""),"7",""),"8",""),"9",""),".",""),"E",""),"+",""),"-",""),"&lt;",""),"&gt;",""),"=","")," ","")&lt;&gt;"x",ISNUMBER(SEARCH("-",SUBSTITUTE(SUBSTITUTE("x"&amp;MID(M266,2,99),"E-","E"),"E+","E"))),ISNUMBER(SEARCH("+",SUBSTITUTE(SUBSTITUTE("x"&amp;MID(M266,2,99),"E-","E"),"E+","E"))))),"",IF(AND(OR(LEFT(M266,1)="&lt;",LEFT(M266,1)="&gt;"),IF(O266="",0,IF(ISNUMBER(AH266),AH266,NA()))&lt;0),"",IF(O266="",0,IF(ISNUMBER(AH266),AH266,NA()))/IF(LEFT(M266,1)="&lt;",2,1))),"")))</f>
        <v/>
      </c>
      <c r="H266" s="57" t="inlineStr">
        <is>
          <t>BH06-S_20260415_01</t>
        </is>
      </c>
      <c r="I266" s="92">
        <f>IF(OR(H266="",AI266=0),0,IF(INDEX(Samples[樣品重複筆數],AI266)=1,AI266,0))</f>
        <v/>
      </c>
      <c r="J266" s="92">
        <f>IF(OR(COUNTA($A266:$D266)=0,I266=0),"",IF(INDEX(Samples[介質],I266)="","",INDEX(Samples[介質],I266)))</f>
        <v/>
      </c>
      <c r="K266" s="92">
        <f>IF(OR(COUNTA($A266:$D266)=0,T266=0),"",IF(INDEX(DB_04[標準單位],T266)="","",INDEX(DB_04[標準單位],T266)))</f>
        <v/>
      </c>
      <c r="L266" s="92">
        <f>IF(COUNTA($A266:$D266)=0,"",IF(OR(C266="",K266=""),"",IF(C266=K266,1,IF(COUNTIFS(DB_06[換算鍵],C266&amp;"|"&amp;K266,DB_06[換算檢查],"OK")=1,INDEX(DB_06[乘數],MATCH(C266&amp;"|"&amp;K266,DB_06[換算鍵],0)),""))))</f>
        <v/>
      </c>
      <c r="M266" s="92">
        <f>UPPER(SUBSTITUTE(SUBSTITUTE(SUBSTITUTE(SUBSTITUTE(TRIM(B266&amp;""),"＜","&lt;"),"＞","&gt;"),"≤","&lt;="),"≥","&gt;="))</f>
        <v/>
      </c>
      <c r="N266" s="92">
        <f>IF(M266="","",IF(OR(M266="ND",M266="N.D."),"ND",IF(OR(M266="NA",M266="N/A",M266="N.A."),"NA",IF(OR(LEFT(M266,2)="&lt;=",LEFT(M266,2)="&gt;="),LEFT(M266,2),IF(OR(LEFT(M266,1)="&lt;",LEFT(M266,1)="&gt;"),LEFT(M266,1),"數值")))))</f>
        <v/>
      </c>
      <c r="O266" s="92">
        <f>IF(OR(N266="",N266="ND",N266="NA"),"",IF(N266="數值",M266,TRIM(MID(M266,LEN(N266)+1,99))))</f>
        <v/>
      </c>
      <c r="P266" s="92">
        <f>IF(O266="","",IFERROR(IF(OR(OR(ISNUMBER(SEARCH("%",O266)),ISNUMBER(SEARCH(" ",O266)),ISNUMBER(SEARCH(",",O266))),OR(SUBSTITUTE(SUBSTITUTE(SUBSTITUTE(SUBSTITUTE(SUBSTITUTE(SUBSTITUTE(SUBSTITUTE(SUBSTITUTE(SUBSTITUTE(SUBSTITUTE(SUBSTITUTE(SUBSTITUTE(SUBSTITUTE(SUBSTITUTE(SUBSTITUTE(SUBSTITUTE(SUBSTITUTE(SUBSTITUTE("x"&amp;O266,"0",""),"1",""),"2",""),"3",""),"4",""),"5",""),"6",""),"7",""),"8",""),"9",""),".",""),"E",""),"+",""),"-",""),"&lt;",""),"&gt;",""),"=","")," ","")&lt;&gt;"x",ISNUMBER(SEARCH("-",SUBSTITUTE(SUBSTITUTE("x"&amp;MID(O266,2,99),"E-","E"),"E+","E"))),ISNUMBER(SEARCH("+",SUBSTITUTE(SUBSTITUTE("x"&amp;MID(O266,2,99),"E-","E"),"E+","E"))))),"",IF(ISNUMBER(AH266),AH266,NA())),""))</f>
        <v/>
      </c>
      <c r="Q266" s="92">
        <f>IF(AND(ISNUMBER(L266),ISNUMBER(P266)),L266*P266,"")</f>
        <v/>
      </c>
      <c r="R266" s="92">
        <f>IF(OR(COUNTA($A266:$D266)=0,U266=0),"",IF(INDEX(DB_05[管制設定值],U266)="","",INDEX(DB_05[管制設定值],U266)))</f>
        <v/>
      </c>
      <c r="S266" s="92">
        <f>IF(OR(COUNTA($A266:$D266)=0,U266=0),"",IF(INDEX(DB_05[監測設定值],U266)="","",INDEX(DB_05[監測設定值],U266)))</f>
        <v/>
      </c>
      <c r="T266" s="92">
        <f>IF(COUNTA($A266:$D266)=0,"",IF(COUNTIFS(DB_04[測項鍵],V266)=1,MATCH(V266,DB_04[測項鍵],0),0))</f>
        <v/>
      </c>
      <c r="U266" s="92">
        <f>IF(COUNTA($A266:$D266)=0,"",IF(COUNTIFS(DB_05[標準鍵],W266)=1,MATCH(W266,DB_05[標準鍵],0),0))</f>
        <v/>
      </c>
      <c r="V266" s="92">
        <f>IF(OR(J266="",A266=""),"",J266&amp;"|"&amp;A266)</f>
        <v/>
      </c>
      <c r="W266" s="92">
        <f>IF(OR('07_QAQC'!$C$3="",V266=""),"",'07_QAQC'!$C$3&amp;"|"&amp;V266)</f>
        <v/>
      </c>
      <c r="X266" s="92">
        <f>IF(OR(H266="",A266=""),"",LEN(H266)&amp;":"&amp;H266&amp;LEN(A266)&amp;":"&amp;A266)</f>
        <v/>
      </c>
      <c r="Y266" s="93">
        <f>IF(COUNTA($A266:$D266)=0,"",IF(I266=0,"樣品未建或重複",IF(INDEX(Samples[樣品檢查],I266)="","OK",INDEX(Samples[樣品檢查],I266))))</f>
        <v/>
      </c>
      <c r="Z266" s="93">
        <f>IF(COUNTA($A266:$D266)=0,"",IF(B266="","缺原始值",IF(OR(B266="-",B266="--"),"無資料",IF(N266="NA","不適用",IF(N266="ND","OK",IF(NOT(ISNUMBER(P266)),"格式待核",IF(AND(N266&lt;&gt;"數值",P266&lt;0),"界限不得為負","OK")))))))</f>
        <v/>
      </c>
      <c r="AA266" s="93">
        <f>IF(COUNTA(A266:D266)=0,"",IF(OR(A266="",H266=""),"缺識別欄位",IF(IF(LEN("="&amp;SUBSTITUTE(SUBSTITUTE(SUBSTITUTE(X266,"~","~~"),"*","~*"),"?","~?"))&lt;=255,COUNTIF(Results[結果識別鍵],"="&amp;SUBSTITUTE(SUBSTITUTE(SUBSTITUTE(X266,"~","~~"),"*","~*"),"?","~?")),COUNTIFS(Results[關聯鍵],"="&amp;SUBSTITUTE(SUBSTITUTE(SUBSTITUTE(H266,"~","~~"),"*","~*"),"?","~?"),Results[分析項目],"="&amp;SUBSTITUTE(SUBSTITUTE(SUBSTITUTE(A266,"~","~~"),"*","~*"),"?","~?")))&gt;1,"同關聯鍵測項重複","OK")))</f>
        <v/>
      </c>
      <c r="AB266" s="93">
        <f>IF(COUNTA($A266:$D266)=0,"",IF(OR(C266="",K266=""),"缺單位",IF(NOT(ISNUMBER(L266)),"單位不相容",IF(L266=1,"OK","已換算"))))</f>
        <v/>
      </c>
      <c r="AC266" s="93">
        <f>IF(COUNTA($A266:$D266)=0,"",IF('07_QAQC'!$C$3="","未選比較版本",IF(U266=0,IF(COUNTIFS(DB_05[標準鍵],W266)&gt;1,"標準鍵重複","未訂此介質／測項門檻"),IF(INDEX(DB_05[版本檢查],U266)&lt;&gt;"OK","標準主檔待核",IF(INDEX(DB_05[標準單位],U266)&lt;&gt;K266,"標準單位不符",IF(INDEX(DB_05[核對狀態],U266)="停用","停用",IF(F266="","缺採樣日期",IF(OR(AND(INDEX(DB_05[生效日],U266)&lt;&gt;"",F266&lt;INDEX(DB_05[生效日],U266)),AND(INDEX(DB_05[失效日],U266)&lt;&gt;"",F266&gt;INDEX(DB_05[失效日],U266))),"日期不適用",INDEX(DB_05[核對狀態],U266)))))))))</f>
        <v/>
      </c>
      <c r="AD266" s="93">
        <f>IF(COUNTA($A266:$D266)=0,"",IF(AC266="未訂此介質／測項門檻",AC266,IF(AC266&lt;&gt;"已核對","標準待核",IF(R266="","未訂管制值",IF(NOT(ISNUMBER(L266)),"單位待核",IF(N266="ND","無法判定（ND無界限）",IF(N266="NA","不適用",IF(Z266&lt;&gt;"OK",Z266,IF(N266="數值",IF(Q266&gt;=R266,"達管制值","未達管制值"),IF(OR(N266="&lt;",N266="&lt;="),IF(OR(Q266&lt;R266,AND(N266="&lt;",Q266=R266)),"未達管制值","無法判定"),IF(OR(N266="&gt;",N266="&gt;="),IF(Q266&gt;=R266,"達管制值","無法判定"),"格式待核")))))))))))</f>
        <v/>
      </c>
      <c r="AE266" s="93">
        <f>IF(COUNTA($A266:$D266)=0,"",IF(AC266="未訂此介質／測項門檻",AC266,IF(AC266&lt;&gt;"已核對","標準待核",IF(S266="","未訂監測值",IF(NOT(ISNUMBER(L266)),"單位待核",IF(N266="ND","無法判定（ND無界限）",IF(N266="NA","不適用",IF(Z266&lt;&gt;"OK",Z266,IF(N266="數值",IF(Q266&gt;=S266,"達監測值","未達監測值"),IF(OR(N266="&lt;",N266="&lt;="),IF(OR(Q266&lt;S266,AND(N266="&lt;",Q266=S266)),"未達監測值","無法判定"),IF(OR(N266="&gt;",N266="&gt;="),IF(Q266&gt;=S266,"達監測值","無法判定"),"格式待核")))))))))))</f>
        <v/>
      </c>
      <c r="AF266" s="93">
        <f>IF(COUNTA($A266:$D266)=0,"",IF(OR(E266="",A266="",B266="",C266=""),"缺必要欄位",IF(Y266&lt;&gt;"OK","樣品資料待補",IF(T266=0,"測項未建或重複",IF(INDEX(DB_04[啟用],T266)&lt;&gt;"是","測項停用",IF(AND(Z266&lt;&gt;"OK",Z266&lt;&gt;"不適用"),Z266,IF(AND(AB266&lt;&gt;"OK",AB266&lt;&gt;"已換算"),"單位待核",IF(AA266&lt;&gt;"OK",AA266,"OK"))))))))</f>
        <v/>
      </c>
      <c r="AG266" s="93">
        <f>IF(COUNTA($A266:$D266)=0,"",IF(N266="ND","ND取0",IF(OR(N266="&lt;",N266="&lt;="),"界限除以2",IF(N266="NA","不適用",IF(OR(N266="&gt;",N266="&gt;="),"保留界限數值","保留原數值")))))</f>
        <v/>
      </c>
      <c r="AH266" s="92">
        <f>IF(O266="","",IFERROR(_xlfn.NUMBERVALUE(O266,".",","),""))</f>
        <v/>
      </c>
      <c r="AI266" s="92">
        <f>IF(H266="","",IFERROR(MATCH(H266,Samples[樣品編號],0),0))</f>
        <v/>
      </c>
    </row>
    <row r="267">
      <c r="A267" s="27" t="inlineStr">
        <is>
          <t>總有機碳</t>
        </is>
      </c>
      <c r="B267" s="28" t="inlineStr">
        <is>
          <t>0.56</t>
        </is>
      </c>
      <c r="C267" s="27" t="inlineStr">
        <is>
          <t>%</t>
        </is>
      </c>
      <c r="D267" s="39" t="inlineStr">
        <is>
          <t>合成資料，非實測；method=lab; basis=dry</t>
        </is>
      </c>
      <c r="E267" s="29">
        <f>IF(OR(I267="",I267=0),"",IF(INDEX(Samples[監測點],I267)="","",INDEX(Samples[監測點],I267)))</f>
        <v/>
      </c>
      <c r="F267" s="90">
        <f>IF(OR(I267="",I267=0),"",IF(INDEX(Samples[採樣日期],I267)="","",INDEX(Samples[採樣日期],I267)))</f>
        <v/>
      </c>
      <c r="G267" s="91">
        <f>IF(OR(M267="",M267="NA",M267="N/A"),"",IF(OR(M267="ND",M267="N.D."),0,IFERROR(IF(OR(OR(ISNUMBER(SEARCH("%",O267)),ISNUMBER(SEARCH(" ",O267)),ISNUMBER(SEARCH(",",O267))),OR(SUBSTITUTE(SUBSTITUTE(SUBSTITUTE(SUBSTITUTE(SUBSTITUTE(SUBSTITUTE(SUBSTITUTE(SUBSTITUTE(SUBSTITUTE(SUBSTITUTE(SUBSTITUTE(SUBSTITUTE(SUBSTITUTE(SUBSTITUTE(SUBSTITUTE(SUBSTITUTE(SUBSTITUTE(SUBSTITUTE("x"&amp;M267,"0",""),"1",""),"2",""),"3",""),"4",""),"5",""),"6",""),"7",""),"8",""),"9",""),".",""),"E",""),"+",""),"-",""),"&lt;",""),"&gt;",""),"=","")," ","")&lt;&gt;"x",ISNUMBER(SEARCH("-",SUBSTITUTE(SUBSTITUTE("x"&amp;MID(M267,2,99),"E-","E"),"E+","E"))),ISNUMBER(SEARCH("+",SUBSTITUTE(SUBSTITUTE("x"&amp;MID(M267,2,99),"E-","E"),"E+","E"))))),"",IF(AND(OR(LEFT(M267,1)="&lt;",LEFT(M267,1)="&gt;"),IF(O267="",0,IF(ISNUMBER(AH267),AH267,NA()))&lt;0),"",IF(O267="",0,IF(ISNUMBER(AH267),AH267,NA()))/IF(LEFT(M267,1)="&lt;",2,1))),"")))</f>
        <v/>
      </c>
      <c r="H267" s="57" t="inlineStr">
        <is>
          <t>BH06-S_20260415_01</t>
        </is>
      </c>
      <c r="I267" s="92">
        <f>IF(OR(H267="",AI267=0),0,IF(INDEX(Samples[樣品重複筆數],AI267)=1,AI267,0))</f>
        <v/>
      </c>
      <c r="J267" s="92">
        <f>IF(OR(COUNTA($A267:$D267)=0,I267=0),"",IF(INDEX(Samples[介質],I267)="","",INDEX(Samples[介質],I267)))</f>
        <v/>
      </c>
      <c r="K267" s="92">
        <f>IF(OR(COUNTA($A267:$D267)=0,T267=0),"",IF(INDEX(DB_04[標準單位],T267)="","",INDEX(DB_04[標準單位],T267)))</f>
        <v/>
      </c>
      <c r="L267" s="92">
        <f>IF(COUNTA($A267:$D267)=0,"",IF(OR(C267="",K267=""),"",IF(C267=K267,1,IF(COUNTIFS(DB_06[換算鍵],C267&amp;"|"&amp;K267,DB_06[換算檢查],"OK")=1,INDEX(DB_06[乘數],MATCH(C267&amp;"|"&amp;K267,DB_06[換算鍵],0)),""))))</f>
        <v/>
      </c>
      <c r="M267" s="92">
        <f>UPPER(SUBSTITUTE(SUBSTITUTE(SUBSTITUTE(SUBSTITUTE(TRIM(B267&amp;""),"＜","&lt;"),"＞","&gt;"),"≤","&lt;="),"≥","&gt;="))</f>
        <v/>
      </c>
      <c r="N267" s="92">
        <f>IF(M267="","",IF(OR(M267="ND",M267="N.D."),"ND",IF(OR(M267="NA",M267="N/A",M267="N.A."),"NA",IF(OR(LEFT(M267,2)="&lt;=",LEFT(M267,2)="&gt;="),LEFT(M267,2),IF(OR(LEFT(M267,1)="&lt;",LEFT(M267,1)="&gt;"),LEFT(M267,1),"數值")))))</f>
        <v/>
      </c>
      <c r="O267" s="92">
        <f>IF(OR(N267="",N267="ND",N267="NA"),"",IF(N267="數值",M267,TRIM(MID(M267,LEN(N267)+1,99))))</f>
        <v/>
      </c>
      <c r="P267" s="92">
        <f>IF(O267="","",IFERROR(IF(OR(OR(ISNUMBER(SEARCH("%",O267)),ISNUMBER(SEARCH(" ",O267)),ISNUMBER(SEARCH(",",O267))),OR(SUBSTITUTE(SUBSTITUTE(SUBSTITUTE(SUBSTITUTE(SUBSTITUTE(SUBSTITUTE(SUBSTITUTE(SUBSTITUTE(SUBSTITUTE(SUBSTITUTE(SUBSTITUTE(SUBSTITUTE(SUBSTITUTE(SUBSTITUTE(SUBSTITUTE(SUBSTITUTE(SUBSTITUTE(SUBSTITUTE("x"&amp;O267,"0",""),"1",""),"2",""),"3",""),"4",""),"5",""),"6",""),"7",""),"8",""),"9",""),".",""),"E",""),"+",""),"-",""),"&lt;",""),"&gt;",""),"=","")," ","")&lt;&gt;"x",ISNUMBER(SEARCH("-",SUBSTITUTE(SUBSTITUTE("x"&amp;MID(O267,2,99),"E-","E"),"E+","E"))),ISNUMBER(SEARCH("+",SUBSTITUTE(SUBSTITUTE("x"&amp;MID(O267,2,99),"E-","E"),"E+","E"))))),"",IF(ISNUMBER(AH267),AH267,NA())),""))</f>
        <v/>
      </c>
      <c r="Q267" s="92">
        <f>IF(AND(ISNUMBER(L267),ISNUMBER(P267)),L267*P267,"")</f>
        <v/>
      </c>
      <c r="R267" s="92">
        <f>IF(OR(COUNTA($A267:$D267)=0,U267=0),"",IF(INDEX(DB_05[管制設定值],U267)="","",INDEX(DB_05[管制設定值],U267)))</f>
        <v/>
      </c>
      <c r="S267" s="92">
        <f>IF(OR(COUNTA($A267:$D267)=0,U267=0),"",IF(INDEX(DB_05[監測設定值],U267)="","",INDEX(DB_05[監測設定值],U267)))</f>
        <v/>
      </c>
      <c r="T267" s="92">
        <f>IF(COUNTA($A267:$D267)=0,"",IF(COUNTIFS(DB_04[測項鍵],V267)=1,MATCH(V267,DB_04[測項鍵],0),0))</f>
        <v/>
      </c>
      <c r="U267" s="92">
        <f>IF(COUNTA($A267:$D267)=0,"",IF(COUNTIFS(DB_05[標準鍵],W267)=1,MATCH(W267,DB_05[標準鍵],0),0))</f>
        <v/>
      </c>
      <c r="V267" s="92">
        <f>IF(OR(J267="",A267=""),"",J267&amp;"|"&amp;A267)</f>
        <v/>
      </c>
      <c r="W267" s="92">
        <f>IF(OR('07_QAQC'!$C$3="",V267=""),"",'07_QAQC'!$C$3&amp;"|"&amp;V267)</f>
        <v/>
      </c>
      <c r="X267" s="92">
        <f>IF(OR(H267="",A267=""),"",LEN(H267)&amp;":"&amp;H267&amp;LEN(A267)&amp;":"&amp;A267)</f>
        <v/>
      </c>
      <c r="Y267" s="93">
        <f>IF(COUNTA($A267:$D267)=0,"",IF(I267=0,"樣品未建或重複",IF(INDEX(Samples[樣品檢查],I267)="","OK",INDEX(Samples[樣品檢查],I267))))</f>
        <v/>
      </c>
      <c r="Z267" s="93">
        <f>IF(COUNTA($A267:$D267)=0,"",IF(B267="","缺原始值",IF(OR(B267="-",B267="--"),"無資料",IF(N267="NA","不適用",IF(N267="ND","OK",IF(NOT(ISNUMBER(P267)),"格式待核",IF(AND(N267&lt;&gt;"數值",P267&lt;0),"界限不得為負","OK")))))))</f>
        <v/>
      </c>
      <c r="AA267" s="93">
        <f>IF(COUNTA(A267:D267)=0,"",IF(OR(A267="",H267=""),"缺識別欄位",IF(IF(LEN("="&amp;SUBSTITUTE(SUBSTITUTE(SUBSTITUTE(X267,"~","~~"),"*","~*"),"?","~?"))&lt;=255,COUNTIF(Results[結果識別鍵],"="&amp;SUBSTITUTE(SUBSTITUTE(SUBSTITUTE(X267,"~","~~"),"*","~*"),"?","~?")),COUNTIFS(Results[關聯鍵],"="&amp;SUBSTITUTE(SUBSTITUTE(SUBSTITUTE(H267,"~","~~"),"*","~*"),"?","~?"),Results[分析項目],"="&amp;SUBSTITUTE(SUBSTITUTE(SUBSTITUTE(A267,"~","~~"),"*","~*"),"?","~?")))&gt;1,"同關聯鍵測項重複","OK")))</f>
        <v/>
      </c>
      <c r="AB267" s="93">
        <f>IF(COUNTA($A267:$D267)=0,"",IF(OR(C267="",K267=""),"缺單位",IF(NOT(ISNUMBER(L267)),"單位不相容",IF(L267=1,"OK","已換算"))))</f>
        <v/>
      </c>
      <c r="AC267" s="93">
        <f>IF(COUNTA($A267:$D267)=0,"",IF('07_QAQC'!$C$3="","未選比較版本",IF(U267=0,IF(COUNTIFS(DB_05[標準鍵],W267)&gt;1,"標準鍵重複","未訂此介質／測項門檻"),IF(INDEX(DB_05[版本檢查],U267)&lt;&gt;"OK","標準主檔待核",IF(INDEX(DB_05[標準單位],U267)&lt;&gt;K267,"標準單位不符",IF(INDEX(DB_05[核對狀態],U267)="停用","停用",IF(F267="","缺採樣日期",IF(OR(AND(INDEX(DB_05[生效日],U267)&lt;&gt;"",F267&lt;INDEX(DB_05[生效日],U267)),AND(INDEX(DB_05[失效日],U267)&lt;&gt;"",F267&gt;INDEX(DB_05[失效日],U267))),"日期不適用",INDEX(DB_05[核對狀態],U267)))))))))</f>
        <v/>
      </c>
      <c r="AD267" s="93">
        <f>IF(COUNTA($A267:$D267)=0,"",IF(AC267="未訂此介質／測項門檻",AC267,IF(AC267&lt;&gt;"已核對","標準待核",IF(R267="","未訂管制值",IF(NOT(ISNUMBER(L267)),"單位待核",IF(N267="ND","無法判定（ND無界限）",IF(N267="NA","不適用",IF(Z267&lt;&gt;"OK",Z267,IF(N267="數值",IF(Q267&gt;=R267,"達管制值","未達管制值"),IF(OR(N267="&lt;",N267="&lt;="),IF(OR(Q267&lt;R267,AND(N267="&lt;",Q267=R267)),"未達管制值","無法判定"),IF(OR(N267="&gt;",N267="&gt;="),IF(Q267&gt;=R267,"達管制值","無法判定"),"格式待核")))))))))))</f>
        <v/>
      </c>
      <c r="AE267" s="93">
        <f>IF(COUNTA($A267:$D267)=0,"",IF(AC267="未訂此介質／測項門檻",AC267,IF(AC267&lt;&gt;"已核對","標準待核",IF(S267="","未訂監測值",IF(NOT(ISNUMBER(L267)),"單位待核",IF(N267="ND","無法判定（ND無界限）",IF(N267="NA","不適用",IF(Z267&lt;&gt;"OK",Z267,IF(N267="數值",IF(Q267&gt;=S267,"達監測值","未達監測值"),IF(OR(N267="&lt;",N267="&lt;="),IF(OR(Q267&lt;S267,AND(N267="&lt;",Q267=S267)),"未達監測值","無法判定"),IF(OR(N267="&gt;",N267="&gt;="),IF(Q267&gt;=S267,"達監測值","無法判定"),"格式待核")))))))))))</f>
        <v/>
      </c>
      <c r="AF267" s="93">
        <f>IF(COUNTA($A267:$D267)=0,"",IF(OR(E267="",A267="",B267="",C267=""),"缺必要欄位",IF(Y267&lt;&gt;"OK","樣品資料待補",IF(T267=0,"測項未建或重複",IF(INDEX(DB_04[啟用],T267)&lt;&gt;"是","測項停用",IF(AND(Z267&lt;&gt;"OK",Z267&lt;&gt;"不適用"),Z267,IF(AND(AB267&lt;&gt;"OK",AB267&lt;&gt;"已換算"),"單位待核",IF(AA267&lt;&gt;"OK",AA267,"OK"))))))))</f>
        <v/>
      </c>
      <c r="AG267" s="93">
        <f>IF(COUNTA($A267:$D267)=0,"",IF(N267="ND","ND取0",IF(OR(N267="&lt;",N267="&lt;="),"界限除以2",IF(N267="NA","不適用",IF(OR(N267="&gt;",N267="&gt;="),"保留界限數值","保留原數值")))))</f>
        <v/>
      </c>
      <c r="AH267" s="92">
        <f>IF(O267="","",IFERROR(_xlfn.NUMBERVALUE(O267,".",","),""))</f>
        <v/>
      </c>
      <c r="AI267" s="92">
        <f>IF(H267="","",IFERROR(MATCH(H267,Samples[樣品編號],0),0))</f>
        <v/>
      </c>
    </row>
    <row r="268">
      <c r="A268" s="27" t="inlineStr">
        <is>
          <t>pH</t>
        </is>
      </c>
      <c r="B268" s="28" t="inlineStr">
        <is>
          <t>6.96</t>
        </is>
      </c>
      <c r="C268" s="27" t="inlineStr">
        <is>
          <t>無因次</t>
        </is>
      </c>
      <c r="D268" s="39" t="inlineStr">
        <is>
          <t>合成資料，非實測；method=field</t>
        </is>
      </c>
      <c r="E268" s="29">
        <f>IF(OR(I268="",I268=0),"",IF(INDEX(Samples[監測點],I268)="","",INDEX(Samples[監測點],I268)))</f>
        <v/>
      </c>
      <c r="F268" s="90">
        <f>IF(OR(I268="",I268=0),"",IF(INDEX(Samples[採樣日期],I268)="","",INDEX(Samples[採樣日期],I268)))</f>
        <v/>
      </c>
      <c r="G268" s="91">
        <f>IF(OR(M268="",M268="NA",M268="N/A"),"",IF(OR(M268="ND",M268="N.D."),0,IFERROR(IF(OR(OR(ISNUMBER(SEARCH("%",O268)),ISNUMBER(SEARCH(" ",O268)),ISNUMBER(SEARCH(",",O268))),OR(SUBSTITUTE(SUBSTITUTE(SUBSTITUTE(SUBSTITUTE(SUBSTITUTE(SUBSTITUTE(SUBSTITUTE(SUBSTITUTE(SUBSTITUTE(SUBSTITUTE(SUBSTITUTE(SUBSTITUTE(SUBSTITUTE(SUBSTITUTE(SUBSTITUTE(SUBSTITUTE(SUBSTITUTE(SUBSTITUTE("x"&amp;M268,"0",""),"1",""),"2",""),"3",""),"4",""),"5",""),"6",""),"7",""),"8",""),"9",""),".",""),"E",""),"+",""),"-",""),"&lt;",""),"&gt;",""),"=","")," ","")&lt;&gt;"x",ISNUMBER(SEARCH("-",SUBSTITUTE(SUBSTITUTE("x"&amp;MID(M268,2,99),"E-","E"),"E+","E"))),ISNUMBER(SEARCH("+",SUBSTITUTE(SUBSTITUTE("x"&amp;MID(M268,2,99),"E-","E"),"E+","E"))))),"",IF(AND(OR(LEFT(M268,1)="&lt;",LEFT(M268,1)="&gt;"),IF(O268="",0,IF(ISNUMBER(AH268),AH268,NA()))&lt;0),"",IF(O268="",0,IF(ISNUMBER(AH268),AH268,NA()))/IF(LEFT(M268,1)="&lt;",2,1))),"")))</f>
        <v/>
      </c>
      <c r="H268" s="57" t="inlineStr">
        <is>
          <t>BH06-W_20260415_01</t>
        </is>
      </c>
      <c r="I268" s="92">
        <f>IF(OR(H268="",AI268=0),0,IF(INDEX(Samples[樣品重複筆數],AI268)=1,AI268,0))</f>
        <v/>
      </c>
      <c r="J268" s="92">
        <f>IF(OR(COUNTA($A268:$D268)=0,I268=0),"",IF(INDEX(Samples[介質],I268)="","",INDEX(Samples[介質],I268)))</f>
        <v/>
      </c>
      <c r="K268" s="92">
        <f>IF(OR(COUNTA($A268:$D268)=0,T268=0),"",IF(INDEX(DB_04[標準單位],T268)="","",INDEX(DB_04[標準單位],T268)))</f>
        <v/>
      </c>
      <c r="L268" s="92">
        <f>IF(COUNTA($A268:$D268)=0,"",IF(OR(C268="",K268=""),"",IF(C268=K268,1,IF(COUNTIFS(DB_06[換算鍵],C268&amp;"|"&amp;K268,DB_06[換算檢查],"OK")=1,INDEX(DB_06[乘數],MATCH(C268&amp;"|"&amp;K268,DB_06[換算鍵],0)),""))))</f>
        <v/>
      </c>
      <c r="M268" s="92">
        <f>UPPER(SUBSTITUTE(SUBSTITUTE(SUBSTITUTE(SUBSTITUTE(TRIM(B268&amp;""),"＜","&lt;"),"＞","&gt;"),"≤","&lt;="),"≥","&gt;="))</f>
        <v/>
      </c>
      <c r="N268" s="92">
        <f>IF(M268="","",IF(OR(M268="ND",M268="N.D."),"ND",IF(OR(M268="NA",M268="N/A",M268="N.A."),"NA",IF(OR(LEFT(M268,2)="&lt;=",LEFT(M268,2)="&gt;="),LEFT(M268,2),IF(OR(LEFT(M268,1)="&lt;",LEFT(M268,1)="&gt;"),LEFT(M268,1),"數值")))))</f>
        <v/>
      </c>
      <c r="O268" s="92">
        <f>IF(OR(N268="",N268="ND",N268="NA"),"",IF(N268="數值",M268,TRIM(MID(M268,LEN(N268)+1,99))))</f>
        <v/>
      </c>
      <c r="P268" s="92">
        <f>IF(O268="","",IFERROR(IF(OR(OR(ISNUMBER(SEARCH("%",O268)),ISNUMBER(SEARCH(" ",O268)),ISNUMBER(SEARCH(",",O268))),OR(SUBSTITUTE(SUBSTITUTE(SUBSTITUTE(SUBSTITUTE(SUBSTITUTE(SUBSTITUTE(SUBSTITUTE(SUBSTITUTE(SUBSTITUTE(SUBSTITUTE(SUBSTITUTE(SUBSTITUTE(SUBSTITUTE(SUBSTITUTE(SUBSTITUTE(SUBSTITUTE(SUBSTITUTE(SUBSTITUTE("x"&amp;O268,"0",""),"1",""),"2",""),"3",""),"4",""),"5",""),"6",""),"7",""),"8",""),"9",""),".",""),"E",""),"+",""),"-",""),"&lt;",""),"&gt;",""),"=","")," ","")&lt;&gt;"x",ISNUMBER(SEARCH("-",SUBSTITUTE(SUBSTITUTE("x"&amp;MID(O268,2,99),"E-","E"),"E+","E"))),ISNUMBER(SEARCH("+",SUBSTITUTE(SUBSTITUTE("x"&amp;MID(O268,2,99),"E-","E"),"E+","E"))))),"",IF(ISNUMBER(AH268),AH268,NA())),""))</f>
        <v/>
      </c>
      <c r="Q268" s="92">
        <f>IF(AND(ISNUMBER(L268),ISNUMBER(P268)),L268*P268,"")</f>
        <v/>
      </c>
      <c r="R268" s="92">
        <f>IF(OR(COUNTA($A268:$D268)=0,U268=0),"",IF(INDEX(DB_05[管制設定值],U268)="","",INDEX(DB_05[管制設定值],U268)))</f>
        <v/>
      </c>
      <c r="S268" s="92">
        <f>IF(OR(COUNTA($A268:$D268)=0,U268=0),"",IF(INDEX(DB_05[監測設定值],U268)="","",INDEX(DB_05[監測設定值],U268)))</f>
        <v/>
      </c>
      <c r="T268" s="92">
        <f>IF(COUNTA($A268:$D268)=0,"",IF(COUNTIFS(DB_04[測項鍵],V268)=1,MATCH(V268,DB_04[測項鍵],0),0))</f>
        <v/>
      </c>
      <c r="U268" s="92">
        <f>IF(COUNTA($A268:$D268)=0,"",IF(COUNTIFS(DB_05[標準鍵],W268)=1,MATCH(W268,DB_05[標準鍵],0),0))</f>
        <v/>
      </c>
      <c r="V268" s="92">
        <f>IF(OR(J268="",A268=""),"",J268&amp;"|"&amp;A268)</f>
        <v/>
      </c>
      <c r="W268" s="92">
        <f>IF(OR('07_QAQC'!$C$3="",V268=""),"",'07_QAQC'!$C$3&amp;"|"&amp;V268)</f>
        <v/>
      </c>
      <c r="X268" s="92">
        <f>IF(OR(H268="",A268=""),"",LEN(H268)&amp;":"&amp;H268&amp;LEN(A268)&amp;":"&amp;A268)</f>
        <v/>
      </c>
      <c r="Y268" s="93">
        <f>IF(COUNTA($A268:$D268)=0,"",IF(I268=0,"樣品未建或重複",IF(INDEX(Samples[樣品檢查],I268)="","OK",INDEX(Samples[樣品檢查],I268))))</f>
        <v/>
      </c>
      <c r="Z268" s="93">
        <f>IF(COUNTA($A268:$D268)=0,"",IF(B268="","缺原始值",IF(OR(B268="-",B268="--"),"無資料",IF(N268="NA","不適用",IF(N268="ND","OK",IF(NOT(ISNUMBER(P268)),"格式待核",IF(AND(N268&lt;&gt;"數值",P268&lt;0),"界限不得為負","OK")))))))</f>
        <v/>
      </c>
      <c r="AA268" s="93">
        <f>IF(COUNTA(A268:D268)=0,"",IF(OR(A268="",H268=""),"缺識別欄位",IF(IF(LEN("="&amp;SUBSTITUTE(SUBSTITUTE(SUBSTITUTE(X268,"~","~~"),"*","~*"),"?","~?"))&lt;=255,COUNTIF(Results[結果識別鍵],"="&amp;SUBSTITUTE(SUBSTITUTE(SUBSTITUTE(X268,"~","~~"),"*","~*"),"?","~?")),COUNTIFS(Results[關聯鍵],"="&amp;SUBSTITUTE(SUBSTITUTE(SUBSTITUTE(H268,"~","~~"),"*","~*"),"?","~?"),Results[分析項目],"="&amp;SUBSTITUTE(SUBSTITUTE(SUBSTITUTE(A268,"~","~~"),"*","~*"),"?","~?")))&gt;1,"同關聯鍵測項重複","OK")))</f>
        <v/>
      </c>
      <c r="AB268" s="93">
        <f>IF(COUNTA($A268:$D268)=0,"",IF(OR(C268="",K268=""),"缺單位",IF(NOT(ISNUMBER(L268)),"單位不相容",IF(L268=1,"OK","已換算"))))</f>
        <v/>
      </c>
      <c r="AC268" s="93">
        <f>IF(COUNTA($A268:$D268)=0,"",IF('07_QAQC'!$C$3="","未選比較版本",IF(U268=0,IF(COUNTIFS(DB_05[標準鍵],W268)&gt;1,"標準鍵重複","未訂此介質／測項門檻"),IF(INDEX(DB_05[版本檢查],U268)&lt;&gt;"OK","標準主檔待核",IF(INDEX(DB_05[標準單位],U268)&lt;&gt;K268,"標準單位不符",IF(INDEX(DB_05[核對狀態],U268)="停用","停用",IF(F268="","缺採樣日期",IF(OR(AND(INDEX(DB_05[生效日],U268)&lt;&gt;"",F268&lt;INDEX(DB_05[生效日],U268)),AND(INDEX(DB_05[失效日],U268)&lt;&gt;"",F268&gt;INDEX(DB_05[失效日],U268))),"日期不適用",INDEX(DB_05[核對狀態],U268)))))))))</f>
        <v/>
      </c>
      <c r="AD268" s="93">
        <f>IF(COUNTA($A268:$D268)=0,"",IF(AC268="未訂此介質／測項門檻",AC268,IF(AC268&lt;&gt;"已核對","標準待核",IF(R268="","未訂管制值",IF(NOT(ISNUMBER(L268)),"單位待核",IF(N268="ND","無法判定（ND無界限）",IF(N268="NA","不適用",IF(Z268&lt;&gt;"OK",Z268,IF(N268="數值",IF(Q268&gt;=R268,"達管制值","未達管制值"),IF(OR(N268="&lt;",N268="&lt;="),IF(OR(Q268&lt;R268,AND(N268="&lt;",Q268=R268)),"未達管制值","無法判定"),IF(OR(N268="&gt;",N268="&gt;="),IF(Q268&gt;=R268,"達管制值","無法判定"),"格式待核")))))))))))</f>
        <v/>
      </c>
      <c r="AE268" s="93">
        <f>IF(COUNTA($A268:$D268)=0,"",IF(AC268="未訂此介質／測項門檻",AC268,IF(AC268&lt;&gt;"已核對","標準待核",IF(S268="","未訂監測值",IF(NOT(ISNUMBER(L268)),"單位待核",IF(N268="ND","無法判定（ND無界限）",IF(N268="NA","不適用",IF(Z268&lt;&gt;"OK",Z268,IF(N268="數值",IF(Q268&gt;=S268,"達監測值","未達監測值"),IF(OR(N268="&lt;",N268="&lt;="),IF(OR(Q268&lt;S268,AND(N268="&lt;",Q268=S268)),"未達監測值","無法判定"),IF(OR(N268="&gt;",N268="&gt;="),IF(Q268&gt;=S268,"達監測值","無法判定"),"格式待核")))))))))))</f>
        <v/>
      </c>
      <c r="AF268" s="93">
        <f>IF(COUNTA($A268:$D268)=0,"",IF(OR(E268="",A268="",B268="",C268=""),"缺必要欄位",IF(Y268&lt;&gt;"OK","樣品資料待補",IF(T268=0,"測項未建或重複",IF(INDEX(DB_04[啟用],T268)&lt;&gt;"是","測項停用",IF(AND(Z268&lt;&gt;"OK",Z268&lt;&gt;"不適用"),Z268,IF(AND(AB268&lt;&gt;"OK",AB268&lt;&gt;"已換算"),"單位待核",IF(AA268&lt;&gt;"OK",AA268,"OK"))))))))</f>
        <v/>
      </c>
      <c r="AG268" s="93">
        <f>IF(COUNTA($A268:$D268)=0,"",IF(N268="ND","ND取0",IF(OR(N268="&lt;",N268="&lt;="),"界限除以2",IF(N268="NA","不適用",IF(OR(N268="&gt;",N268="&gt;="),"保留界限數值","保留原數值")))))</f>
        <v/>
      </c>
      <c r="AH268" s="92">
        <f>IF(O268="","",IFERROR(_xlfn.NUMBERVALUE(O268,".",","),""))</f>
        <v/>
      </c>
      <c r="AI268" s="92">
        <f>IF(H268="","",IFERROR(MATCH(H268,Samples[樣品編號],0),0))</f>
        <v/>
      </c>
    </row>
    <row r="269">
      <c r="A269" s="27" t="inlineStr">
        <is>
          <t>EC</t>
        </is>
      </c>
      <c r="B269" s="28" t="inlineStr">
        <is>
          <t>0.59</t>
        </is>
      </c>
      <c r="C269" s="27" t="inlineStr">
        <is>
          <t>mS/cm</t>
        </is>
      </c>
      <c r="D269" s="39" t="inlineStr">
        <is>
          <t>合成資料，非實測；method=field; temperature=25; temperature_compensated=25C; reference_temperature=25</t>
        </is>
      </c>
      <c r="E269" s="29">
        <f>IF(OR(I269="",I269=0),"",IF(INDEX(Samples[監測點],I269)="","",INDEX(Samples[監測點],I269)))</f>
        <v/>
      </c>
      <c r="F269" s="90">
        <f>IF(OR(I269="",I269=0),"",IF(INDEX(Samples[採樣日期],I269)="","",INDEX(Samples[採樣日期],I269)))</f>
        <v/>
      </c>
      <c r="G269" s="91">
        <f>IF(OR(M269="",M269="NA",M269="N/A"),"",IF(OR(M269="ND",M269="N.D."),0,IFERROR(IF(OR(OR(ISNUMBER(SEARCH("%",O269)),ISNUMBER(SEARCH(" ",O269)),ISNUMBER(SEARCH(",",O269))),OR(SUBSTITUTE(SUBSTITUTE(SUBSTITUTE(SUBSTITUTE(SUBSTITUTE(SUBSTITUTE(SUBSTITUTE(SUBSTITUTE(SUBSTITUTE(SUBSTITUTE(SUBSTITUTE(SUBSTITUTE(SUBSTITUTE(SUBSTITUTE(SUBSTITUTE(SUBSTITUTE(SUBSTITUTE(SUBSTITUTE("x"&amp;M269,"0",""),"1",""),"2",""),"3",""),"4",""),"5",""),"6",""),"7",""),"8",""),"9",""),".",""),"E",""),"+",""),"-",""),"&lt;",""),"&gt;",""),"=","")," ","")&lt;&gt;"x",ISNUMBER(SEARCH("-",SUBSTITUTE(SUBSTITUTE("x"&amp;MID(M269,2,99),"E-","E"),"E+","E"))),ISNUMBER(SEARCH("+",SUBSTITUTE(SUBSTITUTE("x"&amp;MID(M269,2,99),"E-","E"),"E+","E"))))),"",IF(AND(OR(LEFT(M269,1)="&lt;",LEFT(M269,1)="&gt;"),IF(O269="",0,IF(ISNUMBER(AH269),AH269,NA()))&lt;0),"",IF(O269="",0,IF(ISNUMBER(AH269),AH269,NA()))/IF(LEFT(M269,1)="&lt;",2,1))),"")))</f>
        <v/>
      </c>
      <c r="H269" s="57" t="inlineStr">
        <is>
          <t>BH06-W_20260415_01</t>
        </is>
      </c>
      <c r="I269" s="92">
        <f>IF(OR(H269="",AI269=0),0,IF(INDEX(Samples[樣品重複筆數],AI269)=1,AI269,0))</f>
        <v/>
      </c>
      <c r="J269" s="92">
        <f>IF(OR(COUNTA($A269:$D269)=0,I269=0),"",IF(INDEX(Samples[介質],I269)="","",INDEX(Samples[介質],I269)))</f>
        <v/>
      </c>
      <c r="K269" s="92">
        <f>IF(OR(COUNTA($A269:$D269)=0,T269=0),"",IF(INDEX(DB_04[標準單位],T269)="","",INDEX(DB_04[標準單位],T269)))</f>
        <v/>
      </c>
      <c r="L269" s="92">
        <f>IF(COUNTA($A269:$D269)=0,"",IF(OR(C269="",K269=""),"",IF(C269=K269,1,IF(COUNTIFS(DB_06[換算鍵],C269&amp;"|"&amp;K269,DB_06[換算檢查],"OK")=1,INDEX(DB_06[乘數],MATCH(C269&amp;"|"&amp;K269,DB_06[換算鍵],0)),""))))</f>
        <v/>
      </c>
      <c r="M269" s="92">
        <f>UPPER(SUBSTITUTE(SUBSTITUTE(SUBSTITUTE(SUBSTITUTE(TRIM(B269&amp;""),"＜","&lt;"),"＞","&gt;"),"≤","&lt;="),"≥","&gt;="))</f>
        <v/>
      </c>
      <c r="N269" s="92">
        <f>IF(M269="","",IF(OR(M269="ND",M269="N.D."),"ND",IF(OR(M269="NA",M269="N/A",M269="N.A."),"NA",IF(OR(LEFT(M269,2)="&lt;=",LEFT(M269,2)="&gt;="),LEFT(M269,2),IF(OR(LEFT(M269,1)="&lt;",LEFT(M269,1)="&gt;"),LEFT(M269,1),"數值")))))</f>
        <v/>
      </c>
      <c r="O269" s="92">
        <f>IF(OR(N269="",N269="ND",N269="NA"),"",IF(N269="數值",M269,TRIM(MID(M269,LEN(N269)+1,99))))</f>
        <v/>
      </c>
      <c r="P269" s="92">
        <f>IF(O269="","",IFERROR(IF(OR(OR(ISNUMBER(SEARCH("%",O269)),ISNUMBER(SEARCH(" ",O269)),ISNUMBER(SEARCH(",",O269))),OR(SUBSTITUTE(SUBSTITUTE(SUBSTITUTE(SUBSTITUTE(SUBSTITUTE(SUBSTITUTE(SUBSTITUTE(SUBSTITUTE(SUBSTITUTE(SUBSTITUTE(SUBSTITUTE(SUBSTITUTE(SUBSTITUTE(SUBSTITUTE(SUBSTITUTE(SUBSTITUTE(SUBSTITUTE(SUBSTITUTE("x"&amp;O269,"0",""),"1",""),"2",""),"3",""),"4",""),"5",""),"6",""),"7",""),"8",""),"9",""),".",""),"E",""),"+",""),"-",""),"&lt;",""),"&gt;",""),"=","")," ","")&lt;&gt;"x",ISNUMBER(SEARCH("-",SUBSTITUTE(SUBSTITUTE("x"&amp;MID(O269,2,99),"E-","E"),"E+","E"))),ISNUMBER(SEARCH("+",SUBSTITUTE(SUBSTITUTE("x"&amp;MID(O269,2,99),"E-","E"),"E+","E"))))),"",IF(ISNUMBER(AH269),AH269,NA())),""))</f>
        <v/>
      </c>
      <c r="Q269" s="92">
        <f>IF(AND(ISNUMBER(L269),ISNUMBER(P269)),L269*P269,"")</f>
        <v/>
      </c>
      <c r="R269" s="92">
        <f>IF(OR(COUNTA($A269:$D269)=0,U269=0),"",IF(INDEX(DB_05[管制設定值],U269)="","",INDEX(DB_05[管制設定值],U269)))</f>
        <v/>
      </c>
      <c r="S269" s="92">
        <f>IF(OR(COUNTA($A269:$D269)=0,U269=0),"",IF(INDEX(DB_05[監測設定值],U269)="","",INDEX(DB_05[監測設定值],U269)))</f>
        <v/>
      </c>
      <c r="T269" s="92">
        <f>IF(COUNTA($A269:$D269)=0,"",IF(COUNTIFS(DB_04[測項鍵],V269)=1,MATCH(V269,DB_04[測項鍵],0),0))</f>
        <v/>
      </c>
      <c r="U269" s="92">
        <f>IF(COUNTA($A269:$D269)=0,"",IF(COUNTIFS(DB_05[標準鍵],W269)=1,MATCH(W269,DB_05[標準鍵],0),0))</f>
        <v/>
      </c>
      <c r="V269" s="92">
        <f>IF(OR(J269="",A269=""),"",J269&amp;"|"&amp;A269)</f>
        <v/>
      </c>
      <c r="W269" s="92">
        <f>IF(OR('07_QAQC'!$C$3="",V269=""),"",'07_QAQC'!$C$3&amp;"|"&amp;V269)</f>
        <v/>
      </c>
      <c r="X269" s="92">
        <f>IF(OR(H269="",A269=""),"",LEN(H269)&amp;":"&amp;H269&amp;LEN(A269)&amp;":"&amp;A269)</f>
        <v/>
      </c>
      <c r="Y269" s="93">
        <f>IF(COUNTA($A269:$D269)=0,"",IF(I269=0,"樣品未建或重複",IF(INDEX(Samples[樣品檢查],I269)="","OK",INDEX(Samples[樣品檢查],I269))))</f>
        <v/>
      </c>
      <c r="Z269" s="93">
        <f>IF(COUNTA($A269:$D269)=0,"",IF(B269="","缺原始值",IF(OR(B269="-",B269="--"),"無資料",IF(N269="NA","不適用",IF(N269="ND","OK",IF(NOT(ISNUMBER(P269)),"格式待核",IF(AND(N269&lt;&gt;"數值",P269&lt;0),"界限不得為負","OK")))))))</f>
        <v/>
      </c>
      <c r="AA269" s="93">
        <f>IF(COUNTA(A269:D269)=0,"",IF(OR(A269="",H269=""),"缺識別欄位",IF(IF(LEN("="&amp;SUBSTITUTE(SUBSTITUTE(SUBSTITUTE(X269,"~","~~"),"*","~*"),"?","~?"))&lt;=255,COUNTIF(Results[結果識別鍵],"="&amp;SUBSTITUTE(SUBSTITUTE(SUBSTITUTE(X269,"~","~~"),"*","~*"),"?","~?")),COUNTIFS(Results[關聯鍵],"="&amp;SUBSTITUTE(SUBSTITUTE(SUBSTITUTE(H269,"~","~~"),"*","~*"),"?","~?"),Results[分析項目],"="&amp;SUBSTITUTE(SUBSTITUTE(SUBSTITUTE(A269,"~","~~"),"*","~*"),"?","~?")))&gt;1,"同關聯鍵測項重複","OK")))</f>
        <v/>
      </c>
      <c r="AB269" s="93">
        <f>IF(COUNTA($A269:$D269)=0,"",IF(OR(C269="",K269=""),"缺單位",IF(NOT(ISNUMBER(L269)),"單位不相容",IF(L269=1,"OK","已換算"))))</f>
        <v/>
      </c>
      <c r="AC269" s="93">
        <f>IF(COUNTA($A269:$D269)=0,"",IF('07_QAQC'!$C$3="","未選比較版本",IF(U269=0,IF(COUNTIFS(DB_05[標準鍵],W269)&gt;1,"標準鍵重複","未訂此介質／測項門檻"),IF(INDEX(DB_05[版本檢查],U269)&lt;&gt;"OK","標準主檔待核",IF(INDEX(DB_05[標準單位],U269)&lt;&gt;K269,"標準單位不符",IF(INDEX(DB_05[核對狀態],U269)="停用","停用",IF(F269="","缺採樣日期",IF(OR(AND(INDEX(DB_05[生效日],U269)&lt;&gt;"",F269&lt;INDEX(DB_05[生效日],U269)),AND(INDEX(DB_05[失效日],U269)&lt;&gt;"",F269&gt;INDEX(DB_05[失效日],U269))),"日期不適用",INDEX(DB_05[核對狀態],U269)))))))))</f>
        <v/>
      </c>
      <c r="AD269" s="93">
        <f>IF(COUNTA($A269:$D269)=0,"",IF(AC269="未訂此介質／測項門檻",AC269,IF(AC269&lt;&gt;"已核對","標準待核",IF(R269="","未訂管制值",IF(NOT(ISNUMBER(L269)),"單位待核",IF(N269="ND","無法判定（ND無界限）",IF(N269="NA","不適用",IF(Z269&lt;&gt;"OK",Z269,IF(N269="數值",IF(Q269&gt;=R269,"達管制值","未達管制值"),IF(OR(N269="&lt;",N269="&lt;="),IF(OR(Q269&lt;R269,AND(N269="&lt;",Q269=R269)),"未達管制值","無法判定"),IF(OR(N269="&gt;",N269="&gt;="),IF(Q269&gt;=R269,"達管制值","無法判定"),"格式待核")))))))))))</f>
        <v/>
      </c>
      <c r="AE269" s="93">
        <f>IF(COUNTA($A269:$D269)=0,"",IF(AC269="未訂此介質／測項門檻",AC269,IF(AC269&lt;&gt;"已核對","標準待核",IF(S269="","未訂監測值",IF(NOT(ISNUMBER(L269)),"單位待核",IF(N269="ND","無法判定（ND無界限）",IF(N269="NA","不適用",IF(Z269&lt;&gt;"OK",Z269,IF(N269="數值",IF(Q269&gt;=S269,"達監測值","未達監測值"),IF(OR(N269="&lt;",N269="&lt;="),IF(OR(Q269&lt;S269,AND(N269="&lt;",Q269=S269)),"未達監測值","無法判定"),IF(OR(N269="&gt;",N269="&gt;="),IF(Q269&gt;=S269,"達監測值","無法判定"),"格式待核")))))))))))</f>
        <v/>
      </c>
      <c r="AF269" s="93">
        <f>IF(COUNTA($A269:$D269)=0,"",IF(OR(E269="",A269="",B269="",C269=""),"缺必要欄位",IF(Y269&lt;&gt;"OK","樣品資料待補",IF(T269=0,"測項未建或重複",IF(INDEX(DB_04[啟用],T269)&lt;&gt;"是","測項停用",IF(AND(Z269&lt;&gt;"OK",Z269&lt;&gt;"不適用"),Z269,IF(AND(AB269&lt;&gt;"OK",AB269&lt;&gt;"已換算"),"單位待核",IF(AA269&lt;&gt;"OK",AA269,"OK"))))))))</f>
        <v/>
      </c>
      <c r="AG269" s="93">
        <f>IF(COUNTA($A269:$D269)=0,"",IF(N269="ND","ND取0",IF(OR(N269="&lt;",N269="&lt;="),"界限除以2",IF(N269="NA","不適用",IF(OR(N269="&gt;",N269="&gt;="),"保留界限數值","保留原數值")))))</f>
        <v/>
      </c>
      <c r="AH269" s="92">
        <f>IF(O269="","",IFERROR(_xlfn.NUMBERVALUE(O269,".",","),""))</f>
        <v/>
      </c>
      <c r="AI269" s="92">
        <f>IF(H269="","",IFERROR(MATCH(H269,Samples[樣品編號],0),0))</f>
        <v/>
      </c>
    </row>
    <row r="270">
      <c r="A270" s="27" t="inlineStr">
        <is>
          <t>DO</t>
        </is>
      </c>
      <c r="B270" s="28" t="inlineStr">
        <is>
          <t>5.2</t>
        </is>
      </c>
      <c r="C270" s="27" t="inlineStr">
        <is>
          <t>mg/L</t>
        </is>
      </c>
      <c r="D270" s="39" t="inlineStr">
        <is>
          <t>合成資料，非實測；method=field</t>
        </is>
      </c>
      <c r="E270" s="29">
        <f>IF(OR(I270="",I270=0),"",IF(INDEX(Samples[監測點],I270)="","",INDEX(Samples[監測點],I270)))</f>
        <v/>
      </c>
      <c r="F270" s="90">
        <f>IF(OR(I270="",I270=0),"",IF(INDEX(Samples[採樣日期],I270)="","",INDEX(Samples[採樣日期],I270)))</f>
        <v/>
      </c>
      <c r="G270" s="91">
        <f>IF(OR(M270="",M270="NA",M270="N/A"),"",IF(OR(M270="ND",M270="N.D."),0,IFERROR(IF(OR(OR(ISNUMBER(SEARCH("%",O270)),ISNUMBER(SEARCH(" ",O270)),ISNUMBER(SEARCH(",",O270))),OR(SUBSTITUTE(SUBSTITUTE(SUBSTITUTE(SUBSTITUTE(SUBSTITUTE(SUBSTITUTE(SUBSTITUTE(SUBSTITUTE(SUBSTITUTE(SUBSTITUTE(SUBSTITUTE(SUBSTITUTE(SUBSTITUTE(SUBSTITUTE(SUBSTITUTE(SUBSTITUTE(SUBSTITUTE(SUBSTITUTE("x"&amp;M270,"0",""),"1",""),"2",""),"3",""),"4",""),"5",""),"6",""),"7",""),"8",""),"9",""),".",""),"E",""),"+",""),"-",""),"&lt;",""),"&gt;",""),"=","")," ","")&lt;&gt;"x",ISNUMBER(SEARCH("-",SUBSTITUTE(SUBSTITUTE("x"&amp;MID(M270,2,99),"E-","E"),"E+","E"))),ISNUMBER(SEARCH("+",SUBSTITUTE(SUBSTITUTE("x"&amp;MID(M270,2,99),"E-","E"),"E+","E"))))),"",IF(AND(OR(LEFT(M270,1)="&lt;",LEFT(M270,1)="&gt;"),IF(O270="",0,IF(ISNUMBER(AH270),AH270,NA()))&lt;0),"",IF(O270="",0,IF(ISNUMBER(AH270),AH270,NA()))/IF(LEFT(M270,1)="&lt;",2,1))),"")))</f>
        <v/>
      </c>
      <c r="H270" s="57" t="inlineStr">
        <is>
          <t>BH06-W_20260415_01</t>
        </is>
      </c>
      <c r="I270" s="92">
        <f>IF(OR(H270="",AI270=0),0,IF(INDEX(Samples[樣品重複筆數],AI270)=1,AI270,0))</f>
        <v/>
      </c>
      <c r="J270" s="92">
        <f>IF(OR(COUNTA($A270:$D270)=0,I270=0),"",IF(INDEX(Samples[介質],I270)="","",INDEX(Samples[介質],I270)))</f>
        <v/>
      </c>
      <c r="K270" s="92">
        <f>IF(OR(COUNTA($A270:$D270)=0,T270=0),"",IF(INDEX(DB_04[標準單位],T270)="","",INDEX(DB_04[標準單位],T270)))</f>
        <v/>
      </c>
      <c r="L270" s="92">
        <f>IF(COUNTA($A270:$D270)=0,"",IF(OR(C270="",K270=""),"",IF(C270=K270,1,IF(COUNTIFS(DB_06[換算鍵],C270&amp;"|"&amp;K270,DB_06[換算檢查],"OK")=1,INDEX(DB_06[乘數],MATCH(C270&amp;"|"&amp;K270,DB_06[換算鍵],0)),""))))</f>
        <v/>
      </c>
      <c r="M270" s="92">
        <f>UPPER(SUBSTITUTE(SUBSTITUTE(SUBSTITUTE(SUBSTITUTE(TRIM(B270&amp;""),"＜","&lt;"),"＞","&gt;"),"≤","&lt;="),"≥","&gt;="))</f>
        <v/>
      </c>
      <c r="N270" s="92">
        <f>IF(M270="","",IF(OR(M270="ND",M270="N.D."),"ND",IF(OR(M270="NA",M270="N/A",M270="N.A."),"NA",IF(OR(LEFT(M270,2)="&lt;=",LEFT(M270,2)="&gt;="),LEFT(M270,2),IF(OR(LEFT(M270,1)="&lt;",LEFT(M270,1)="&gt;"),LEFT(M270,1),"數值")))))</f>
        <v/>
      </c>
      <c r="O270" s="92">
        <f>IF(OR(N270="",N270="ND",N270="NA"),"",IF(N270="數值",M270,TRIM(MID(M270,LEN(N270)+1,99))))</f>
        <v/>
      </c>
      <c r="P270" s="92">
        <f>IF(O270="","",IFERROR(IF(OR(OR(ISNUMBER(SEARCH("%",O270)),ISNUMBER(SEARCH(" ",O270)),ISNUMBER(SEARCH(",",O270))),OR(SUBSTITUTE(SUBSTITUTE(SUBSTITUTE(SUBSTITUTE(SUBSTITUTE(SUBSTITUTE(SUBSTITUTE(SUBSTITUTE(SUBSTITUTE(SUBSTITUTE(SUBSTITUTE(SUBSTITUTE(SUBSTITUTE(SUBSTITUTE(SUBSTITUTE(SUBSTITUTE(SUBSTITUTE(SUBSTITUTE("x"&amp;O270,"0",""),"1",""),"2",""),"3",""),"4",""),"5",""),"6",""),"7",""),"8",""),"9",""),".",""),"E",""),"+",""),"-",""),"&lt;",""),"&gt;",""),"=","")," ","")&lt;&gt;"x",ISNUMBER(SEARCH("-",SUBSTITUTE(SUBSTITUTE("x"&amp;MID(O270,2,99),"E-","E"),"E+","E"))),ISNUMBER(SEARCH("+",SUBSTITUTE(SUBSTITUTE("x"&amp;MID(O270,2,99),"E-","E"),"E+","E"))))),"",IF(ISNUMBER(AH270),AH270,NA())),""))</f>
        <v/>
      </c>
      <c r="Q270" s="92">
        <f>IF(AND(ISNUMBER(L270),ISNUMBER(P270)),L270*P270,"")</f>
        <v/>
      </c>
      <c r="R270" s="92">
        <f>IF(OR(COUNTA($A270:$D270)=0,U270=0),"",IF(INDEX(DB_05[管制設定值],U270)="","",INDEX(DB_05[管制設定值],U270)))</f>
        <v/>
      </c>
      <c r="S270" s="92">
        <f>IF(OR(COUNTA($A270:$D270)=0,U270=0),"",IF(INDEX(DB_05[監測設定值],U270)="","",INDEX(DB_05[監測設定值],U270)))</f>
        <v/>
      </c>
      <c r="T270" s="92">
        <f>IF(COUNTA($A270:$D270)=0,"",IF(COUNTIFS(DB_04[測項鍵],V270)=1,MATCH(V270,DB_04[測項鍵],0),0))</f>
        <v/>
      </c>
      <c r="U270" s="92">
        <f>IF(COUNTA($A270:$D270)=0,"",IF(COUNTIFS(DB_05[標準鍵],W270)=1,MATCH(W270,DB_05[標準鍵],0),0))</f>
        <v/>
      </c>
      <c r="V270" s="92">
        <f>IF(OR(J270="",A270=""),"",J270&amp;"|"&amp;A270)</f>
        <v/>
      </c>
      <c r="W270" s="92">
        <f>IF(OR('07_QAQC'!$C$3="",V270=""),"",'07_QAQC'!$C$3&amp;"|"&amp;V270)</f>
        <v/>
      </c>
      <c r="X270" s="92">
        <f>IF(OR(H270="",A270=""),"",LEN(H270)&amp;":"&amp;H270&amp;LEN(A270)&amp;":"&amp;A270)</f>
        <v/>
      </c>
      <c r="Y270" s="93">
        <f>IF(COUNTA($A270:$D270)=0,"",IF(I270=0,"樣品未建或重複",IF(INDEX(Samples[樣品檢查],I270)="","OK",INDEX(Samples[樣品檢查],I270))))</f>
        <v/>
      </c>
      <c r="Z270" s="93">
        <f>IF(COUNTA($A270:$D270)=0,"",IF(B270="","缺原始值",IF(OR(B270="-",B270="--"),"無資料",IF(N270="NA","不適用",IF(N270="ND","OK",IF(NOT(ISNUMBER(P270)),"格式待核",IF(AND(N270&lt;&gt;"數值",P270&lt;0),"界限不得為負","OK")))))))</f>
        <v/>
      </c>
      <c r="AA270" s="93">
        <f>IF(COUNTA(A270:D270)=0,"",IF(OR(A270="",H270=""),"缺識別欄位",IF(IF(LEN("="&amp;SUBSTITUTE(SUBSTITUTE(SUBSTITUTE(X270,"~","~~"),"*","~*"),"?","~?"))&lt;=255,COUNTIF(Results[結果識別鍵],"="&amp;SUBSTITUTE(SUBSTITUTE(SUBSTITUTE(X270,"~","~~"),"*","~*"),"?","~?")),COUNTIFS(Results[關聯鍵],"="&amp;SUBSTITUTE(SUBSTITUTE(SUBSTITUTE(H270,"~","~~"),"*","~*"),"?","~?"),Results[分析項目],"="&amp;SUBSTITUTE(SUBSTITUTE(SUBSTITUTE(A270,"~","~~"),"*","~*"),"?","~?")))&gt;1,"同關聯鍵測項重複","OK")))</f>
        <v/>
      </c>
      <c r="AB270" s="93">
        <f>IF(COUNTA($A270:$D270)=0,"",IF(OR(C270="",K270=""),"缺單位",IF(NOT(ISNUMBER(L270)),"單位不相容",IF(L270=1,"OK","已換算"))))</f>
        <v/>
      </c>
      <c r="AC270" s="93">
        <f>IF(COUNTA($A270:$D270)=0,"",IF('07_QAQC'!$C$3="","未選比較版本",IF(U270=0,IF(COUNTIFS(DB_05[標準鍵],W270)&gt;1,"標準鍵重複","未訂此介質／測項門檻"),IF(INDEX(DB_05[版本檢查],U270)&lt;&gt;"OK","標準主檔待核",IF(INDEX(DB_05[標準單位],U270)&lt;&gt;K270,"標準單位不符",IF(INDEX(DB_05[核對狀態],U270)="停用","停用",IF(F270="","缺採樣日期",IF(OR(AND(INDEX(DB_05[生效日],U270)&lt;&gt;"",F270&lt;INDEX(DB_05[生效日],U270)),AND(INDEX(DB_05[失效日],U270)&lt;&gt;"",F270&gt;INDEX(DB_05[失效日],U270))),"日期不適用",INDEX(DB_05[核對狀態],U270)))))))))</f>
        <v/>
      </c>
      <c r="AD270" s="93">
        <f>IF(COUNTA($A270:$D270)=0,"",IF(AC270="未訂此介質／測項門檻",AC270,IF(AC270&lt;&gt;"已核對","標準待核",IF(R270="","未訂管制值",IF(NOT(ISNUMBER(L270)),"單位待核",IF(N270="ND","無法判定（ND無界限）",IF(N270="NA","不適用",IF(Z270&lt;&gt;"OK",Z270,IF(N270="數值",IF(Q270&gt;=R270,"達管制值","未達管制值"),IF(OR(N270="&lt;",N270="&lt;="),IF(OR(Q270&lt;R270,AND(N270="&lt;",Q270=R270)),"未達管制值","無法判定"),IF(OR(N270="&gt;",N270="&gt;="),IF(Q270&gt;=R270,"達管制值","無法判定"),"格式待核")))))))))))</f>
        <v/>
      </c>
      <c r="AE270" s="93">
        <f>IF(COUNTA($A270:$D270)=0,"",IF(AC270="未訂此介質／測項門檻",AC270,IF(AC270&lt;&gt;"已核對","標準待核",IF(S270="","未訂監測值",IF(NOT(ISNUMBER(L270)),"單位待核",IF(N270="ND","無法判定（ND無界限）",IF(N270="NA","不適用",IF(Z270&lt;&gt;"OK",Z270,IF(N270="數值",IF(Q270&gt;=S270,"達監測值","未達監測值"),IF(OR(N270="&lt;",N270="&lt;="),IF(OR(Q270&lt;S270,AND(N270="&lt;",Q270=S270)),"未達監測值","無法判定"),IF(OR(N270="&gt;",N270="&gt;="),IF(Q270&gt;=S270,"達監測值","無法判定"),"格式待核")))))))))))</f>
        <v/>
      </c>
      <c r="AF270" s="93">
        <f>IF(COUNTA($A270:$D270)=0,"",IF(OR(E270="",A270="",B270="",C270=""),"缺必要欄位",IF(Y270&lt;&gt;"OK","樣品資料待補",IF(T270=0,"測項未建或重複",IF(INDEX(DB_04[啟用],T270)&lt;&gt;"是","測項停用",IF(AND(Z270&lt;&gt;"OK",Z270&lt;&gt;"不適用"),Z270,IF(AND(AB270&lt;&gt;"OK",AB270&lt;&gt;"已換算"),"單位待核",IF(AA270&lt;&gt;"OK",AA270,"OK"))))))))</f>
        <v/>
      </c>
      <c r="AG270" s="93">
        <f>IF(COUNTA($A270:$D270)=0,"",IF(N270="ND","ND取0",IF(OR(N270="&lt;",N270="&lt;="),"界限除以2",IF(N270="NA","不適用",IF(OR(N270="&gt;",N270="&gt;="),"保留界限數值","保留原數值")))))</f>
        <v/>
      </c>
      <c r="AH270" s="92">
        <f>IF(O270="","",IFERROR(_xlfn.NUMBERVALUE(O270,".",","),""))</f>
        <v/>
      </c>
      <c r="AI270" s="92">
        <f>IF(H270="","",IFERROR(MATCH(H270,Samples[樣品編號],0),0))</f>
        <v/>
      </c>
    </row>
    <row r="271">
      <c r="A271" s="27" t="inlineStr">
        <is>
          <t>溶氧飽和度</t>
        </is>
      </c>
      <c r="B271" s="28" t="inlineStr">
        <is>
          <t>64</t>
        </is>
      </c>
      <c r="C271" s="27" t="inlineStr">
        <is>
          <t>%</t>
        </is>
      </c>
      <c r="D271" s="39" t="inlineStr">
        <is>
          <t>合成資料，非實測；method=field</t>
        </is>
      </c>
      <c r="E271" s="29">
        <f>IF(OR(I271="",I271=0),"",IF(INDEX(Samples[監測點],I271)="","",INDEX(Samples[監測點],I271)))</f>
        <v/>
      </c>
      <c r="F271" s="90">
        <f>IF(OR(I271="",I271=0),"",IF(INDEX(Samples[採樣日期],I271)="","",INDEX(Samples[採樣日期],I271)))</f>
        <v/>
      </c>
      <c r="G271" s="91">
        <f>IF(OR(M271="",M271="NA",M271="N/A"),"",IF(OR(M271="ND",M271="N.D."),0,IFERROR(IF(OR(OR(ISNUMBER(SEARCH("%",O271)),ISNUMBER(SEARCH(" ",O271)),ISNUMBER(SEARCH(",",O271))),OR(SUBSTITUTE(SUBSTITUTE(SUBSTITUTE(SUBSTITUTE(SUBSTITUTE(SUBSTITUTE(SUBSTITUTE(SUBSTITUTE(SUBSTITUTE(SUBSTITUTE(SUBSTITUTE(SUBSTITUTE(SUBSTITUTE(SUBSTITUTE(SUBSTITUTE(SUBSTITUTE(SUBSTITUTE(SUBSTITUTE("x"&amp;M271,"0",""),"1",""),"2",""),"3",""),"4",""),"5",""),"6",""),"7",""),"8",""),"9",""),".",""),"E",""),"+",""),"-",""),"&lt;",""),"&gt;",""),"=","")," ","")&lt;&gt;"x",ISNUMBER(SEARCH("-",SUBSTITUTE(SUBSTITUTE("x"&amp;MID(M271,2,99),"E-","E"),"E+","E"))),ISNUMBER(SEARCH("+",SUBSTITUTE(SUBSTITUTE("x"&amp;MID(M271,2,99),"E-","E"),"E+","E"))))),"",IF(AND(OR(LEFT(M271,1)="&lt;",LEFT(M271,1)="&gt;"),IF(O271="",0,IF(ISNUMBER(AH271),AH271,NA()))&lt;0),"",IF(O271="",0,IF(ISNUMBER(AH271),AH271,NA()))/IF(LEFT(M271,1)="&lt;",2,1))),"")))</f>
        <v/>
      </c>
      <c r="H271" s="57" t="inlineStr">
        <is>
          <t>BH06-W_20260415_01</t>
        </is>
      </c>
      <c r="I271" s="92">
        <f>IF(OR(H271="",AI271=0),0,IF(INDEX(Samples[樣品重複筆數],AI271)=1,AI271,0))</f>
        <v/>
      </c>
      <c r="J271" s="92">
        <f>IF(OR(COUNTA($A271:$D271)=0,I271=0),"",IF(INDEX(Samples[介質],I271)="","",INDEX(Samples[介質],I271)))</f>
        <v/>
      </c>
      <c r="K271" s="92">
        <f>IF(OR(COUNTA($A271:$D271)=0,T271=0),"",IF(INDEX(DB_04[標準單位],T271)="","",INDEX(DB_04[標準單位],T271)))</f>
        <v/>
      </c>
      <c r="L271" s="92">
        <f>IF(COUNTA($A271:$D271)=0,"",IF(OR(C271="",K271=""),"",IF(C271=K271,1,IF(COUNTIFS(DB_06[換算鍵],C271&amp;"|"&amp;K271,DB_06[換算檢查],"OK")=1,INDEX(DB_06[乘數],MATCH(C271&amp;"|"&amp;K271,DB_06[換算鍵],0)),""))))</f>
        <v/>
      </c>
      <c r="M271" s="92">
        <f>UPPER(SUBSTITUTE(SUBSTITUTE(SUBSTITUTE(SUBSTITUTE(TRIM(B271&amp;""),"＜","&lt;"),"＞","&gt;"),"≤","&lt;="),"≥","&gt;="))</f>
        <v/>
      </c>
      <c r="N271" s="92">
        <f>IF(M271="","",IF(OR(M271="ND",M271="N.D."),"ND",IF(OR(M271="NA",M271="N/A",M271="N.A."),"NA",IF(OR(LEFT(M271,2)="&lt;=",LEFT(M271,2)="&gt;="),LEFT(M271,2),IF(OR(LEFT(M271,1)="&lt;",LEFT(M271,1)="&gt;"),LEFT(M271,1),"數值")))))</f>
        <v/>
      </c>
      <c r="O271" s="92">
        <f>IF(OR(N271="",N271="ND",N271="NA"),"",IF(N271="數值",M271,TRIM(MID(M271,LEN(N271)+1,99))))</f>
        <v/>
      </c>
      <c r="P271" s="92">
        <f>IF(O271="","",IFERROR(IF(OR(OR(ISNUMBER(SEARCH("%",O271)),ISNUMBER(SEARCH(" ",O271)),ISNUMBER(SEARCH(",",O271))),OR(SUBSTITUTE(SUBSTITUTE(SUBSTITUTE(SUBSTITUTE(SUBSTITUTE(SUBSTITUTE(SUBSTITUTE(SUBSTITUTE(SUBSTITUTE(SUBSTITUTE(SUBSTITUTE(SUBSTITUTE(SUBSTITUTE(SUBSTITUTE(SUBSTITUTE(SUBSTITUTE(SUBSTITUTE(SUBSTITUTE("x"&amp;O271,"0",""),"1",""),"2",""),"3",""),"4",""),"5",""),"6",""),"7",""),"8",""),"9",""),".",""),"E",""),"+",""),"-",""),"&lt;",""),"&gt;",""),"=","")," ","")&lt;&gt;"x",ISNUMBER(SEARCH("-",SUBSTITUTE(SUBSTITUTE("x"&amp;MID(O271,2,99),"E-","E"),"E+","E"))),ISNUMBER(SEARCH("+",SUBSTITUTE(SUBSTITUTE("x"&amp;MID(O271,2,99),"E-","E"),"E+","E"))))),"",IF(ISNUMBER(AH271),AH271,NA())),""))</f>
        <v/>
      </c>
      <c r="Q271" s="92">
        <f>IF(AND(ISNUMBER(L271),ISNUMBER(P271)),L271*P271,"")</f>
        <v/>
      </c>
      <c r="R271" s="92">
        <f>IF(OR(COUNTA($A271:$D271)=0,U271=0),"",IF(INDEX(DB_05[管制設定值],U271)="","",INDEX(DB_05[管制設定值],U271)))</f>
        <v/>
      </c>
      <c r="S271" s="92">
        <f>IF(OR(COUNTA($A271:$D271)=0,U271=0),"",IF(INDEX(DB_05[監測設定值],U271)="","",INDEX(DB_05[監測設定值],U271)))</f>
        <v/>
      </c>
      <c r="T271" s="92">
        <f>IF(COUNTA($A271:$D271)=0,"",IF(COUNTIFS(DB_04[測項鍵],V271)=1,MATCH(V271,DB_04[測項鍵],0),0))</f>
        <v/>
      </c>
      <c r="U271" s="92">
        <f>IF(COUNTA($A271:$D271)=0,"",IF(COUNTIFS(DB_05[標準鍵],W271)=1,MATCH(W271,DB_05[標準鍵],0),0))</f>
        <v/>
      </c>
      <c r="V271" s="92">
        <f>IF(OR(J271="",A271=""),"",J271&amp;"|"&amp;A271)</f>
        <v/>
      </c>
      <c r="W271" s="92">
        <f>IF(OR('07_QAQC'!$C$3="",V271=""),"",'07_QAQC'!$C$3&amp;"|"&amp;V271)</f>
        <v/>
      </c>
      <c r="X271" s="92">
        <f>IF(OR(H271="",A271=""),"",LEN(H271)&amp;":"&amp;H271&amp;LEN(A271)&amp;":"&amp;A271)</f>
        <v/>
      </c>
      <c r="Y271" s="93">
        <f>IF(COUNTA($A271:$D271)=0,"",IF(I271=0,"樣品未建或重複",IF(INDEX(Samples[樣品檢查],I271)="","OK",INDEX(Samples[樣品檢查],I271))))</f>
        <v/>
      </c>
      <c r="Z271" s="93">
        <f>IF(COUNTA($A271:$D271)=0,"",IF(B271="","缺原始值",IF(OR(B271="-",B271="--"),"無資料",IF(N271="NA","不適用",IF(N271="ND","OK",IF(NOT(ISNUMBER(P271)),"格式待核",IF(AND(N271&lt;&gt;"數值",P271&lt;0),"界限不得為負","OK")))))))</f>
        <v/>
      </c>
      <c r="AA271" s="93">
        <f>IF(COUNTA(A271:D271)=0,"",IF(OR(A271="",H271=""),"缺識別欄位",IF(IF(LEN("="&amp;SUBSTITUTE(SUBSTITUTE(SUBSTITUTE(X271,"~","~~"),"*","~*"),"?","~?"))&lt;=255,COUNTIF(Results[結果識別鍵],"="&amp;SUBSTITUTE(SUBSTITUTE(SUBSTITUTE(X271,"~","~~"),"*","~*"),"?","~?")),COUNTIFS(Results[關聯鍵],"="&amp;SUBSTITUTE(SUBSTITUTE(SUBSTITUTE(H271,"~","~~"),"*","~*"),"?","~?"),Results[分析項目],"="&amp;SUBSTITUTE(SUBSTITUTE(SUBSTITUTE(A271,"~","~~"),"*","~*"),"?","~?")))&gt;1,"同關聯鍵測項重複","OK")))</f>
        <v/>
      </c>
      <c r="AB271" s="93">
        <f>IF(COUNTA($A271:$D271)=0,"",IF(OR(C271="",K271=""),"缺單位",IF(NOT(ISNUMBER(L271)),"單位不相容",IF(L271=1,"OK","已換算"))))</f>
        <v/>
      </c>
      <c r="AC271" s="93">
        <f>IF(COUNTA($A271:$D271)=0,"",IF('07_QAQC'!$C$3="","未選比較版本",IF(U271=0,IF(COUNTIFS(DB_05[標準鍵],W271)&gt;1,"標準鍵重複","未訂此介質／測項門檻"),IF(INDEX(DB_05[版本檢查],U271)&lt;&gt;"OK","標準主檔待核",IF(INDEX(DB_05[標準單位],U271)&lt;&gt;K271,"標準單位不符",IF(INDEX(DB_05[核對狀態],U271)="停用","停用",IF(F271="","缺採樣日期",IF(OR(AND(INDEX(DB_05[生效日],U271)&lt;&gt;"",F271&lt;INDEX(DB_05[生效日],U271)),AND(INDEX(DB_05[失效日],U271)&lt;&gt;"",F271&gt;INDEX(DB_05[失效日],U271))),"日期不適用",INDEX(DB_05[核對狀態],U271)))))))))</f>
        <v/>
      </c>
      <c r="AD271" s="93">
        <f>IF(COUNTA($A271:$D271)=0,"",IF(AC271="未訂此介質／測項門檻",AC271,IF(AC271&lt;&gt;"已核對","標準待核",IF(R271="","未訂管制值",IF(NOT(ISNUMBER(L271)),"單位待核",IF(N271="ND","無法判定（ND無界限）",IF(N271="NA","不適用",IF(Z271&lt;&gt;"OK",Z271,IF(N271="數值",IF(Q271&gt;=R271,"達管制值","未達管制值"),IF(OR(N271="&lt;",N271="&lt;="),IF(OR(Q271&lt;R271,AND(N271="&lt;",Q271=R271)),"未達管制值","無法判定"),IF(OR(N271="&gt;",N271="&gt;="),IF(Q271&gt;=R271,"達管制值","無法判定"),"格式待核")))))))))))</f>
        <v/>
      </c>
      <c r="AE271" s="93">
        <f>IF(COUNTA($A271:$D271)=0,"",IF(AC271="未訂此介質／測項門檻",AC271,IF(AC271&lt;&gt;"已核對","標準待核",IF(S271="","未訂監測值",IF(NOT(ISNUMBER(L271)),"單位待核",IF(N271="ND","無法判定（ND無界限）",IF(N271="NA","不適用",IF(Z271&lt;&gt;"OK",Z271,IF(N271="數值",IF(Q271&gt;=S271,"達監測值","未達監測值"),IF(OR(N271="&lt;",N271="&lt;="),IF(OR(Q271&lt;S271,AND(N271="&lt;",Q271=S271)),"未達監測值","無法判定"),IF(OR(N271="&gt;",N271="&gt;="),IF(Q271&gt;=S271,"達監測值","無法判定"),"格式待核")))))))))))</f>
        <v/>
      </c>
      <c r="AF271" s="93">
        <f>IF(COUNTA($A271:$D271)=0,"",IF(OR(E271="",A271="",B271="",C271=""),"缺必要欄位",IF(Y271&lt;&gt;"OK","樣品資料待補",IF(T271=0,"測項未建或重複",IF(INDEX(DB_04[啟用],T271)&lt;&gt;"是","測項停用",IF(AND(Z271&lt;&gt;"OK",Z271&lt;&gt;"不適用"),Z271,IF(AND(AB271&lt;&gt;"OK",AB271&lt;&gt;"已換算"),"單位待核",IF(AA271&lt;&gt;"OK",AA271,"OK"))))))))</f>
        <v/>
      </c>
      <c r="AG271" s="93">
        <f>IF(COUNTA($A271:$D271)=0,"",IF(N271="ND","ND取0",IF(OR(N271="&lt;",N271="&lt;="),"界限除以2",IF(N271="NA","不適用",IF(OR(N271="&gt;",N271="&gt;="),"保留界限數值","保留原數值")))))</f>
        <v/>
      </c>
      <c r="AH271" s="92">
        <f>IF(O271="","",IFERROR(_xlfn.NUMBERVALUE(O271,".",","),""))</f>
        <v/>
      </c>
      <c r="AI271" s="92">
        <f>IF(H271="","",IFERROR(MATCH(H271,Samples[樣品編號],0),0))</f>
        <v/>
      </c>
    </row>
    <row r="272">
      <c r="A272" s="27" t="inlineStr">
        <is>
          <t>ORP</t>
        </is>
      </c>
      <c r="B272" s="28" t="inlineStr">
        <is>
          <t>-75</t>
        </is>
      </c>
      <c r="C272" s="27" t="inlineStr">
        <is>
          <t>mV</t>
        </is>
      </c>
      <c r="D272" s="39" t="inlineStr">
        <is>
          <t>合成資料，非實測；method=field; reference_electrode=Ag/AgCl; calibration=verified</t>
        </is>
      </c>
      <c r="E272" s="29">
        <f>IF(OR(I272="",I272=0),"",IF(INDEX(Samples[監測點],I272)="","",INDEX(Samples[監測點],I272)))</f>
        <v/>
      </c>
      <c r="F272" s="90">
        <f>IF(OR(I272="",I272=0),"",IF(INDEX(Samples[採樣日期],I272)="","",INDEX(Samples[採樣日期],I272)))</f>
        <v/>
      </c>
      <c r="G272" s="91">
        <f>IF(OR(M272="",M272="NA",M272="N/A"),"",IF(OR(M272="ND",M272="N.D."),0,IFERROR(IF(OR(OR(ISNUMBER(SEARCH("%",O272)),ISNUMBER(SEARCH(" ",O272)),ISNUMBER(SEARCH(",",O272))),OR(SUBSTITUTE(SUBSTITUTE(SUBSTITUTE(SUBSTITUTE(SUBSTITUTE(SUBSTITUTE(SUBSTITUTE(SUBSTITUTE(SUBSTITUTE(SUBSTITUTE(SUBSTITUTE(SUBSTITUTE(SUBSTITUTE(SUBSTITUTE(SUBSTITUTE(SUBSTITUTE(SUBSTITUTE(SUBSTITUTE("x"&amp;M272,"0",""),"1",""),"2",""),"3",""),"4",""),"5",""),"6",""),"7",""),"8",""),"9",""),".",""),"E",""),"+",""),"-",""),"&lt;",""),"&gt;",""),"=","")," ","")&lt;&gt;"x",ISNUMBER(SEARCH("-",SUBSTITUTE(SUBSTITUTE("x"&amp;MID(M272,2,99),"E-","E"),"E+","E"))),ISNUMBER(SEARCH("+",SUBSTITUTE(SUBSTITUTE("x"&amp;MID(M272,2,99),"E-","E"),"E+","E"))))),"",IF(AND(OR(LEFT(M272,1)="&lt;",LEFT(M272,1)="&gt;"),IF(O272="",0,IF(ISNUMBER(AH272),AH272,NA()))&lt;0),"",IF(O272="",0,IF(ISNUMBER(AH272),AH272,NA()))/IF(LEFT(M272,1)="&lt;",2,1))),"")))</f>
        <v/>
      </c>
      <c r="H272" s="57" t="inlineStr">
        <is>
          <t>BH06-W_20260415_01</t>
        </is>
      </c>
      <c r="I272" s="92">
        <f>IF(OR(H272="",AI272=0),0,IF(INDEX(Samples[樣品重複筆數],AI272)=1,AI272,0))</f>
        <v/>
      </c>
      <c r="J272" s="92">
        <f>IF(OR(COUNTA($A272:$D272)=0,I272=0),"",IF(INDEX(Samples[介質],I272)="","",INDEX(Samples[介質],I272)))</f>
        <v/>
      </c>
      <c r="K272" s="92">
        <f>IF(OR(COUNTA($A272:$D272)=0,T272=0),"",IF(INDEX(DB_04[標準單位],T272)="","",INDEX(DB_04[標準單位],T272)))</f>
        <v/>
      </c>
      <c r="L272" s="92">
        <f>IF(COUNTA($A272:$D272)=0,"",IF(OR(C272="",K272=""),"",IF(C272=K272,1,IF(COUNTIFS(DB_06[換算鍵],C272&amp;"|"&amp;K272,DB_06[換算檢查],"OK")=1,INDEX(DB_06[乘數],MATCH(C272&amp;"|"&amp;K272,DB_06[換算鍵],0)),""))))</f>
        <v/>
      </c>
      <c r="M272" s="92">
        <f>UPPER(SUBSTITUTE(SUBSTITUTE(SUBSTITUTE(SUBSTITUTE(TRIM(B272&amp;""),"＜","&lt;"),"＞","&gt;"),"≤","&lt;="),"≥","&gt;="))</f>
        <v/>
      </c>
      <c r="N272" s="92">
        <f>IF(M272="","",IF(OR(M272="ND",M272="N.D."),"ND",IF(OR(M272="NA",M272="N/A",M272="N.A."),"NA",IF(OR(LEFT(M272,2)="&lt;=",LEFT(M272,2)="&gt;="),LEFT(M272,2),IF(OR(LEFT(M272,1)="&lt;",LEFT(M272,1)="&gt;"),LEFT(M272,1),"數值")))))</f>
        <v/>
      </c>
      <c r="O272" s="92">
        <f>IF(OR(N272="",N272="ND",N272="NA"),"",IF(N272="數值",M272,TRIM(MID(M272,LEN(N272)+1,99))))</f>
        <v/>
      </c>
      <c r="P272" s="92">
        <f>IF(O272="","",IFERROR(IF(OR(OR(ISNUMBER(SEARCH("%",O272)),ISNUMBER(SEARCH(" ",O272)),ISNUMBER(SEARCH(",",O272))),OR(SUBSTITUTE(SUBSTITUTE(SUBSTITUTE(SUBSTITUTE(SUBSTITUTE(SUBSTITUTE(SUBSTITUTE(SUBSTITUTE(SUBSTITUTE(SUBSTITUTE(SUBSTITUTE(SUBSTITUTE(SUBSTITUTE(SUBSTITUTE(SUBSTITUTE(SUBSTITUTE(SUBSTITUTE(SUBSTITUTE("x"&amp;O272,"0",""),"1",""),"2",""),"3",""),"4",""),"5",""),"6",""),"7",""),"8",""),"9",""),".",""),"E",""),"+",""),"-",""),"&lt;",""),"&gt;",""),"=","")," ","")&lt;&gt;"x",ISNUMBER(SEARCH("-",SUBSTITUTE(SUBSTITUTE("x"&amp;MID(O272,2,99),"E-","E"),"E+","E"))),ISNUMBER(SEARCH("+",SUBSTITUTE(SUBSTITUTE("x"&amp;MID(O272,2,99),"E-","E"),"E+","E"))))),"",IF(ISNUMBER(AH272),AH272,NA())),""))</f>
        <v/>
      </c>
      <c r="Q272" s="92">
        <f>IF(AND(ISNUMBER(L272),ISNUMBER(P272)),L272*P272,"")</f>
        <v/>
      </c>
      <c r="R272" s="92">
        <f>IF(OR(COUNTA($A272:$D272)=0,U272=0),"",IF(INDEX(DB_05[管制設定值],U272)="","",INDEX(DB_05[管制設定值],U272)))</f>
        <v/>
      </c>
      <c r="S272" s="92">
        <f>IF(OR(COUNTA($A272:$D272)=0,U272=0),"",IF(INDEX(DB_05[監測設定值],U272)="","",INDEX(DB_05[監測設定值],U272)))</f>
        <v/>
      </c>
      <c r="T272" s="92">
        <f>IF(COUNTA($A272:$D272)=0,"",IF(COUNTIFS(DB_04[測項鍵],V272)=1,MATCH(V272,DB_04[測項鍵],0),0))</f>
        <v/>
      </c>
      <c r="U272" s="92">
        <f>IF(COUNTA($A272:$D272)=0,"",IF(COUNTIFS(DB_05[標準鍵],W272)=1,MATCH(W272,DB_05[標準鍵],0),0))</f>
        <v/>
      </c>
      <c r="V272" s="92">
        <f>IF(OR(J272="",A272=""),"",J272&amp;"|"&amp;A272)</f>
        <v/>
      </c>
      <c r="W272" s="92">
        <f>IF(OR('07_QAQC'!$C$3="",V272=""),"",'07_QAQC'!$C$3&amp;"|"&amp;V272)</f>
        <v/>
      </c>
      <c r="X272" s="92">
        <f>IF(OR(H272="",A272=""),"",LEN(H272)&amp;":"&amp;H272&amp;LEN(A272)&amp;":"&amp;A272)</f>
        <v/>
      </c>
      <c r="Y272" s="93">
        <f>IF(COUNTA($A272:$D272)=0,"",IF(I272=0,"樣品未建或重複",IF(INDEX(Samples[樣品檢查],I272)="","OK",INDEX(Samples[樣品檢查],I272))))</f>
        <v/>
      </c>
      <c r="Z272" s="93">
        <f>IF(COUNTA($A272:$D272)=0,"",IF(B272="","缺原始值",IF(OR(B272="-",B272="--"),"無資料",IF(N272="NA","不適用",IF(N272="ND","OK",IF(NOT(ISNUMBER(P272)),"格式待核",IF(AND(N272&lt;&gt;"數值",P272&lt;0),"界限不得為負","OK")))))))</f>
        <v/>
      </c>
      <c r="AA272" s="93">
        <f>IF(COUNTA(A272:D272)=0,"",IF(OR(A272="",H272=""),"缺識別欄位",IF(IF(LEN("="&amp;SUBSTITUTE(SUBSTITUTE(SUBSTITUTE(X272,"~","~~"),"*","~*"),"?","~?"))&lt;=255,COUNTIF(Results[結果識別鍵],"="&amp;SUBSTITUTE(SUBSTITUTE(SUBSTITUTE(X272,"~","~~"),"*","~*"),"?","~?")),COUNTIFS(Results[關聯鍵],"="&amp;SUBSTITUTE(SUBSTITUTE(SUBSTITUTE(H272,"~","~~"),"*","~*"),"?","~?"),Results[分析項目],"="&amp;SUBSTITUTE(SUBSTITUTE(SUBSTITUTE(A272,"~","~~"),"*","~*"),"?","~?")))&gt;1,"同關聯鍵測項重複","OK")))</f>
        <v/>
      </c>
      <c r="AB272" s="93">
        <f>IF(COUNTA($A272:$D272)=0,"",IF(OR(C272="",K272=""),"缺單位",IF(NOT(ISNUMBER(L272)),"單位不相容",IF(L272=1,"OK","已換算"))))</f>
        <v/>
      </c>
      <c r="AC272" s="93">
        <f>IF(COUNTA($A272:$D272)=0,"",IF('07_QAQC'!$C$3="","未選比較版本",IF(U272=0,IF(COUNTIFS(DB_05[標準鍵],W272)&gt;1,"標準鍵重複","未訂此介質／測項門檻"),IF(INDEX(DB_05[版本檢查],U272)&lt;&gt;"OK","標準主檔待核",IF(INDEX(DB_05[標準單位],U272)&lt;&gt;K272,"標準單位不符",IF(INDEX(DB_05[核對狀態],U272)="停用","停用",IF(F272="","缺採樣日期",IF(OR(AND(INDEX(DB_05[生效日],U272)&lt;&gt;"",F272&lt;INDEX(DB_05[生效日],U272)),AND(INDEX(DB_05[失效日],U272)&lt;&gt;"",F272&gt;INDEX(DB_05[失效日],U272))),"日期不適用",INDEX(DB_05[核對狀態],U272)))))))))</f>
        <v/>
      </c>
      <c r="AD272" s="93">
        <f>IF(COUNTA($A272:$D272)=0,"",IF(AC272="未訂此介質／測項門檻",AC272,IF(AC272&lt;&gt;"已核對","標準待核",IF(R272="","未訂管制值",IF(NOT(ISNUMBER(L272)),"單位待核",IF(N272="ND","無法判定（ND無界限）",IF(N272="NA","不適用",IF(Z272&lt;&gt;"OK",Z272,IF(N272="數值",IF(Q272&gt;=R272,"達管制值","未達管制值"),IF(OR(N272="&lt;",N272="&lt;="),IF(OR(Q272&lt;R272,AND(N272="&lt;",Q272=R272)),"未達管制值","無法判定"),IF(OR(N272="&gt;",N272="&gt;="),IF(Q272&gt;=R272,"達管制值","無法判定"),"格式待核")))))))))))</f>
        <v/>
      </c>
      <c r="AE272" s="93">
        <f>IF(COUNTA($A272:$D272)=0,"",IF(AC272="未訂此介質／測項門檻",AC272,IF(AC272&lt;&gt;"已核對","標準待核",IF(S272="","未訂監測值",IF(NOT(ISNUMBER(L272)),"單位待核",IF(N272="ND","無法判定（ND無界限）",IF(N272="NA","不適用",IF(Z272&lt;&gt;"OK",Z272,IF(N272="數值",IF(Q272&gt;=S272,"達監測值","未達監測值"),IF(OR(N272="&lt;",N272="&lt;="),IF(OR(Q272&lt;S272,AND(N272="&lt;",Q272=S272)),"未達監測值","無法判定"),IF(OR(N272="&gt;",N272="&gt;="),IF(Q272&gt;=S272,"達監測值","無法判定"),"格式待核")))))))))))</f>
        <v/>
      </c>
      <c r="AF272" s="93">
        <f>IF(COUNTA($A272:$D272)=0,"",IF(OR(E272="",A272="",B272="",C272=""),"缺必要欄位",IF(Y272&lt;&gt;"OK","樣品資料待補",IF(T272=0,"測項未建或重複",IF(INDEX(DB_04[啟用],T272)&lt;&gt;"是","測項停用",IF(AND(Z272&lt;&gt;"OK",Z272&lt;&gt;"不適用"),Z272,IF(AND(AB272&lt;&gt;"OK",AB272&lt;&gt;"已換算"),"單位待核",IF(AA272&lt;&gt;"OK",AA272,"OK"))))))))</f>
        <v/>
      </c>
      <c r="AG272" s="93">
        <f>IF(COUNTA($A272:$D272)=0,"",IF(N272="ND","ND取0",IF(OR(N272="&lt;",N272="&lt;="),"界限除以2",IF(N272="NA","不適用",IF(OR(N272="&gt;",N272="&gt;="),"保留界限數值","保留原數值")))))</f>
        <v/>
      </c>
      <c r="AH272" s="92">
        <f>IF(O272="","",IFERROR(_xlfn.NUMBERVALUE(O272,".",","),""))</f>
        <v/>
      </c>
      <c r="AI272" s="92">
        <f>IF(H272="","",IFERROR(MATCH(H272,Samples[樣品編號],0),0))</f>
        <v/>
      </c>
    </row>
    <row r="273">
      <c r="A273" s="27" t="inlineStr">
        <is>
          <t>總有機碳</t>
        </is>
      </c>
      <c r="B273" s="28" t="inlineStr">
        <is>
          <t>3.3</t>
        </is>
      </c>
      <c r="C273" s="27" t="inlineStr">
        <is>
          <t>mg/L</t>
        </is>
      </c>
      <c r="D273" s="39" t="inlineStr">
        <is>
          <t>合成資料，非實測；method=lab</t>
        </is>
      </c>
      <c r="E273" s="29">
        <f>IF(OR(I273="",I273=0),"",IF(INDEX(Samples[監測點],I273)="","",INDEX(Samples[監測點],I273)))</f>
        <v/>
      </c>
      <c r="F273" s="90">
        <f>IF(OR(I273="",I273=0),"",IF(INDEX(Samples[採樣日期],I273)="","",INDEX(Samples[採樣日期],I273)))</f>
        <v/>
      </c>
      <c r="G273" s="91">
        <f>IF(OR(M273="",M273="NA",M273="N/A"),"",IF(OR(M273="ND",M273="N.D."),0,IFERROR(IF(OR(OR(ISNUMBER(SEARCH("%",O273)),ISNUMBER(SEARCH(" ",O273)),ISNUMBER(SEARCH(",",O273))),OR(SUBSTITUTE(SUBSTITUTE(SUBSTITUTE(SUBSTITUTE(SUBSTITUTE(SUBSTITUTE(SUBSTITUTE(SUBSTITUTE(SUBSTITUTE(SUBSTITUTE(SUBSTITUTE(SUBSTITUTE(SUBSTITUTE(SUBSTITUTE(SUBSTITUTE(SUBSTITUTE(SUBSTITUTE(SUBSTITUTE("x"&amp;M273,"0",""),"1",""),"2",""),"3",""),"4",""),"5",""),"6",""),"7",""),"8",""),"9",""),".",""),"E",""),"+",""),"-",""),"&lt;",""),"&gt;",""),"=","")," ","")&lt;&gt;"x",ISNUMBER(SEARCH("-",SUBSTITUTE(SUBSTITUTE("x"&amp;MID(M273,2,99),"E-","E"),"E+","E"))),ISNUMBER(SEARCH("+",SUBSTITUTE(SUBSTITUTE("x"&amp;MID(M273,2,99),"E-","E"),"E+","E"))))),"",IF(AND(OR(LEFT(M273,1)="&lt;",LEFT(M273,1)="&gt;"),IF(O273="",0,IF(ISNUMBER(AH273),AH273,NA()))&lt;0),"",IF(O273="",0,IF(ISNUMBER(AH273),AH273,NA()))/IF(LEFT(M273,1)="&lt;",2,1))),"")))</f>
        <v/>
      </c>
      <c r="H273" s="57" t="inlineStr">
        <is>
          <t>BH06-W_20260415_01</t>
        </is>
      </c>
      <c r="I273" s="92">
        <f>IF(OR(H273="",AI273=0),0,IF(INDEX(Samples[樣品重複筆數],AI273)=1,AI273,0))</f>
        <v/>
      </c>
      <c r="J273" s="92">
        <f>IF(OR(COUNTA($A273:$D273)=0,I273=0),"",IF(INDEX(Samples[介質],I273)="","",INDEX(Samples[介質],I273)))</f>
        <v/>
      </c>
      <c r="K273" s="92">
        <f>IF(OR(COUNTA($A273:$D273)=0,T273=0),"",IF(INDEX(DB_04[標準單位],T273)="","",INDEX(DB_04[標準單位],T273)))</f>
        <v/>
      </c>
      <c r="L273" s="92">
        <f>IF(COUNTA($A273:$D273)=0,"",IF(OR(C273="",K273=""),"",IF(C273=K273,1,IF(COUNTIFS(DB_06[換算鍵],C273&amp;"|"&amp;K273,DB_06[換算檢查],"OK")=1,INDEX(DB_06[乘數],MATCH(C273&amp;"|"&amp;K273,DB_06[換算鍵],0)),""))))</f>
        <v/>
      </c>
      <c r="M273" s="92">
        <f>UPPER(SUBSTITUTE(SUBSTITUTE(SUBSTITUTE(SUBSTITUTE(TRIM(B273&amp;""),"＜","&lt;"),"＞","&gt;"),"≤","&lt;="),"≥","&gt;="))</f>
        <v/>
      </c>
      <c r="N273" s="92">
        <f>IF(M273="","",IF(OR(M273="ND",M273="N.D."),"ND",IF(OR(M273="NA",M273="N/A",M273="N.A."),"NA",IF(OR(LEFT(M273,2)="&lt;=",LEFT(M273,2)="&gt;="),LEFT(M273,2),IF(OR(LEFT(M273,1)="&lt;",LEFT(M273,1)="&gt;"),LEFT(M273,1),"數值")))))</f>
        <v/>
      </c>
      <c r="O273" s="92">
        <f>IF(OR(N273="",N273="ND",N273="NA"),"",IF(N273="數值",M273,TRIM(MID(M273,LEN(N273)+1,99))))</f>
        <v/>
      </c>
      <c r="P273" s="92">
        <f>IF(O273="","",IFERROR(IF(OR(OR(ISNUMBER(SEARCH("%",O273)),ISNUMBER(SEARCH(" ",O273)),ISNUMBER(SEARCH(",",O273))),OR(SUBSTITUTE(SUBSTITUTE(SUBSTITUTE(SUBSTITUTE(SUBSTITUTE(SUBSTITUTE(SUBSTITUTE(SUBSTITUTE(SUBSTITUTE(SUBSTITUTE(SUBSTITUTE(SUBSTITUTE(SUBSTITUTE(SUBSTITUTE(SUBSTITUTE(SUBSTITUTE(SUBSTITUTE(SUBSTITUTE("x"&amp;O273,"0",""),"1",""),"2",""),"3",""),"4",""),"5",""),"6",""),"7",""),"8",""),"9",""),".",""),"E",""),"+",""),"-",""),"&lt;",""),"&gt;",""),"=","")," ","")&lt;&gt;"x",ISNUMBER(SEARCH("-",SUBSTITUTE(SUBSTITUTE("x"&amp;MID(O273,2,99),"E-","E"),"E+","E"))),ISNUMBER(SEARCH("+",SUBSTITUTE(SUBSTITUTE("x"&amp;MID(O273,2,99),"E-","E"),"E+","E"))))),"",IF(ISNUMBER(AH273),AH273,NA())),""))</f>
        <v/>
      </c>
      <c r="Q273" s="92">
        <f>IF(AND(ISNUMBER(L273),ISNUMBER(P273)),L273*P273,"")</f>
        <v/>
      </c>
      <c r="R273" s="92">
        <f>IF(OR(COUNTA($A273:$D273)=0,U273=0),"",IF(INDEX(DB_05[管制設定值],U273)="","",INDEX(DB_05[管制設定值],U273)))</f>
        <v/>
      </c>
      <c r="S273" s="92">
        <f>IF(OR(COUNTA($A273:$D273)=0,U273=0),"",IF(INDEX(DB_05[監測設定值],U273)="","",INDEX(DB_05[監測設定值],U273)))</f>
        <v/>
      </c>
      <c r="T273" s="92">
        <f>IF(COUNTA($A273:$D273)=0,"",IF(COUNTIFS(DB_04[測項鍵],V273)=1,MATCH(V273,DB_04[測項鍵],0),0))</f>
        <v/>
      </c>
      <c r="U273" s="92">
        <f>IF(COUNTA($A273:$D273)=0,"",IF(COUNTIFS(DB_05[標準鍵],W273)=1,MATCH(W273,DB_05[標準鍵],0),0))</f>
        <v/>
      </c>
      <c r="V273" s="92">
        <f>IF(OR(J273="",A273=""),"",J273&amp;"|"&amp;A273)</f>
        <v/>
      </c>
      <c r="W273" s="92">
        <f>IF(OR('07_QAQC'!$C$3="",V273=""),"",'07_QAQC'!$C$3&amp;"|"&amp;V273)</f>
        <v/>
      </c>
      <c r="X273" s="92">
        <f>IF(OR(H273="",A273=""),"",LEN(H273)&amp;":"&amp;H273&amp;LEN(A273)&amp;":"&amp;A273)</f>
        <v/>
      </c>
      <c r="Y273" s="93">
        <f>IF(COUNTA($A273:$D273)=0,"",IF(I273=0,"樣品未建或重複",IF(INDEX(Samples[樣品檢查],I273)="","OK",INDEX(Samples[樣品檢查],I273))))</f>
        <v/>
      </c>
      <c r="Z273" s="93">
        <f>IF(COUNTA($A273:$D273)=0,"",IF(B273="","缺原始值",IF(OR(B273="-",B273="--"),"無資料",IF(N273="NA","不適用",IF(N273="ND","OK",IF(NOT(ISNUMBER(P273)),"格式待核",IF(AND(N273&lt;&gt;"數值",P273&lt;0),"界限不得為負","OK")))))))</f>
        <v/>
      </c>
      <c r="AA273" s="93">
        <f>IF(COUNTA(A273:D273)=0,"",IF(OR(A273="",H273=""),"缺識別欄位",IF(IF(LEN("="&amp;SUBSTITUTE(SUBSTITUTE(SUBSTITUTE(X273,"~","~~"),"*","~*"),"?","~?"))&lt;=255,COUNTIF(Results[結果識別鍵],"="&amp;SUBSTITUTE(SUBSTITUTE(SUBSTITUTE(X273,"~","~~"),"*","~*"),"?","~?")),COUNTIFS(Results[關聯鍵],"="&amp;SUBSTITUTE(SUBSTITUTE(SUBSTITUTE(H273,"~","~~"),"*","~*"),"?","~?"),Results[分析項目],"="&amp;SUBSTITUTE(SUBSTITUTE(SUBSTITUTE(A273,"~","~~"),"*","~*"),"?","~?")))&gt;1,"同關聯鍵測項重複","OK")))</f>
        <v/>
      </c>
      <c r="AB273" s="93">
        <f>IF(COUNTA($A273:$D273)=0,"",IF(OR(C273="",K273=""),"缺單位",IF(NOT(ISNUMBER(L273)),"單位不相容",IF(L273=1,"OK","已換算"))))</f>
        <v/>
      </c>
      <c r="AC273" s="93">
        <f>IF(COUNTA($A273:$D273)=0,"",IF('07_QAQC'!$C$3="","未選比較版本",IF(U273=0,IF(COUNTIFS(DB_05[標準鍵],W273)&gt;1,"標準鍵重複","未訂此介質／測項門檻"),IF(INDEX(DB_05[版本檢查],U273)&lt;&gt;"OK","標準主檔待核",IF(INDEX(DB_05[標準單位],U273)&lt;&gt;K273,"標準單位不符",IF(INDEX(DB_05[核對狀態],U273)="停用","停用",IF(F273="","缺採樣日期",IF(OR(AND(INDEX(DB_05[生效日],U273)&lt;&gt;"",F273&lt;INDEX(DB_05[生效日],U273)),AND(INDEX(DB_05[失效日],U273)&lt;&gt;"",F273&gt;INDEX(DB_05[失效日],U273))),"日期不適用",INDEX(DB_05[核對狀態],U273)))))))))</f>
        <v/>
      </c>
      <c r="AD273" s="93">
        <f>IF(COUNTA($A273:$D273)=0,"",IF(AC273="未訂此介質／測項門檻",AC273,IF(AC273&lt;&gt;"已核對","標準待核",IF(R273="","未訂管制值",IF(NOT(ISNUMBER(L273)),"單位待核",IF(N273="ND","無法判定（ND無界限）",IF(N273="NA","不適用",IF(Z273&lt;&gt;"OK",Z273,IF(N273="數值",IF(Q273&gt;=R273,"達管制值","未達管制值"),IF(OR(N273="&lt;",N273="&lt;="),IF(OR(Q273&lt;R273,AND(N273="&lt;",Q273=R273)),"未達管制值","無法判定"),IF(OR(N273="&gt;",N273="&gt;="),IF(Q273&gt;=R273,"達管制值","無法判定"),"格式待核")))))))))))</f>
        <v/>
      </c>
      <c r="AE273" s="93">
        <f>IF(COUNTA($A273:$D273)=0,"",IF(AC273="未訂此介質／測項門檻",AC273,IF(AC273&lt;&gt;"已核對","標準待核",IF(S273="","未訂監測值",IF(NOT(ISNUMBER(L273)),"單位待核",IF(N273="ND","無法判定（ND無界限）",IF(N273="NA","不適用",IF(Z273&lt;&gt;"OK",Z273,IF(N273="數值",IF(Q273&gt;=S273,"達監測值","未達監測值"),IF(OR(N273="&lt;",N273="&lt;="),IF(OR(Q273&lt;S273,AND(N273="&lt;",Q273=S273)),"未達監測值","無法判定"),IF(OR(N273="&gt;",N273="&gt;="),IF(Q273&gt;=S273,"達監測值","無法判定"),"格式待核")))))))))))</f>
        <v/>
      </c>
      <c r="AF273" s="93">
        <f>IF(COUNTA($A273:$D273)=0,"",IF(OR(E273="",A273="",B273="",C273=""),"缺必要欄位",IF(Y273&lt;&gt;"OK","樣品資料待補",IF(T273=0,"測項未建或重複",IF(INDEX(DB_04[啟用],T273)&lt;&gt;"是","測項停用",IF(AND(Z273&lt;&gt;"OK",Z273&lt;&gt;"不適用"),Z273,IF(AND(AB273&lt;&gt;"OK",AB273&lt;&gt;"已換算"),"單位待核",IF(AA273&lt;&gt;"OK",AA273,"OK"))))))))</f>
        <v/>
      </c>
      <c r="AG273" s="93">
        <f>IF(COUNTA($A273:$D273)=0,"",IF(N273="ND","ND取0",IF(OR(N273="&lt;",N273="&lt;="),"界限除以2",IF(N273="NA","不適用",IF(OR(N273="&gt;",N273="&gt;="),"保留界限數值","保留原數值")))))</f>
        <v/>
      </c>
      <c r="AH273" s="92">
        <f>IF(O273="","",IFERROR(_xlfn.NUMBERVALUE(O273,".",","),""))</f>
        <v/>
      </c>
      <c r="AI273" s="92">
        <f>IF(H273="","",IFERROR(MATCH(H273,Samples[樣品編號],0),0))</f>
        <v/>
      </c>
    </row>
    <row r="274">
      <c r="A274" s="27" t="inlineStr">
        <is>
          <t>鋅</t>
        </is>
      </c>
      <c r="B274" s="28" t="inlineStr">
        <is>
          <t>176</t>
        </is>
      </c>
      <c r="C274" s="27" t="inlineStr">
        <is>
          <t>mg/kg</t>
        </is>
      </c>
      <c r="D274" s="39" t="inlineStr">
        <is>
          <t>合成資料，非實測；method=XRF; basis=dry</t>
        </is>
      </c>
      <c r="E274" s="29">
        <f>IF(OR(I274="",I274=0),"",IF(INDEX(Samples[監測點],I274)="","",INDEX(Samples[監測點],I274)))</f>
        <v/>
      </c>
      <c r="F274" s="90">
        <f>IF(OR(I274="",I274=0),"",IF(INDEX(Samples[採樣日期],I274)="","",INDEX(Samples[採樣日期],I274)))</f>
        <v/>
      </c>
      <c r="G274" s="91">
        <f>IF(OR(M274="",M274="NA",M274="N/A"),"",IF(OR(M274="ND",M274="N.D."),0,IFERROR(IF(OR(OR(ISNUMBER(SEARCH("%",O274)),ISNUMBER(SEARCH(" ",O274)),ISNUMBER(SEARCH(",",O274))),OR(SUBSTITUTE(SUBSTITUTE(SUBSTITUTE(SUBSTITUTE(SUBSTITUTE(SUBSTITUTE(SUBSTITUTE(SUBSTITUTE(SUBSTITUTE(SUBSTITUTE(SUBSTITUTE(SUBSTITUTE(SUBSTITUTE(SUBSTITUTE(SUBSTITUTE(SUBSTITUTE(SUBSTITUTE(SUBSTITUTE("x"&amp;M274,"0",""),"1",""),"2",""),"3",""),"4",""),"5",""),"6",""),"7",""),"8",""),"9",""),".",""),"E",""),"+",""),"-",""),"&lt;",""),"&gt;",""),"=","")," ","")&lt;&gt;"x",ISNUMBER(SEARCH("-",SUBSTITUTE(SUBSTITUTE("x"&amp;MID(M274,2,99),"E-","E"),"E+","E"))),ISNUMBER(SEARCH("+",SUBSTITUTE(SUBSTITUTE("x"&amp;MID(M274,2,99),"E-","E"),"E+","E"))))),"",IF(AND(OR(LEFT(M274,1)="&lt;",LEFT(M274,1)="&gt;"),IF(O274="",0,IF(ISNUMBER(AH274),AH274,NA()))&lt;0),"",IF(O274="",0,IF(ISNUMBER(AH274),AH274,NA()))/IF(LEFT(M274,1)="&lt;",2,1))),"")))</f>
        <v/>
      </c>
      <c r="H274" s="57" t="inlineStr">
        <is>
          <t>BH06-S_20260415_02</t>
        </is>
      </c>
      <c r="I274" s="92">
        <f>IF(OR(H274="",AI274=0),0,IF(INDEX(Samples[樣品重複筆數],AI274)=1,AI274,0))</f>
        <v/>
      </c>
      <c r="J274" s="92">
        <f>IF(OR(COUNTA($A274:$D274)=0,I274=0),"",IF(INDEX(Samples[介質],I274)="","",INDEX(Samples[介質],I274)))</f>
        <v/>
      </c>
      <c r="K274" s="92">
        <f>IF(OR(COUNTA($A274:$D274)=0,T274=0),"",IF(INDEX(DB_04[標準單位],T274)="","",INDEX(DB_04[標準單位],T274)))</f>
        <v/>
      </c>
      <c r="L274" s="92">
        <f>IF(COUNTA($A274:$D274)=0,"",IF(OR(C274="",K274=""),"",IF(C274=K274,1,IF(COUNTIFS(DB_06[換算鍵],C274&amp;"|"&amp;K274,DB_06[換算檢查],"OK")=1,INDEX(DB_06[乘數],MATCH(C274&amp;"|"&amp;K274,DB_06[換算鍵],0)),""))))</f>
        <v/>
      </c>
      <c r="M274" s="92">
        <f>UPPER(SUBSTITUTE(SUBSTITUTE(SUBSTITUTE(SUBSTITUTE(TRIM(B274&amp;""),"＜","&lt;"),"＞","&gt;"),"≤","&lt;="),"≥","&gt;="))</f>
        <v/>
      </c>
      <c r="N274" s="92">
        <f>IF(M274="","",IF(OR(M274="ND",M274="N.D."),"ND",IF(OR(M274="NA",M274="N/A",M274="N.A."),"NA",IF(OR(LEFT(M274,2)="&lt;=",LEFT(M274,2)="&gt;="),LEFT(M274,2),IF(OR(LEFT(M274,1)="&lt;",LEFT(M274,1)="&gt;"),LEFT(M274,1),"數值")))))</f>
        <v/>
      </c>
      <c r="O274" s="92">
        <f>IF(OR(N274="",N274="ND",N274="NA"),"",IF(N274="數值",M274,TRIM(MID(M274,LEN(N274)+1,99))))</f>
        <v/>
      </c>
      <c r="P274" s="92">
        <f>IF(O274="","",IFERROR(IF(OR(OR(ISNUMBER(SEARCH("%",O274)),ISNUMBER(SEARCH(" ",O274)),ISNUMBER(SEARCH(",",O274))),OR(SUBSTITUTE(SUBSTITUTE(SUBSTITUTE(SUBSTITUTE(SUBSTITUTE(SUBSTITUTE(SUBSTITUTE(SUBSTITUTE(SUBSTITUTE(SUBSTITUTE(SUBSTITUTE(SUBSTITUTE(SUBSTITUTE(SUBSTITUTE(SUBSTITUTE(SUBSTITUTE(SUBSTITUTE(SUBSTITUTE("x"&amp;O274,"0",""),"1",""),"2",""),"3",""),"4",""),"5",""),"6",""),"7",""),"8",""),"9",""),".",""),"E",""),"+",""),"-",""),"&lt;",""),"&gt;",""),"=","")," ","")&lt;&gt;"x",ISNUMBER(SEARCH("-",SUBSTITUTE(SUBSTITUTE("x"&amp;MID(O274,2,99),"E-","E"),"E+","E"))),ISNUMBER(SEARCH("+",SUBSTITUTE(SUBSTITUTE("x"&amp;MID(O274,2,99),"E-","E"),"E+","E"))))),"",IF(ISNUMBER(AH274),AH274,NA())),""))</f>
        <v/>
      </c>
      <c r="Q274" s="92">
        <f>IF(AND(ISNUMBER(L274),ISNUMBER(P274)),L274*P274,"")</f>
        <v/>
      </c>
      <c r="R274" s="92">
        <f>IF(OR(COUNTA($A274:$D274)=0,U274=0),"",IF(INDEX(DB_05[管制設定值],U274)="","",INDEX(DB_05[管制設定值],U274)))</f>
        <v/>
      </c>
      <c r="S274" s="92">
        <f>IF(OR(COUNTA($A274:$D274)=0,U274=0),"",IF(INDEX(DB_05[監測設定值],U274)="","",INDEX(DB_05[監測設定值],U274)))</f>
        <v/>
      </c>
      <c r="T274" s="92">
        <f>IF(COUNTA($A274:$D274)=0,"",IF(COUNTIFS(DB_04[測項鍵],V274)=1,MATCH(V274,DB_04[測項鍵],0),0))</f>
        <v/>
      </c>
      <c r="U274" s="92">
        <f>IF(COUNTA($A274:$D274)=0,"",IF(COUNTIFS(DB_05[標準鍵],W274)=1,MATCH(W274,DB_05[標準鍵],0),0))</f>
        <v/>
      </c>
      <c r="V274" s="92">
        <f>IF(OR(J274="",A274=""),"",J274&amp;"|"&amp;A274)</f>
        <v/>
      </c>
      <c r="W274" s="92">
        <f>IF(OR('07_QAQC'!$C$3="",V274=""),"",'07_QAQC'!$C$3&amp;"|"&amp;V274)</f>
        <v/>
      </c>
      <c r="X274" s="92">
        <f>IF(OR(H274="",A274=""),"",LEN(H274)&amp;":"&amp;H274&amp;LEN(A274)&amp;":"&amp;A274)</f>
        <v/>
      </c>
      <c r="Y274" s="93">
        <f>IF(COUNTA($A274:$D274)=0,"",IF(I274=0,"樣品未建或重複",IF(INDEX(Samples[樣品檢查],I274)="","OK",INDEX(Samples[樣品檢查],I274))))</f>
        <v/>
      </c>
      <c r="Z274" s="93">
        <f>IF(COUNTA($A274:$D274)=0,"",IF(B274="","缺原始值",IF(OR(B274="-",B274="--"),"無資料",IF(N274="NA","不適用",IF(N274="ND","OK",IF(NOT(ISNUMBER(P274)),"格式待核",IF(AND(N274&lt;&gt;"數值",P274&lt;0),"界限不得為負","OK")))))))</f>
        <v/>
      </c>
      <c r="AA274" s="93">
        <f>IF(COUNTA(A274:D274)=0,"",IF(OR(A274="",H274=""),"缺識別欄位",IF(IF(LEN("="&amp;SUBSTITUTE(SUBSTITUTE(SUBSTITUTE(X274,"~","~~"),"*","~*"),"?","~?"))&lt;=255,COUNTIF(Results[結果識別鍵],"="&amp;SUBSTITUTE(SUBSTITUTE(SUBSTITUTE(X274,"~","~~"),"*","~*"),"?","~?")),COUNTIFS(Results[關聯鍵],"="&amp;SUBSTITUTE(SUBSTITUTE(SUBSTITUTE(H274,"~","~~"),"*","~*"),"?","~?"),Results[分析項目],"="&amp;SUBSTITUTE(SUBSTITUTE(SUBSTITUTE(A274,"~","~~"),"*","~*"),"?","~?")))&gt;1,"同關聯鍵測項重複","OK")))</f>
        <v/>
      </c>
      <c r="AB274" s="93">
        <f>IF(COUNTA($A274:$D274)=0,"",IF(OR(C274="",K274=""),"缺單位",IF(NOT(ISNUMBER(L274)),"單位不相容",IF(L274=1,"OK","已換算"))))</f>
        <v/>
      </c>
      <c r="AC274" s="93">
        <f>IF(COUNTA($A274:$D274)=0,"",IF('07_QAQC'!$C$3="","未選比較版本",IF(U274=0,IF(COUNTIFS(DB_05[標準鍵],W274)&gt;1,"標準鍵重複","未訂此介質／測項門檻"),IF(INDEX(DB_05[版本檢查],U274)&lt;&gt;"OK","標準主檔待核",IF(INDEX(DB_05[標準單位],U274)&lt;&gt;K274,"標準單位不符",IF(INDEX(DB_05[核對狀態],U274)="停用","停用",IF(F274="","缺採樣日期",IF(OR(AND(INDEX(DB_05[生效日],U274)&lt;&gt;"",F274&lt;INDEX(DB_05[生效日],U274)),AND(INDEX(DB_05[失效日],U274)&lt;&gt;"",F274&gt;INDEX(DB_05[失效日],U274))),"日期不適用",INDEX(DB_05[核對狀態],U274)))))))))</f>
        <v/>
      </c>
      <c r="AD274" s="93">
        <f>IF(COUNTA($A274:$D274)=0,"",IF(AC274="未訂此介質／測項門檻",AC274,IF(AC274&lt;&gt;"已核對","標準待核",IF(R274="","未訂管制值",IF(NOT(ISNUMBER(L274)),"單位待核",IF(N274="ND","無法判定（ND無界限）",IF(N274="NA","不適用",IF(Z274&lt;&gt;"OK",Z274,IF(N274="數值",IF(Q274&gt;=R274,"達管制值","未達管制值"),IF(OR(N274="&lt;",N274="&lt;="),IF(OR(Q274&lt;R274,AND(N274="&lt;",Q274=R274)),"未達管制值","無法判定"),IF(OR(N274="&gt;",N274="&gt;="),IF(Q274&gt;=R274,"達管制值","無法判定"),"格式待核")))))))))))</f>
        <v/>
      </c>
      <c r="AE274" s="93">
        <f>IF(COUNTA($A274:$D274)=0,"",IF(AC274="未訂此介質／測項門檻",AC274,IF(AC274&lt;&gt;"已核對","標準待核",IF(S274="","未訂監測值",IF(NOT(ISNUMBER(L274)),"單位待核",IF(N274="ND","無法判定（ND無界限）",IF(N274="NA","不適用",IF(Z274&lt;&gt;"OK",Z274,IF(N274="數值",IF(Q274&gt;=S274,"達監測值","未達監測值"),IF(OR(N274="&lt;",N274="&lt;="),IF(OR(Q274&lt;S274,AND(N274="&lt;",Q274=S274)),"未達監測值","無法判定"),IF(OR(N274="&gt;",N274="&gt;="),IF(Q274&gt;=S274,"達監測值","無法判定"),"格式待核")))))))))))</f>
        <v/>
      </c>
      <c r="AF274" s="93">
        <f>IF(COUNTA($A274:$D274)=0,"",IF(OR(E274="",A274="",B274="",C274=""),"缺必要欄位",IF(Y274&lt;&gt;"OK","樣品資料待補",IF(T274=0,"測項未建或重複",IF(INDEX(DB_04[啟用],T274)&lt;&gt;"是","測項停用",IF(AND(Z274&lt;&gt;"OK",Z274&lt;&gt;"不適用"),Z274,IF(AND(AB274&lt;&gt;"OK",AB274&lt;&gt;"已換算"),"單位待核",IF(AA274&lt;&gt;"OK",AA274,"OK"))))))))</f>
        <v/>
      </c>
      <c r="AG274" s="93">
        <f>IF(COUNTA($A274:$D274)=0,"",IF(N274="ND","ND取0",IF(OR(N274="&lt;",N274="&lt;="),"界限除以2",IF(N274="NA","不適用",IF(OR(N274="&gt;",N274="&gt;="),"保留界限數值","保留原數值")))))</f>
        <v/>
      </c>
      <c r="AH274" s="92">
        <f>IF(O274="","",IFERROR(_xlfn.NUMBERVALUE(O274,".",","),""))</f>
        <v/>
      </c>
      <c r="AI274" s="92">
        <f>IF(H274="","",IFERROR(MATCH(H274,Samples[樣品編號],0),0))</f>
        <v/>
      </c>
    </row>
    <row r="275">
      <c r="A275" s="27" t="inlineStr">
        <is>
          <t>總有機碳</t>
        </is>
      </c>
      <c r="B275" s="28" t="inlineStr">
        <is>
          <t>0.59</t>
        </is>
      </c>
      <c r="C275" s="27" t="inlineStr">
        <is>
          <t>%</t>
        </is>
      </c>
      <c r="D275" s="39" t="inlineStr">
        <is>
          <t>合成資料，非實測；method=lab; basis=dry</t>
        </is>
      </c>
      <c r="E275" s="29">
        <f>IF(OR(I275="",I275=0),"",IF(INDEX(Samples[監測點],I275)="","",INDEX(Samples[監測點],I275)))</f>
        <v/>
      </c>
      <c r="F275" s="90">
        <f>IF(OR(I275="",I275=0),"",IF(INDEX(Samples[採樣日期],I275)="","",INDEX(Samples[採樣日期],I275)))</f>
        <v/>
      </c>
      <c r="G275" s="91">
        <f>IF(OR(M275="",M275="NA",M275="N/A"),"",IF(OR(M275="ND",M275="N.D."),0,IFERROR(IF(OR(OR(ISNUMBER(SEARCH("%",O275)),ISNUMBER(SEARCH(" ",O275)),ISNUMBER(SEARCH(",",O275))),OR(SUBSTITUTE(SUBSTITUTE(SUBSTITUTE(SUBSTITUTE(SUBSTITUTE(SUBSTITUTE(SUBSTITUTE(SUBSTITUTE(SUBSTITUTE(SUBSTITUTE(SUBSTITUTE(SUBSTITUTE(SUBSTITUTE(SUBSTITUTE(SUBSTITUTE(SUBSTITUTE(SUBSTITUTE(SUBSTITUTE("x"&amp;M275,"0",""),"1",""),"2",""),"3",""),"4",""),"5",""),"6",""),"7",""),"8",""),"9",""),".",""),"E",""),"+",""),"-",""),"&lt;",""),"&gt;",""),"=","")," ","")&lt;&gt;"x",ISNUMBER(SEARCH("-",SUBSTITUTE(SUBSTITUTE("x"&amp;MID(M275,2,99),"E-","E"),"E+","E"))),ISNUMBER(SEARCH("+",SUBSTITUTE(SUBSTITUTE("x"&amp;MID(M275,2,99),"E-","E"),"E+","E"))))),"",IF(AND(OR(LEFT(M275,1)="&lt;",LEFT(M275,1)="&gt;"),IF(O275="",0,IF(ISNUMBER(AH275),AH275,NA()))&lt;0),"",IF(O275="",0,IF(ISNUMBER(AH275),AH275,NA()))/IF(LEFT(M275,1)="&lt;",2,1))),"")))</f>
        <v/>
      </c>
      <c r="H275" s="57" t="inlineStr">
        <is>
          <t>BH06-S_20260415_02</t>
        </is>
      </c>
      <c r="I275" s="92">
        <f>IF(OR(H275="",AI275=0),0,IF(INDEX(Samples[樣品重複筆數],AI275)=1,AI275,0))</f>
        <v/>
      </c>
      <c r="J275" s="92">
        <f>IF(OR(COUNTA($A275:$D275)=0,I275=0),"",IF(INDEX(Samples[介質],I275)="","",INDEX(Samples[介質],I275)))</f>
        <v/>
      </c>
      <c r="K275" s="92">
        <f>IF(OR(COUNTA($A275:$D275)=0,T275=0),"",IF(INDEX(DB_04[標準單位],T275)="","",INDEX(DB_04[標準單位],T275)))</f>
        <v/>
      </c>
      <c r="L275" s="92">
        <f>IF(COUNTA($A275:$D275)=0,"",IF(OR(C275="",K275=""),"",IF(C275=K275,1,IF(COUNTIFS(DB_06[換算鍵],C275&amp;"|"&amp;K275,DB_06[換算檢查],"OK")=1,INDEX(DB_06[乘數],MATCH(C275&amp;"|"&amp;K275,DB_06[換算鍵],0)),""))))</f>
        <v/>
      </c>
      <c r="M275" s="92">
        <f>UPPER(SUBSTITUTE(SUBSTITUTE(SUBSTITUTE(SUBSTITUTE(TRIM(B275&amp;""),"＜","&lt;"),"＞","&gt;"),"≤","&lt;="),"≥","&gt;="))</f>
        <v/>
      </c>
      <c r="N275" s="92">
        <f>IF(M275="","",IF(OR(M275="ND",M275="N.D."),"ND",IF(OR(M275="NA",M275="N/A",M275="N.A."),"NA",IF(OR(LEFT(M275,2)="&lt;=",LEFT(M275,2)="&gt;="),LEFT(M275,2),IF(OR(LEFT(M275,1)="&lt;",LEFT(M275,1)="&gt;"),LEFT(M275,1),"數值")))))</f>
        <v/>
      </c>
      <c r="O275" s="92">
        <f>IF(OR(N275="",N275="ND",N275="NA"),"",IF(N275="數值",M275,TRIM(MID(M275,LEN(N275)+1,99))))</f>
        <v/>
      </c>
      <c r="P275" s="92">
        <f>IF(O275="","",IFERROR(IF(OR(OR(ISNUMBER(SEARCH("%",O275)),ISNUMBER(SEARCH(" ",O275)),ISNUMBER(SEARCH(",",O275))),OR(SUBSTITUTE(SUBSTITUTE(SUBSTITUTE(SUBSTITUTE(SUBSTITUTE(SUBSTITUTE(SUBSTITUTE(SUBSTITUTE(SUBSTITUTE(SUBSTITUTE(SUBSTITUTE(SUBSTITUTE(SUBSTITUTE(SUBSTITUTE(SUBSTITUTE(SUBSTITUTE(SUBSTITUTE(SUBSTITUTE("x"&amp;O275,"0",""),"1",""),"2",""),"3",""),"4",""),"5",""),"6",""),"7",""),"8",""),"9",""),".",""),"E",""),"+",""),"-",""),"&lt;",""),"&gt;",""),"=","")," ","")&lt;&gt;"x",ISNUMBER(SEARCH("-",SUBSTITUTE(SUBSTITUTE("x"&amp;MID(O275,2,99),"E-","E"),"E+","E"))),ISNUMBER(SEARCH("+",SUBSTITUTE(SUBSTITUTE("x"&amp;MID(O275,2,99),"E-","E"),"E+","E"))))),"",IF(ISNUMBER(AH275),AH275,NA())),""))</f>
        <v/>
      </c>
      <c r="Q275" s="92">
        <f>IF(AND(ISNUMBER(L275),ISNUMBER(P275)),L275*P275,"")</f>
        <v/>
      </c>
      <c r="R275" s="92">
        <f>IF(OR(COUNTA($A275:$D275)=0,U275=0),"",IF(INDEX(DB_05[管制設定值],U275)="","",INDEX(DB_05[管制設定值],U275)))</f>
        <v/>
      </c>
      <c r="S275" s="92">
        <f>IF(OR(COUNTA($A275:$D275)=0,U275=0),"",IF(INDEX(DB_05[監測設定值],U275)="","",INDEX(DB_05[監測設定值],U275)))</f>
        <v/>
      </c>
      <c r="T275" s="92">
        <f>IF(COUNTA($A275:$D275)=0,"",IF(COUNTIFS(DB_04[測項鍵],V275)=1,MATCH(V275,DB_04[測項鍵],0),0))</f>
        <v/>
      </c>
      <c r="U275" s="92">
        <f>IF(COUNTA($A275:$D275)=0,"",IF(COUNTIFS(DB_05[標準鍵],W275)=1,MATCH(W275,DB_05[標準鍵],0),0))</f>
        <v/>
      </c>
      <c r="V275" s="92">
        <f>IF(OR(J275="",A275=""),"",J275&amp;"|"&amp;A275)</f>
        <v/>
      </c>
      <c r="W275" s="92">
        <f>IF(OR('07_QAQC'!$C$3="",V275=""),"",'07_QAQC'!$C$3&amp;"|"&amp;V275)</f>
        <v/>
      </c>
      <c r="X275" s="92">
        <f>IF(OR(H275="",A275=""),"",LEN(H275)&amp;":"&amp;H275&amp;LEN(A275)&amp;":"&amp;A275)</f>
        <v/>
      </c>
      <c r="Y275" s="93">
        <f>IF(COUNTA($A275:$D275)=0,"",IF(I275=0,"樣品未建或重複",IF(INDEX(Samples[樣品檢查],I275)="","OK",INDEX(Samples[樣品檢查],I275))))</f>
        <v/>
      </c>
      <c r="Z275" s="93">
        <f>IF(COUNTA($A275:$D275)=0,"",IF(B275="","缺原始值",IF(OR(B275="-",B275="--"),"無資料",IF(N275="NA","不適用",IF(N275="ND","OK",IF(NOT(ISNUMBER(P275)),"格式待核",IF(AND(N275&lt;&gt;"數值",P275&lt;0),"界限不得為負","OK")))))))</f>
        <v/>
      </c>
      <c r="AA275" s="93">
        <f>IF(COUNTA(A275:D275)=0,"",IF(OR(A275="",H275=""),"缺識別欄位",IF(IF(LEN("="&amp;SUBSTITUTE(SUBSTITUTE(SUBSTITUTE(X275,"~","~~"),"*","~*"),"?","~?"))&lt;=255,COUNTIF(Results[結果識別鍵],"="&amp;SUBSTITUTE(SUBSTITUTE(SUBSTITUTE(X275,"~","~~"),"*","~*"),"?","~?")),COUNTIFS(Results[關聯鍵],"="&amp;SUBSTITUTE(SUBSTITUTE(SUBSTITUTE(H275,"~","~~"),"*","~*"),"?","~?"),Results[分析項目],"="&amp;SUBSTITUTE(SUBSTITUTE(SUBSTITUTE(A275,"~","~~"),"*","~*"),"?","~?")))&gt;1,"同關聯鍵測項重複","OK")))</f>
        <v/>
      </c>
      <c r="AB275" s="93">
        <f>IF(COUNTA($A275:$D275)=0,"",IF(OR(C275="",K275=""),"缺單位",IF(NOT(ISNUMBER(L275)),"單位不相容",IF(L275=1,"OK","已換算"))))</f>
        <v/>
      </c>
      <c r="AC275" s="93">
        <f>IF(COUNTA($A275:$D275)=0,"",IF('07_QAQC'!$C$3="","未選比較版本",IF(U275=0,IF(COUNTIFS(DB_05[標準鍵],W275)&gt;1,"標準鍵重複","未訂此介質／測項門檻"),IF(INDEX(DB_05[版本檢查],U275)&lt;&gt;"OK","標準主檔待核",IF(INDEX(DB_05[標準單位],U275)&lt;&gt;K275,"標準單位不符",IF(INDEX(DB_05[核對狀態],U275)="停用","停用",IF(F275="","缺採樣日期",IF(OR(AND(INDEX(DB_05[生效日],U275)&lt;&gt;"",F275&lt;INDEX(DB_05[生效日],U275)),AND(INDEX(DB_05[失效日],U275)&lt;&gt;"",F275&gt;INDEX(DB_05[失效日],U275))),"日期不適用",INDEX(DB_05[核對狀態],U275)))))))))</f>
        <v/>
      </c>
      <c r="AD275" s="93">
        <f>IF(COUNTA($A275:$D275)=0,"",IF(AC275="未訂此介質／測項門檻",AC275,IF(AC275&lt;&gt;"已核對","標準待核",IF(R275="","未訂管制值",IF(NOT(ISNUMBER(L275)),"單位待核",IF(N275="ND","無法判定（ND無界限）",IF(N275="NA","不適用",IF(Z275&lt;&gt;"OK",Z275,IF(N275="數值",IF(Q275&gt;=R275,"達管制值","未達管制值"),IF(OR(N275="&lt;",N275="&lt;="),IF(OR(Q275&lt;R275,AND(N275="&lt;",Q275=R275)),"未達管制值","無法判定"),IF(OR(N275="&gt;",N275="&gt;="),IF(Q275&gt;=R275,"達管制值","無法判定"),"格式待核")))))))))))</f>
        <v/>
      </c>
      <c r="AE275" s="93">
        <f>IF(COUNTA($A275:$D275)=0,"",IF(AC275="未訂此介質／測項門檻",AC275,IF(AC275&lt;&gt;"已核對","標準待核",IF(S275="","未訂監測值",IF(NOT(ISNUMBER(L275)),"單位待核",IF(N275="ND","無法判定（ND無界限）",IF(N275="NA","不適用",IF(Z275&lt;&gt;"OK",Z275,IF(N275="數值",IF(Q275&gt;=S275,"達監測值","未達監測值"),IF(OR(N275="&lt;",N275="&lt;="),IF(OR(Q275&lt;S275,AND(N275="&lt;",Q275=S275)),"未達監測值","無法判定"),IF(OR(N275="&gt;",N275="&gt;="),IF(Q275&gt;=S275,"達監測值","無法判定"),"格式待核")))))))))))</f>
        <v/>
      </c>
      <c r="AF275" s="93">
        <f>IF(COUNTA($A275:$D275)=0,"",IF(OR(E275="",A275="",B275="",C275=""),"缺必要欄位",IF(Y275&lt;&gt;"OK","樣品資料待補",IF(T275=0,"測項未建或重複",IF(INDEX(DB_04[啟用],T275)&lt;&gt;"是","測項停用",IF(AND(Z275&lt;&gt;"OK",Z275&lt;&gt;"不適用"),Z275,IF(AND(AB275&lt;&gt;"OK",AB275&lt;&gt;"已換算"),"單位待核",IF(AA275&lt;&gt;"OK",AA275,"OK"))))))))</f>
        <v/>
      </c>
      <c r="AG275" s="93">
        <f>IF(COUNTA($A275:$D275)=0,"",IF(N275="ND","ND取0",IF(OR(N275="&lt;",N275="&lt;="),"界限除以2",IF(N275="NA","不適用",IF(OR(N275="&gt;",N275="&gt;="),"保留界限數值","保留原數值")))))</f>
        <v/>
      </c>
      <c r="AH275" s="92">
        <f>IF(O275="","",IFERROR(_xlfn.NUMBERVALUE(O275,".",","),""))</f>
        <v/>
      </c>
      <c r="AI275" s="92">
        <f>IF(H275="","",IFERROR(MATCH(H275,Samples[樣品編號],0),0))</f>
        <v/>
      </c>
    </row>
    <row r="276">
      <c r="A276" s="27" t="inlineStr">
        <is>
          <t>pH</t>
        </is>
      </c>
      <c r="B276" s="28" t="inlineStr">
        <is>
          <t>7.0</t>
        </is>
      </c>
      <c r="C276" s="27" t="inlineStr">
        <is>
          <t>無因次</t>
        </is>
      </c>
      <c r="D276" s="39" t="inlineStr">
        <is>
          <t>合成資料，非實測；method=field</t>
        </is>
      </c>
      <c r="E276" s="29">
        <f>IF(OR(I276="",I276=0),"",IF(INDEX(Samples[監測點],I276)="","",INDEX(Samples[監測點],I276)))</f>
        <v/>
      </c>
      <c r="F276" s="90">
        <f>IF(OR(I276="",I276=0),"",IF(INDEX(Samples[採樣日期],I276)="","",INDEX(Samples[採樣日期],I276)))</f>
        <v/>
      </c>
      <c r="G276" s="91">
        <f>IF(OR(M276="",M276="NA",M276="N/A"),"",IF(OR(M276="ND",M276="N.D."),0,IFERROR(IF(OR(OR(ISNUMBER(SEARCH("%",O276)),ISNUMBER(SEARCH(" ",O276)),ISNUMBER(SEARCH(",",O276))),OR(SUBSTITUTE(SUBSTITUTE(SUBSTITUTE(SUBSTITUTE(SUBSTITUTE(SUBSTITUTE(SUBSTITUTE(SUBSTITUTE(SUBSTITUTE(SUBSTITUTE(SUBSTITUTE(SUBSTITUTE(SUBSTITUTE(SUBSTITUTE(SUBSTITUTE(SUBSTITUTE(SUBSTITUTE(SUBSTITUTE("x"&amp;M276,"0",""),"1",""),"2",""),"3",""),"4",""),"5",""),"6",""),"7",""),"8",""),"9",""),".",""),"E",""),"+",""),"-",""),"&lt;",""),"&gt;",""),"=","")," ","")&lt;&gt;"x",ISNUMBER(SEARCH("-",SUBSTITUTE(SUBSTITUTE("x"&amp;MID(M276,2,99),"E-","E"),"E+","E"))),ISNUMBER(SEARCH("+",SUBSTITUTE(SUBSTITUTE("x"&amp;MID(M276,2,99),"E-","E"),"E+","E"))))),"",IF(AND(OR(LEFT(M276,1)="&lt;",LEFT(M276,1)="&gt;"),IF(O276="",0,IF(ISNUMBER(AH276),AH276,NA()))&lt;0),"",IF(O276="",0,IF(ISNUMBER(AH276),AH276,NA()))/IF(LEFT(M276,1)="&lt;",2,1))),"")))</f>
        <v/>
      </c>
      <c r="H276" s="57" t="inlineStr">
        <is>
          <t>BH06-W_20260415_02</t>
        </is>
      </c>
      <c r="I276" s="92">
        <f>IF(OR(H276="",AI276=0),0,IF(INDEX(Samples[樣品重複筆數],AI276)=1,AI276,0))</f>
        <v/>
      </c>
      <c r="J276" s="92">
        <f>IF(OR(COUNTA($A276:$D276)=0,I276=0),"",IF(INDEX(Samples[介質],I276)="","",INDEX(Samples[介質],I276)))</f>
        <v/>
      </c>
      <c r="K276" s="92">
        <f>IF(OR(COUNTA($A276:$D276)=0,T276=0),"",IF(INDEX(DB_04[標準單位],T276)="","",INDEX(DB_04[標準單位],T276)))</f>
        <v/>
      </c>
      <c r="L276" s="92">
        <f>IF(COUNTA($A276:$D276)=0,"",IF(OR(C276="",K276=""),"",IF(C276=K276,1,IF(COUNTIFS(DB_06[換算鍵],C276&amp;"|"&amp;K276,DB_06[換算檢查],"OK")=1,INDEX(DB_06[乘數],MATCH(C276&amp;"|"&amp;K276,DB_06[換算鍵],0)),""))))</f>
        <v/>
      </c>
      <c r="M276" s="92">
        <f>UPPER(SUBSTITUTE(SUBSTITUTE(SUBSTITUTE(SUBSTITUTE(TRIM(B276&amp;""),"＜","&lt;"),"＞","&gt;"),"≤","&lt;="),"≥","&gt;="))</f>
        <v/>
      </c>
      <c r="N276" s="92">
        <f>IF(M276="","",IF(OR(M276="ND",M276="N.D."),"ND",IF(OR(M276="NA",M276="N/A",M276="N.A."),"NA",IF(OR(LEFT(M276,2)="&lt;=",LEFT(M276,2)="&gt;="),LEFT(M276,2),IF(OR(LEFT(M276,1)="&lt;",LEFT(M276,1)="&gt;"),LEFT(M276,1),"數值")))))</f>
        <v/>
      </c>
      <c r="O276" s="92">
        <f>IF(OR(N276="",N276="ND",N276="NA"),"",IF(N276="數值",M276,TRIM(MID(M276,LEN(N276)+1,99))))</f>
        <v/>
      </c>
      <c r="P276" s="92">
        <f>IF(O276="","",IFERROR(IF(OR(OR(ISNUMBER(SEARCH("%",O276)),ISNUMBER(SEARCH(" ",O276)),ISNUMBER(SEARCH(",",O276))),OR(SUBSTITUTE(SUBSTITUTE(SUBSTITUTE(SUBSTITUTE(SUBSTITUTE(SUBSTITUTE(SUBSTITUTE(SUBSTITUTE(SUBSTITUTE(SUBSTITUTE(SUBSTITUTE(SUBSTITUTE(SUBSTITUTE(SUBSTITUTE(SUBSTITUTE(SUBSTITUTE(SUBSTITUTE(SUBSTITUTE("x"&amp;O276,"0",""),"1",""),"2",""),"3",""),"4",""),"5",""),"6",""),"7",""),"8",""),"9",""),".",""),"E",""),"+",""),"-",""),"&lt;",""),"&gt;",""),"=","")," ","")&lt;&gt;"x",ISNUMBER(SEARCH("-",SUBSTITUTE(SUBSTITUTE("x"&amp;MID(O276,2,99),"E-","E"),"E+","E"))),ISNUMBER(SEARCH("+",SUBSTITUTE(SUBSTITUTE("x"&amp;MID(O276,2,99),"E-","E"),"E+","E"))))),"",IF(ISNUMBER(AH276),AH276,NA())),""))</f>
        <v/>
      </c>
      <c r="Q276" s="92">
        <f>IF(AND(ISNUMBER(L276),ISNUMBER(P276)),L276*P276,"")</f>
        <v/>
      </c>
      <c r="R276" s="92">
        <f>IF(OR(COUNTA($A276:$D276)=0,U276=0),"",IF(INDEX(DB_05[管制設定值],U276)="","",INDEX(DB_05[管制設定值],U276)))</f>
        <v/>
      </c>
      <c r="S276" s="92">
        <f>IF(OR(COUNTA($A276:$D276)=0,U276=0),"",IF(INDEX(DB_05[監測設定值],U276)="","",INDEX(DB_05[監測設定值],U276)))</f>
        <v/>
      </c>
      <c r="T276" s="92">
        <f>IF(COUNTA($A276:$D276)=0,"",IF(COUNTIFS(DB_04[測項鍵],V276)=1,MATCH(V276,DB_04[測項鍵],0),0))</f>
        <v/>
      </c>
      <c r="U276" s="92">
        <f>IF(COUNTA($A276:$D276)=0,"",IF(COUNTIFS(DB_05[標準鍵],W276)=1,MATCH(W276,DB_05[標準鍵],0),0))</f>
        <v/>
      </c>
      <c r="V276" s="92">
        <f>IF(OR(J276="",A276=""),"",J276&amp;"|"&amp;A276)</f>
        <v/>
      </c>
      <c r="W276" s="92">
        <f>IF(OR('07_QAQC'!$C$3="",V276=""),"",'07_QAQC'!$C$3&amp;"|"&amp;V276)</f>
        <v/>
      </c>
      <c r="X276" s="92">
        <f>IF(OR(H276="",A276=""),"",LEN(H276)&amp;":"&amp;H276&amp;LEN(A276)&amp;":"&amp;A276)</f>
        <v/>
      </c>
      <c r="Y276" s="93">
        <f>IF(COUNTA($A276:$D276)=0,"",IF(I276=0,"樣品未建或重複",IF(INDEX(Samples[樣品檢查],I276)="","OK",INDEX(Samples[樣品檢查],I276))))</f>
        <v/>
      </c>
      <c r="Z276" s="93">
        <f>IF(COUNTA($A276:$D276)=0,"",IF(B276="","缺原始值",IF(OR(B276="-",B276="--"),"無資料",IF(N276="NA","不適用",IF(N276="ND","OK",IF(NOT(ISNUMBER(P276)),"格式待核",IF(AND(N276&lt;&gt;"數值",P276&lt;0),"界限不得為負","OK")))))))</f>
        <v/>
      </c>
      <c r="AA276" s="93">
        <f>IF(COUNTA(A276:D276)=0,"",IF(OR(A276="",H276=""),"缺識別欄位",IF(IF(LEN("="&amp;SUBSTITUTE(SUBSTITUTE(SUBSTITUTE(X276,"~","~~"),"*","~*"),"?","~?"))&lt;=255,COUNTIF(Results[結果識別鍵],"="&amp;SUBSTITUTE(SUBSTITUTE(SUBSTITUTE(X276,"~","~~"),"*","~*"),"?","~?")),COUNTIFS(Results[關聯鍵],"="&amp;SUBSTITUTE(SUBSTITUTE(SUBSTITUTE(H276,"~","~~"),"*","~*"),"?","~?"),Results[分析項目],"="&amp;SUBSTITUTE(SUBSTITUTE(SUBSTITUTE(A276,"~","~~"),"*","~*"),"?","~?")))&gt;1,"同關聯鍵測項重複","OK")))</f>
        <v/>
      </c>
      <c r="AB276" s="93">
        <f>IF(COUNTA($A276:$D276)=0,"",IF(OR(C276="",K276=""),"缺單位",IF(NOT(ISNUMBER(L276)),"單位不相容",IF(L276=1,"OK","已換算"))))</f>
        <v/>
      </c>
      <c r="AC276" s="93">
        <f>IF(COUNTA($A276:$D276)=0,"",IF('07_QAQC'!$C$3="","未選比較版本",IF(U276=0,IF(COUNTIFS(DB_05[標準鍵],W276)&gt;1,"標準鍵重複","未訂此介質／測項門檻"),IF(INDEX(DB_05[版本檢查],U276)&lt;&gt;"OK","標準主檔待核",IF(INDEX(DB_05[標準單位],U276)&lt;&gt;K276,"標準單位不符",IF(INDEX(DB_05[核對狀態],U276)="停用","停用",IF(F276="","缺採樣日期",IF(OR(AND(INDEX(DB_05[生效日],U276)&lt;&gt;"",F276&lt;INDEX(DB_05[生效日],U276)),AND(INDEX(DB_05[失效日],U276)&lt;&gt;"",F276&gt;INDEX(DB_05[失效日],U276))),"日期不適用",INDEX(DB_05[核對狀態],U276)))))))))</f>
        <v/>
      </c>
      <c r="AD276" s="93">
        <f>IF(COUNTA($A276:$D276)=0,"",IF(AC276="未訂此介質／測項門檻",AC276,IF(AC276&lt;&gt;"已核對","標準待核",IF(R276="","未訂管制值",IF(NOT(ISNUMBER(L276)),"單位待核",IF(N276="ND","無法判定（ND無界限）",IF(N276="NA","不適用",IF(Z276&lt;&gt;"OK",Z276,IF(N276="數值",IF(Q276&gt;=R276,"達管制值","未達管制值"),IF(OR(N276="&lt;",N276="&lt;="),IF(OR(Q276&lt;R276,AND(N276="&lt;",Q276=R276)),"未達管制值","無法判定"),IF(OR(N276="&gt;",N276="&gt;="),IF(Q276&gt;=R276,"達管制值","無法判定"),"格式待核")))))))))))</f>
        <v/>
      </c>
      <c r="AE276" s="93">
        <f>IF(COUNTA($A276:$D276)=0,"",IF(AC276="未訂此介質／測項門檻",AC276,IF(AC276&lt;&gt;"已核對","標準待核",IF(S276="","未訂監測值",IF(NOT(ISNUMBER(L276)),"單位待核",IF(N276="ND","無法判定（ND無界限）",IF(N276="NA","不適用",IF(Z276&lt;&gt;"OK",Z276,IF(N276="數值",IF(Q276&gt;=S276,"達監測值","未達監測值"),IF(OR(N276="&lt;",N276="&lt;="),IF(OR(Q276&lt;S276,AND(N276="&lt;",Q276=S276)),"未達監測值","無法判定"),IF(OR(N276="&gt;",N276="&gt;="),IF(Q276&gt;=S276,"達監測值","無法判定"),"格式待核")))))))))))</f>
        <v/>
      </c>
      <c r="AF276" s="93">
        <f>IF(COUNTA($A276:$D276)=0,"",IF(OR(E276="",A276="",B276="",C276=""),"缺必要欄位",IF(Y276&lt;&gt;"OK","樣品資料待補",IF(T276=0,"測項未建或重複",IF(INDEX(DB_04[啟用],T276)&lt;&gt;"是","測項停用",IF(AND(Z276&lt;&gt;"OK",Z276&lt;&gt;"不適用"),Z276,IF(AND(AB276&lt;&gt;"OK",AB276&lt;&gt;"已換算"),"單位待核",IF(AA276&lt;&gt;"OK",AA276,"OK"))))))))</f>
        <v/>
      </c>
      <c r="AG276" s="93">
        <f>IF(COUNTA($A276:$D276)=0,"",IF(N276="ND","ND取0",IF(OR(N276="&lt;",N276="&lt;="),"界限除以2",IF(N276="NA","不適用",IF(OR(N276="&gt;",N276="&gt;="),"保留界限數值","保留原數值")))))</f>
        <v/>
      </c>
      <c r="AH276" s="92">
        <f>IF(O276="","",IFERROR(_xlfn.NUMBERVALUE(O276,".",","),""))</f>
        <v/>
      </c>
      <c r="AI276" s="92">
        <f>IF(H276="","",IFERROR(MATCH(H276,Samples[樣品編號],0),0))</f>
        <v/>
      </c>
    </row>
    <row r="277">
      <c r="A277" s="27" t="inlineStr">
        <is>
          <t>EC</t>
        </is>
      </c>
      <c r="B277" s="28" t="inlineStr">
        <is>
          <t>0.69</t>
        </is>
      </c>
      <c r="C277" s="27" t="inlineStr">
        <is>
          <t>mS/cm</t>
        </is>
      </c>
      <c r="D277" s="39" t="inlineStr">
        <is>
          <t>合成資料，非實測；method=field; temperature=25; temperature_compensated=25C; reference_temperature=25</t>
        </is>
      </c>
      <c r="E277" s="29">
        <f>IF(OR(I277="",I277=0),"",IF(INDEX(Samples[監測點],I277)="","",INDEX(Samples[監測點],I277)))</f>
        <v/>
      </c>
      <c r="F277" s="90">
        <f>IF(OR(I277="",I277=0),"",IF(INDEX(Samples[採樣日期],I277)="","",INDEX(Samples[採樣日期],I277)))</f>
        <v/>
      </c>
      <c r="G277" s="91">
        <f>IF(OR(M277="",M277="NA",M277="N/A"),"",IF(OR(M277="ND",M277="N.D."),0,IFERROR(IF(OR(OR(ISNUMBER(SEARCH("%",O277)),ISNUMBER(SEARCH(" ",O277)),ISNUMBER(SEARCH(",",O277))),OR(SUBSTITUTE(SUBSTITUTE(SUBSTITUTE(SUBSTITUTE(SUBSTITUTE(SUBSTITUTE(SUBSTITUTE(SUBSTITUTE(SUBSTITUTE(SUBSTITUTE(SUBSTITUTE(SUBSTITUTE(SUBSTITUTE(SUBSTITUTE(SUBSTITUTE(SUBSTITUTE(SUBSTITUTE(SUBSTITUTE("x"&amp;M277,"0",""),"1",""),"2",""),"3",""),"4",""),"5",""),"6",""),"7",""),"8",""),"9",""),".",""),"E",""),"+",""),"-",""),"&lt;",""),"&gt;",""),"=","")," ","")&lt;&gt;"x",ISNUMBER(SEARCH("-",SUBSTITUTE(SUBSTITUTE("x"&amp;MID(M277,2,99),"E-","E"),"E+","E"))),ISNUMBER(SEARCH("+",SUBSTITUTE(SUBSTITUTE("x"&amp;MID(M277,2,99),"E-","E"),"E+","E"))))),"",IF(AND(OR(LEFT(M277,1)="&lt;",LEFT(M277,1)="&gt;"),IF(O277="",0,IF(ISNUMBER(AH277),AH277,NA()))&lt;0),"",IF(O277="",0,IF(ISNUMBER(AH277),AH277,NA()))/IF(LEFT(M277,1)="&lt;",2,1))),"")))</f>
        <v/>
      </c>
      <c r="H277" s="57" t="inlineStr">
        <is>
          <t>BH06-W_20260415_02</t>
        </is>
      </c>
      <c r="I277" s="92">
        <f>IF(OR(H277="",AI277=0),0,IF(INDEX(Samples[樣品重複筆數],AI277)=1,AI277,0))</f>
        <v/>
      </c>
      <c r="J277" s="92">
        <f>IF(OR(COUNTA($A277:$D277)=0,I277=0),"",IF(INDEX(Samples[介質],I277)="","",INDEX(Samples[介質],I277)))</f>
        <v/>
      </c>
      <c r="K277" s="92">
        <f>IF(OR(COUNTA($A277:$D277)=0,T277=0),"",IF(INDEX(DB_04[標準單位],T277)="","",INDEX(DB_04[標準單位],T277)))</f>
        <v/>
      </c>
      <c r="L277" s="92">
        <f>IF(COUNTA($A277:$D277)=0,"",IF(OR(C277="",K277=""),"",IF(C277=K277,1,IF(COUNTIFS(DB_06[換算鍵],C277&amp;"|"&amp;K277,DB_06[換算檢查],"OK")=1,INDEX(DB_06[乘數],MATCH(C277&amp;"|"&amp;K277,DB_06[換算鍵],0)),""))))</f>
        <v/>
      </c>
      <c r="M277" s="92">
        <f>UPPER(SUBSTITUTE(SUBSTITUTE(SUBSTITUTE(SUBSTITUTE(TRIM(B277&amp;""),"＜","&lt;"),"＞","&gt;"),"≤","&lt;="),"≥","&gt;="))</f>
        <v/>
      </c>
      <c r="N277" s="92">
        <f>IF(M277="","",IF(OR(M277="ND",M277="N.D."),"ND",IF(OR(M277="NA",M277="N/A",M277="N.A."),"NA",IF(OR(LEFT(M277,2)="&lt;=",LEFT(M277,2)="&gt;="),LEFT(M277,2),IF(OR(LEFT(M277,1)="&lt;",LEFT(M277,1)="&gt;"),LEFT(M277,1),"數值")))))</f>
        <v/>
      </c>
      <c r="O277" s="92">
        <f>IF(OR(N277="",N277="ND",N277="NA"),"",IF(N277="數值",M277,TRIM(MID(M277,LEN(N277)+1,99))))</f>
        <v/>
      </c>
      <c r="P277" s="92">
        <f>IF(O277="","",IFERROR(IF(OR(OR(ISNUMBER(SEARCH("%",O277)),ISNUMBER(SEARCH(" ",O277)),ISNUMBER(SEARCH(",",O277))),OR(SUBSTITUTE(SUBSTITUTE(SUBSTITUTE(SUBSTITUTE(SUBSTITUTE(SUBSTITUTE(SUBSTITUTE(SUBSTITUTE(SUBSTITUTE(SUBSTITUTE(SUBSTITUTE(SUBSTITUTE(SUBSTITUTE(SUBSTITUTE(SUBSTITUTE(SUBSTITUTE(SUBSTITUTE(SUBSTITUTE("x"&amp;O277,"0",""),"1",""),"2",""),"3",""),"4",""),"5",""),"6",""),"7",""),"8",""),"9",""),".",""),"E",""),"+",""),"-",""),"&lt;",""),"&gt;",""),"=","")," ","")&lt;&gt;"x",ISNUMBER(SEARCH("-",SUBSTITUTE(SUBSTITUTE("x"&amp;MID(O277,2,99),"E-","E"),"E+","E"))),ISNUMBER(SEARCH("+",SUBSTITUTE(SUBSTITUTE("x"&amp;MID(O277,2,99),"E-","E"),"E+","E"))))),"",IF(ISNUMBER(AH277),AH277,NA())),""))</f>
        <v/>
      </c>
      <c r="Q277" s="92">
        <f>IF(AND(ISNUMBER(L277),ISNUMBER(P277)),L277*P277,"")</f>
        <v/>
      </c>
      <c r="R277" s="92">
        <f>IF(OR(COUNTA($A277:$D277)=0,U277=0),"",IF(INDEX(DB_05[管制設定值],U277)="","",INDEX(DB_05[管制設定值],U277)))</f>
        <v/>
      </c>
      <c r="S277" s="92">
        <f>IF(OR(COUNTA($A277:$D277)=0,U277=0),"",IF(INDEX(DB_05[監測設定值],U277)="","",INDEX(DB_05[監測設定值],U277)))</f>
        <v/>
      </c>
      <c r="T277" s="92">
        <f>IF(COUNTA($A277:$D277)=0,"",IF(COUNTIFS(DB_04[測項鍵],V277)=1,MATCH(V277,DB_04[測項鍵],0),0))</f>
        <v/>
      </c>
      <c r="U277" s="92">
        <f>IF(COUNTA($A277:$D277)=0,"",IF(COUNTIFS(DB_05[標準鍵],W277)=1,MATCH(W277,DB_05[標準鍵],0),0))</f>
        <v/>
      </c>
      <c r="V277" s="92">
        <f>IF(OR(J277="",A277=""),"",J277&amp;"|"&amp;A277)</f>
        <v/>
      </c>
      <c r="W277" s="92">
        <f>IF(OR('07_QAQC'!$C$3="",V277=""),"",'07_QAQC'!$C$3&amp;"|"&amp;V277)</f>
        <v/>
      </c>
      <c r="X277" s="92">
        <f>IF(OR(H277="",A277=""),"",LEN(H277)&amp;":"&amp;H277&amp;LEN(A277)&amp;":"&amp;A277)</f>
        <v/>
      </c>
      <c r="Y277" s="93">
        <f>IF(COUNTA($A277:$D277)=0,"",IF(I277=0,"樣品未建或重複",IF(INDEX(Samples[樣品檢查],I277)="","OK",INDEX(Samples[樣品檢查],I277))))</f>
        <v/>
      </c>
      <c r="Z277" s="93">
        <f>IF(COUNTA($A277:$D277)=0,"",IF(B277="","缺原始值",IF(OR(B277="-",B277="--"),"無資料",IF(N277="NA","不適用",IF(N277="ND","OK",IF(NOT(ISNUMBER(P277)),"格式待核",IF(AND(N277&lt;&gt;"數值",P277&lt;0),"界限不得為負","OK")))))))</f>
        <v/>
      </c>
      <c r="AA277" s="93">
        <f>IF(COUNTA(A277:D277)=0,"",IF(OR(A277="",H277=""),"缺識別欄位",IF(IF(LEN("="&amp;SUBSTITUTE(SUBSTITUTE(SUBSTITUTE(X277,"~","~~"),"*","~*"),"?","~?"))&lt;=255,COUNTIF(Results[結果識別鍵],"="&amp;SUBSTITUTE(SUBSTITUTE(SUBSTITUTE(X277,"~","~~"),"*","~*"),"?","~?")),COUNTIFS(Results[關聯鍵],"="&amp;SUBSTITUTE(SUBSTITUTE(SUBSTITUTE(H277,"~","~~"),"*","~*"),"?","~?"),Results[分析項目],"="&amp;SUBSTITUTE(SUBSTITUTE(SUBSTITUTE(A277,"~","~~"),"*","~*"),"?","~?")))&gt;1,"同關聯鍵測項重複","OK")))</f>
        <v/>
      </c>
      <c r="AB277" s="93">
        <f>IF(COUNTA($A277:$D277)=0,"",IF(OR(C277="",K277=""),"缺單位",IF(NOT(ISNUMBER(L277)),"單位不相容",IF(L277=1,"OK","已換算"))))</f>
        <v/>
      </c>
      <c r="AC277" s="93">
        <f>IF(COUNTA($A277:$D277)=0,"",IF('07_QAQC'!$C$3="","未選比較版本",IF(U277=0,IF(COUNTIFS(DB_05[標準鍵],W277)&gt;1,"標準鍵重複","未訂此介質／測項門檻"),IF(INDEX(DB_05[版本檢查],U277)&lt;&gt;"OK","標準主檔待核",IF(INDEX(DB_05[標準單位],U277)&lt;&gt;K277,"標準單位不符",IF(INDEX(DB_05[核對狀態],U277)="停用","停用",IF(F277="","缺採樣日期",IF(OR(AND(INDEX(DB_05[生效日],U277)&lt;&gt;"",F277&lt;INDEX(DB_05[生效日],U277)),AND(INDEX(DB_05[失效日],U277)&lt;&gt;"",F277&gt;INDEX(DB_05[失效日],U277))),"日期不適用",INDEX(DB_05[核對狀態],U277)))))))))</f>
        <v/>
      </c>
      <c r="AD277" s="93">
        <f>IF(COUNTA($A277:$D277)=0,"",IF(AC277="未訂此介質／測項門檻",AC277,IF(AC277&lt;&gt;"已核對","標準待核",IF(R277="","未訂管制值",IF(NOT(ISNUMBER(L277)),"單位待核",IF(N277="ND","無法判定（ND無界限）",IF(N277="NA","不適用",IF(Z277&lt;&gt;"OK",Z277,IF(N277="數值",IF(Q277&gt;=R277,"達管制值","未達管制值"),IF(OR(N277="&lt;",N277="&lt;="),IF(OR(Q277&lt;R277,AND(N277="&lt;",Q277=R277)),"未達管制值","無法判定"),IF(OR(N277="&gt;",N277="&gt;="),IF(Q277&gt;=R277,"達管制值","無法判定"),"格式待核")))))))))))</f>
        <v/>
      </c>
      <c r="AE277" s="93">
        <f>IF(COUNTA($A277:$D277)=0,"",IF(AC277="未訂此介質／測項門檻",AC277,IF(AC277&lt;&gt;"已核對","標準待核",IF(S277="","未訂監測值",IF(NOT(ISNUMBER(L277)),"單位待核",IF(N277="ND","無法判定（ND無界限）",IF(N277="NA","不適用",IF(Z277&lt;&gt;"OK",Z277,IF(N277="數值",IF(Q277&gt;=S277,"達監測值","未達監測值"),IF(OR(N277="&lt;",N277="&lt;="),IF(OR(Q277&lt;S277,AND(N277="&lt;",Q277=S277)),"未達監測值","無法判定"),IF(OR(N277="&gt;",N277="&gt;="),IF(Q277&gt;=S277,"達監測值","無法判定"),"格式待核")))))))))))</f>
        <v/>
      </c>
      <c r="AF277" s="93">
        <f>IF(COUNTA($A277:$D277)=0,"",IF(OR(E277="",A277="",B277="",C277=""),"缺必要欄位",IF(Y277&lt;&gt;"OK","樣品資料待補",IF(T277=0,"測項未建或重複",IF(INDEX(DB_04[啟用],T277)&lt;&gt;"是","測項停用",IF(AND(Z277&lt;&gt;"OK",Z277&lt;&gt;"不適用"),Z277,IF(AND(AB277&lt;&gt;"OK",AB277&lt;&gt;"已換算"),"單位待核",IF(AA277&lt;&gt;"OK",AA277,"OK"))))))))</f>
        <v/>
      </c>
      <c r="AG277" s="93">
        <f>IF(COUNTA($A277:$D277)=0,"",IF(N277="ND","ND取0",IF(OR(N277="&lt;",N277="&lt;="),"界限除以2",IF(N277="NA","不適用",IF(OR(N277="&gt;",N277="&gt;="),"保留界限數值","保留原數值")))))</f>
        <v/>
      </c>
      <c r="AH277" s="92">
        <f>IF(O277="","",IFERROR(_xlfn.NUMBERVALUE(O277,".",","),""))</f>
        <v/>
      </c>
      <c r="AI277" s="92">
        <f>IF(H277="","",IFERROR(MATCH(H277,Samples[樣品編號],0),0))</f>
        <v/>
      </c>
    </row>
    <row r="278">
      <c r="A278" s="27" t="inlineStr">
        <is>
          <t>DO</t>
        </is>
      </c>
      <c r="B278" s="28" t="inlineStr">
        <is>
          <t>4.4</t>
        </is>
      </c>
      <c r="C278" s="27" t="inlineStr">
        <is>
          <t>mg/L</t>
        </is>
      </c>
      <c r="D278" s="39" t="inlineStr">
        <is>
          <t>合成資料，非實測；method=field</t>
        </is>
      </c>
      <c r="E278" s="29">
        <f>IF(OR(I278="",I278=0),"",IF(INDEX(Samples[監測點],I278)="","",INDEX(Samples[監測點],I278)))</f>
        <v/>
      </c>
      <c r="F278" s="90">
        <f>IF(OR(I278="",I278=0),"",IF(INDEX(Samples[採樣日期],I278)="","",INDEX(Samples[採樣日期],I278)))</f>
        <v/>
      </c>
      <c r="G278" s="91">
        <f>IF(OR(M278="",M278="NA",M278="N/A"),"",IF(OR(M278="ND",M278="N.D."),0,IFERROR(IF(OR(OR(ISNUMBER(SEARCH("%",O278)),ISNUMBER(SEARCH(" ",O278)),ISNUMBER(SEARCH(",",O278))),OR(SUBSTITUTE(SUBSTITUTE(SUBSTITUTE(SUBSTITUTE(SUBSTITUTE(SUBSTITUTE(SUBSTITUTE(SUBSTITUTE(SUBSTITUTE(SUBSTITUTE(SUBSTITUTE(SUBSTITUTE(SUBSTITUTE(SUBSTITUTE(SUBSTITUTE(SUBSTITUTE(SUBSTITUTE(SUBSTITUTE("x"&amp;M278,"0",""),"1",""),"2",""),"3",""),"4",""),"5",""),"6",""),"7",""),"8",""),"9",""),".",""),"E",""),"+",""),"-",""),"&lt;",""),"&gt;",""),"=","")," ","")&lt;&gt;"x",ISNUMBER(SEARCH("-",SUBSTITUTE(SUBSTITUTE("x"&amp;MID(M278,2,99),"E-","E"),"E+","E"))),ISNUMBER(SEARCH("+",SUBSTITUTE(SUBSTITUTE("x"&amp;MID(M278,2,99),"E-","E"),"E+","E"))))),"",IF(AND(OR(LEFT(M278,1)="&lt;",LEFT(M278,1)="&gt;"),IF(O278="",0,IF(ISNUMBER(AH278),AH278,NA()))&lt;0),"",IF(O278="",0,IF(ISNUMBER(AH278),AH278,NA()))/IF(LEFT(M278,1)="&lt;",2,1))),"")))</f>
        <v/>
      </c>
      <c r="H278" s="57" t="inlineStr">
        <is>
          <t>BH06-W_20260415_02</t>
        </is>
      </c>
      <c r="I278" s="92">
        <f>IF(OR(H278="",AI278=0),0,IF(INDEX(Samples[樣品重複筆數],AI278)=1,AI278,0))</f>
        <v/>
      </c>
      <c r="J278" s="92">
        <f>IF(OR(COUNTA($A278:$D278)=0,I278=0),"",IF(INDEX(Samples[介質],I278)="","",INDEX(Samples[介質],I278)))</f>
        <v/>
      </c>
      <c r="K278" s="92">
        <f>IF(OR(COUNTA($A278:$D278)=0,T278=0),"",IF(INDEX(DB_04[標準單位],T278)="","",INDEX(DB_04[標準單位],T278)))</f>
        <v/>
      </c>
      <c r="L278" s="92">
        <f>IF(COUNTA($A278:$D278)=0,"",IF(OR(C278="",K278=""),"",IF(C278=K278,1,IF(COUNTIFS(DB_06[換算鍵],C278&amp;"|"&amp;K278,DB_06[換算檢查],"OK")=1,INDEX(DB_06[乘數],MATCH(C278&amp;"|"&amp;K278,DB_06[換算鍵],0)),""))))</f>
        <v/>
      </c>
      <c r="M278" s="92">
        <f>UPPER(SUBSTITUTE(SUBSTITUTE(SUBSTITUTE(SUBSTITUTE(TRIM(B278&amp;""),"＜","&lt;"),"＞","&gt;"),"≤","&lt;="),"≥","&gt;="))</f>
        <v/>
      </c>
      <c r="N278" s="92">
        <f>IF(M278="","",IF(OR(M278="ND",M278="N.D."),"ND",IF(OR(M278="NA",M278="N/A",M278="N.A."),"NA",IF(OR(LEFT(M278,2)="&lt;=",LEFT(M278,2)="&gt;="),LEFT(M278,2),IF(OR(LEFT(M278,1)="&lt;",LEFT(M278,1)="&gt;"),LEFT(M278,1),"數值")))))</f>
        <v/>
      </c>
      <c r="O278" s="92">
        <f>IF(OR(N278="",N278="ND",N278="NA"),"",IF(N278="數值",M278,TRIM(MID(M278,LEN(N278)+1,99))))</f>
        <v/>
      </c>
      <c r="P278" s="92">
        <f>IF(O278="","",IFERROR(IF(OR(OR(ISNUMBER(SEARCH("%",O278)),ISNUMBER(SEARCH(" ",O278)),ISNUMBER(SEARCH(",",O278))),OR(SUBSTITUTE(SUBSTITUTE(SUBSTITUTE(SUBSTITUTE(SUBSTITUTE(SUBSTITUTE(SUBSTITUTE(SUBSTITUTE(SUBSTITUTE(SUBSTITUTE(SUBSTITUTE(SUBSTITUTE(SUBSTITUTE(SUBSTITUTE(SUBSTITUTE(SUBSTITUTE(SUBSTITUTE(SUBSTITUTE("x"&amp;O278,"0",""),"1",""),"2",""),"3",""),"4",""),"5",""),"6",""),"7",""),"8",""),"9",""),".",""),"E",""),"+",""),"-",""),"&lt;",""),"&gt;",""),"=","")," ","")&lt;&gt;"x",ISNUMBER(SEARCH("-",SUBSTITUTE(SUBSTITUTE("x"&amp;MID(O278,2,99),"E-","E"),"E+","E"))),ISNUMBER(SEARCH("+",SUBSTITUTE(SUBSTITUTE("x"&amp;MID(O278,2,99),"E-","E"),"E+","E"))))),"",IF(ISNUMBER(AH278),AH278,NA())),""))</f>
        <v/>
      </c>
      <c r="Q278" s="92">
        <f>IF(AND(ISNUMBER(L278),ISNUMBER(P278)),L278*P278,"")</f>
        <v/>
      </c>
      <c r="R278" s="92">
        <f>IF(OR(COUNTA($A278:$D278)=0,U278=0),"",IF(INDEX(DB_05[管制設定值],U278)="","",INDEX(DB_05[管制設定值],U278)))</f>
        <v/>
      </c>
      <c r="S278" s="92">
        <f>IF(OR(COUNTA($A278:$D278)=0,U278=0),"",IF(INDEX(DB_05[監測設定值],U278)="","",INDEX(DB_05[監測設定值],U278)))</f>
        <v/>
      </c>
      <c r="T278" s="92">
        <f>IF(COUNTA($A278:$D278)=0,"",IF(COUNTIFS(DB_04[測項鍵],V278)=1,MATCH(V278,DB_04[測項鍵],0),0))</f>
        <v/>
      </c>
      <c r="U278" s="92">
        <f>IF(COUNTA($A278:$D278)=0,"",IF(COUNTIFS(DB_05[標準鍵],W278)=1,MATCH(W278,DB_05[標準鍵],0),0))</f>
        <v/>
      </c>
      <c r="V278" s="92">
        <f>IF(OR(J278="",A278=""),"",J278&amp;"|"&amp;A278)</f>
        <v/>
      </c>
      <c r="W278" s="92">
        <f>IF(OR('07_QAQC'!$C$3="",V278=""),"",'07_QAQC'!$C$3&amp;"|"&amp;V278)</f>
        <v/>
      </c>
      <c r="X278" s="92">
        <f>IF(OR(H278="",A278=""),"",LEN(H278)&amp;":"&amp;H278&amp;LEN(A278)&amp;":"&amp;A278)</f>
        <v/>
      </c>
      <c r="Y278" s="93">
        <f>IF(COUNTA($A278:$D278)=0,"",IF(I278=0,"樣品未建或重複",IF(INDEX(Samples[樣品檢查],I278)="","OK",INDEX(Samples[樣品檢查],I278))))</f>
        <v/>
      </c>
      <c r="Z278" s="93">
        <f>IF(COUNTA($A278:$D278)=0,"",IF(B278="","缺原始值",IF(OR(B278="-",B278="--"),"無資料",IF(N278="NA","不適用",IF(N278="ND","OK",IF(NOT(ISNUMBER(P278)),"格式待核",IF(AND(N278&lt;&gt;"數值",P278&lt;0),"界限不得為負","OK")))))))</f>
        <v/>
      </c>
      <c r="AA278" s="93">
        <f>IF(COUNTA(A278:D278)=0,"",IF(OR(A278="",H278=""),"缺識別欄位",IF(IF(LEN("="&amp;SUBSTITUTE(SUBSTITUTE(SUBSTITUTE(X278,"~","~~"),"*","~*"),"?","~?"))&lt;=255,COUNTIF(Results[結果識別鍵],"="&amp;SUBSTITUTE(SUBSTITUTE(SUBSTITUTE(X278,"~","~~"),"*","~*"),"?","~?")),COUNTIFS(Results[關聯鍵],"="&amp;SUBSTITUTE(SUBSTITUTE(SUBSTITUTE(H278,"~","~~"),"*","~*"),"?","~?"),Results[分析項目],"="&amp;SUBSTITUTE(SUBSTITUTE(SUBSTITUTE(A278,"~","~~"),"*","~*"),"?","~?")))&gt;1,"同關聯鍵測項重複","OK")))</f>
        <v/>
      </c>
      <c r="AB278" s="93">
        <f>IF(COUNTA($A278:$D278)=0,"",IF(OR(C278="",K278=""),"缺單位",IF(NOT(ISNUMBER(L278)),"單位不相容",IF(L278=1,"OK","已換算"))))</f>
        <v/>
      </c>
      <c r="AC278" s="93">
        <f>IF(COUNTA($A278:$D278)=0,"",IF('07_QAQC'!$C$3="","未選比較版本",IF(U278=0,IF(COUNTIFS(DB_05[標準鍵],W278)&gt;1,"標準鍵重複","未訂此介質／測項門檻"),IF(INDEX(DB_05[版本檢查],U278)&lt;&gt;"OK","標準主檔待核",IF(INDEX(DB_05[標準單位],U278)&lt;&gt;K278,"標準單位不符",IF(INDEX(DB_05[核對狀態],U278)="停用","停用",IF(F278="","缺採樣日期",IF(OR(AND(INDEX(DB_05[生效日],U278)&lt;&gt;"",F278&lt;INDEX(DB_05[生效日],U278)),AND(INDEX(DB_05[失效日],U278)&lt;&gt;"",F278&gt;INDEX(DB_05[失效日],U278))),"日期不適用",INDEX(DB_05[核對狀態],U278)))))))))</f>
        <v/>
      </c>
      <c r="AD278" s="93">
        <f>IF(COUNTA($A278:$D278)=0,"",IF(AC278="未訂此介質／測項門檻",AC278,IF(AC278&lt;&gt;"已核對","標準待核",IF(R278="","未訂管制值",IF(NOT(ISNUMBER(L278)),"單位待核",IF(N278="ND","無法判定（ND無界限）",IF(N278="NA","不適用",IF(Z278&lt;&gt;"OK",Z278,IF(N278="數值",IF(Q278&gt;=R278,"達管制值","未達管制值"),IF(OR(N278="&lt;",N278="&lt;="),IF(OR(Q278&lt;R278,AND(N278="&lt;",Q278=R278)),"未達管制值","無法判定"),IF(OR(N278="&gt;",N278="&gt;="),IF(Q278&gt;=R278,"達管制值","無法判定"),"格式待核")))))))))))</f>
        <v/>
      </c>
      <c r="AE278" s="93">
        <f>IF(COUNTA($A278:$D278)=0,"",IF(AC278="未訂此介質／測項門檻",AC278,IF(AC278&lt;&gt;"已核對","標準待核",IF(S278="","未訂監測值",IF(NOT(ISNUMBER(L278)),"單位待核",IF(N278="ND","無法判定（ND無界限）",IF(N278="NA","不適用",IF(Z278&lt;&gt;"OK",Z278,IF(N278="數值",IF(Q278&gt;=S278,"達監測值","未達監測值"),IF(OR(N278="&lt;",N278="&lt;="),IF(OR(Q278&lt;S278,AND(N278="&lt;",Q278=S278)),"未達監測值","無法判定"),IF(OR(N278="&gt;",N278="&gt;="),IF(Q278&gt;=S278,"達監測值","無法判定"),"格式待核")))))))))))</f>
        <v/>
      </c>
      <c r="AF278" s="93">
        <f>IF(COUNTA($A278:$D278)=0,"",IF(OR(E278="",A278="",B278="",C278=""),"缺必要欄位",IF(Y278&lt;&gt;"OK","樣品資料待補",IF(T278=0,"測項未建或重複",IF(INDEX(DB_04[啟用],T278)&lt;&gt;"是","測項停用",IF(AND(Z278&lt;&gt;"OK",Z278&lt;&gt;"不適用"),Z278,IF(AND(AB278&lt;&gt;"OK",AB278&lt;&gt;"已換算"),"單位待核",IF(AA278&lt;&gt;"OK",AA278,"OK"))))))))</f>
        <v/>
      </c>
      <c r="AG278" s="93">
        <f>IF(COUNTA($A278:$D278)=0,"",IF(N278="ND","ND取0",IF(OR(N278="&lt;",N278="&lt;="),"界限除以2",IF(N278="NA","不適用",IF(OR(N278="&gt;",N278="&gt;="),"保留界限數值","保留原數值")))))</f>
        <v/>
      </c>
      <c r="AH278" s="92">
        <f>IF(O278="","",IFERROR(_xlfn.NUMBERVALUE(O278,".",","),""))</f>
        <v/>
      </c>
      <c r="AI278" s="92">
        <f>IF(H278="","",IFERROR(MATCH(H278,Samples[樣品編號],0),0))</f>
        <v/>
      </c>
    </row>
    <row r="279">
      <c r="A279" s="27" t="inlineStr">
        <is>
          <t>溶氧飽和度</t>
        </is>
      </c>
      <c r="B279" s="28" t="inlineStr">
        <is>
          <t>56</t>
        </is>
      </c>
      <c r="C279" s="27" t="inlineStr">
        <is>
          <t>%</t>
        </is>
      </c>
      <c r="D279" s="39" t="inlineStr">
        <is>
          <t>合成資料，非實測；method=field</t>
        </is>
      </c>
      <c r="E279" s="29">
        <f>IF(OR(I279="",I279=0),"",IF(INDEX(Samples[監測點],I279)="","",INDEX(Samples[監測點],I279)))</f>
        <v/>
      </c>
      <c r="F279" s="90">
        <f>IF(OR(I279="",I279=0),"",IF(INDEX(Samples[採樣日期],I279)="","",INDEX(Samples[採樣日期],I279)))</f>
        <v/>
      </c>
      <c r="G279" s="91">
        <f>IF(OR(M279="",M279="NA",M279="N/A"),"",IF(OR(M279="ND",M279="N.D."),0,IFERROR(IF(OR(OR(ISNUMBER(SEARCH("%",O279)),ISNUMBER(SEARCH(" ",O279)),ISNUMBER(SEARCH(",",O279))),OR(SUBSTITUTE(SUBSTITUTE(SUBSTITUTE(SUBSTITUTE(SUBSTITUTE(SUBSTITUTE(SUBSTITUTE(SUBSTITUTE(SUBSTITUTE(SUBSTITUTE(SUBSTITUTE(SUBSTITUTE(SUBSTITUTE(SUBSTITUTE(SUBSTITUTE(SUBSTITUTE(SUBSTITUTE(SUBSTITUTE("x"&amp;M279,"0",""),"1",""),"2",""),"3",""),"4",""),"5",""),"6",""),"7",""),"8",""),"9",""),".",""),"E",""),"+",""),"-",""),"&lt;",""),"&gt;",""),"=","")," ","")&lt;&gt;"x",ISNUMBER(SEARCH("-",SUBSTITUTE(SUBSTITUTE("x"&amp;MID(M279,2,99),"E-","E"),"E+","E"))),ISNUMBER(SEARCH("+",SUBSTITUTE(SUBSTITUTE("x"&amp;MID(M279,2,99),"E-","E"),"E+","E"))))),"",IF(AND(OR(LEFT(M279,1)="&lt;",LEFT(M279,1)="&gt;"),IF(O279="",0,IF(ISNUMBER(AH279),AH279,NA()))&lt;0),"",IF(O279="",0,IF(ISNUMBER(AH279),AH279,NA()))/IF(LEFT(M279,1)="&lt;",2,1))),"")))</f>
        <v/>
      </c>
      <c r="H279" s="57" t="inlineStr">
        <is>
          <t>BH06-W_20260415_02</t>
        </is>
      </c>
      <c r="I279" s="92">
        <f>IF(OR(H279="",AI279=0),0,IF(INDEX(Samples[樣品重複筆數],AI279)=1,AI279,0))</f>
        <v/>
      </c>
      <c r="J279" s="92">
        <f>IF(OR(COUNTA($A279:$D279)=0,I279=0),"",IF(INDEX(Samples[介質],I279)="","",INDEX(Samples[介質],I279)))</f>
        <v/>
      </c>
      <c r="K279" s="92">
        <f>IF(OR(COUNTA($A279:$D279)=0,T279=0),"",IF(INDEX(DB_04[標準單位],T279)="","",INDEX(DB_04[標準單位],T279)))</f>
        <v/>
      </c>
      <c r="L279" s="92">
        <f>IF(COUNTA($A279:$D279)=0,"",IF(OR(C279="",K279=""),"",IF(C279=K279,1,IF(COUNTIFS(DB_06[換算鍵],C279&amp;"|"&amp;K279,DB_06[換算檢查],"OK")=1,INDEX(DB_06[乘數],MATCH(C279&amp;"|"&amp;K279,DB_06[換算鍵],0)),""))))</f>
        <v/>
      </c>
      <c r="M279" s="92">
        <f>UPPER(SUBSTITUTE(SUBSTITUTE(SUBSTITUTE(SUBSTITUTE(TRIM(B279&amp;""),"＜","&lt;"),"＞","&gt;"),"≤","&lt;="),"≥","&gt;="))</f>
        <v/>
      </c>
      <c r="N279" s="92">
        <f>IF(M279="","",IF(OR(M279="ND",M279="N.D."),"ND",IF(OR(M279="NA",M279="N/A",M279="N.A."),"NA",IF(OR(LEFT(M279,2)="&lt;=",LEFT(M279,2)="&gt;="),LEFT(M279,2),IF(OR(LEFT(M279,1)="&lt;",LEFT(M279,1)="&gt;"),LEFT(M279,1),"數值")))))</f>
        <v/>
      </c>
      <c r="O279" s="92">
        <f>IF(OR(N279="",N279="ND",N279="NA"),"",IF(N279="數值",M279,TRIM(MID(M279,LEN(N279)+1,99))))</f>
        <v/>
      </c>
      <c r="P279" s="92">
        <f>IF(O279="","",IFERROR(IF(OR(OR(ISNUMBER(SEARCH("%",O279)),ISNUMBER(SEARCH(" ",O279)),ISNUMBER(SEARCH(",",O279))),OR(SUBSTITUTE(SUBSTITUTE(SUBSTITUTE(SUBSTITUTE(SUBSTITUTE(SUBSTITUTE(SUBSTITUTE(SUBSTITUTE(SUBSTITUTE(SUBSTITUTE(SUBSTITUTE(SUBSTITUTE(SUBSTITUTE(SUBSTITUTE(SUBSTITUTE(SUBSTITUTE(SUBSTITUTE(SUBSTITUTE("x"&amp;O279,"0",""),"1",""),"2",""),"3",""),"4",""),"5",""),"6",""),"7",""),"8",""),"9",""),".",""),"E",""),"+",""),"-",""),"&lt;",""),"&gt;",""),"=","")," ","")&lt;&gt;"x",ISNUMBER(SEARCH("-",SUBSTITUTE(SUBSTITUTE("x"&amp;MID(O279,2,99),"E-","E"),"E+","E"))),ISNUMBER(SEARCH("+",SUBSTITUTE(SUBSTITUTE("x"&amp;MID(O279,2,99),"E-","E"),"E+","E"))))),"",IF(ISNUMBER(AH279),AH279,NA())),""))</f>
        <v/>
      </c>
      <c r="Q279" s="92">
        <f>IF(AND(ISNUMBER(L279),ISNUMBER(P279)),L279*P279,"")</f>
        <v/>
      </c>
      <c r="R279" s="92">
        <f>IF(OR(COUNTA($A279:$D279)=0,U279=0),"",IF(INDEX(DB_05[管制設定值],U279)="","",INDEX(DB_05[管制設定值],U279)))</f>
        <v/>
      </c>
      <c r="S279" s="92">
        <f>IF(OR(COUNTA($A279:$D279)=0,U279=0),"",IF(INDEX(DB_05[監測設定值],U279)="","",INDEX(DB_05[監測設定值],U279)))</f>
        <v/>
      </c>
      <c r="T279" s="92">
        <f>IF(COUNTA($A279:$D279)=0,"",IF(COUNTIFS(DB_04[測項鍵],V279)=1,MATCH(V279,DB_04[測項鍵],0),0))</f>
        <v/>
      </c>
      <c r="U279" s="92">
        <f>IF(COUNTA($A279:$D279)=0,"",IF(COUNTIFS(DB_05[標準鍵],W279)=1,MATCH(W279,DB_05[標準鍵],0),0))</f>
        <v/>
      </c>
      <c r="V279" s="92">
        <f>IF(OR(J279="",A279=""),"",J279&amp;"|"&amp;A279)</f>
        <v/>
      </c>
      <c r="W279" s="92">
        <f>IF(OR('07_QAQC'!$C$3="",V279=""),"",'07_QAQC'!$C$3&amp;"|"&amp;V279)</f>
        <v/>
      </c>
      <c r="X279" s="92">
        <f>IF(OR(H279="",A279=""),"",LEN(H279)&amp;":"&amp;H279&amp;LEN(A279)&amp;":"&amp;A279)</f>
        <v/>
      </c>
      <c r="Y279" s="93">
        <f>IF(COUNTA($A279:$D279)=0,"",IF(I279=0,"樣品未建或重複",IF(INDEX(Samples[樣品檢查],I279)="","OK",INDEX(Samples[樣品檢查],I279))))</f>
        <v/>
      </c>
      <c r="Z279" s="93">
        <f>IF(COUNTA($A279:$D279)=0,"",IF(B279="","缺原始值",IF(OR(B279="-",B279="--"),"無資料",IF(N279="NA","不適用",IF(N279="ND","OK",IF(NOT(ISNUMBER(P279)),"格式待核",IF(AND(N279&lt;&gt;"數值",P279&lt;0),"界限不得為負","OK")))))))</f>
        <v/>
      </c>
      <c r="AA279" s="93">
        <f>IF(COUNTA(A279:D279)=0,"",IF(OR(A279="",H279=""),"缺識別欄位",IF(IF(LEN("="&amp;SUBSTITUTE(SUBSTITUTE(SUBSTITUTE(X279,"~","~~"),"*","~*"),"?","~?"))&lt;=255,COUNTIF(Results[結果識別鍵],"="&amp;SUBSTITUTE(SUBSTITUTE(SUBSTITUTE(X279,"~","~~"),"*","~*"),"?","~?")),COUNTIFS(Results[關聯鍵],"="&amp;SUBSTITUTE(SUBSTITUTE(SUBSTITUTE(H279,"~","~~"),"*","~*"),"?","~?"),Results[分析項目],"="&amp;SUBSTITUTE(SUBSTITUTE(SUBSTITUTE(A279,"~","~~"),"*","~*"),"?","~?")))&gt;1,"同關聯鍵測項重複","OK")))</f>
        <v/>
      </c>
      <c r="AB279" s="93">
        <f>IF(COUNTA($A279:$D279)=0,"",IF(OR(C279="",K279=""),"缺單位",IF(NOT(ISNUMBER(L279)),"單位不相容",IF(L279=1,"OK","已換算"))))</f>
        <v/>
      </c>
      <c r="AC279" s="93">
        <f>IF(COUNTA($A279:$D279)=0,"",IF('07_QAQC'!$C$3="","未選比較版本",IF(U279=0,IF(COUNTIFS(DB_05[標準鍵],W279)&gt;1,"標準鍵重複","未訂此介質／測項門檻"),IF(INDEX(DB_05[版本檢查],U279)&lt;&gt;"OK","標準主檔待核",IF(INDEX(DB_05[標準單位],U279)&lt;&gt;K279,"標準單位不符",IF(INDEX(DB_05[核對狀態],U279)="停用","停用",IF(F279="","缺採樣日期",IF(OR(AND(INDEX(DB_05[生效日],U279)&lt;&gt;"",F279&lt;INDEX(DB_05[生效日],U279)),AND(INDEX(DB_05[失效日],U279)&lt;&gt;"",F279&gt;INDEX(DB_05[失效日],U279))),"日期不適用",INDEX(DB_05[核對狀態],U279)))))))))</f>
        <v/>
      </c>
      <c r="AD279" s="93">
        <f>IF(COUNTA($A279:$D279)=0,"",IF(AC279="未訂此介質／測項門檻",AC279,IF(AC279&lt;&gt;"已核對","標準待核",IF(R279="","未訂管制值",IF(NOT(ISNUMBER(L279)),"單位待核",IF(N279="ND","無法判定（ND無界限）",IF(N279="NA","不適用",IF(Z279&lt;&gt;"OK",Z279,IF(N279="數值",IF(Q279&gt;=R279,"達管制值","未達管制值"),IF(OR(N279="&lt;",N279="&lt;="),IF(OR(Q279&lt;R279,AND(N279="&lt;",Q279=R279)),"未達管制值","無法判定"),IF(OR(N279="&gt;",N279="&gt;="),IF(Q279&gt;=R279,"達管制值","無法判定"),"格式待核")))))))))))</f>
        <v/>
      </c>
      <c r="AE279" s="93">
        <f>IF(COUNTA($A279:$D279)=0,"",IF(AC279="未訂此介質／測項門檻",AC279,IF(AC279&lt;&gt;"已核對","標準待核",IF(S279="","未訂監測值",IF(NOT(ISNUMBER(L279)),"單位待核",IF(N279="ND","無法判定（ND無界限）",IF(N279="NA","不適用",IF(Z279&lt;&gt;"OK",Z279,IF(N279="數值",IF(Q279&gt;=S279,"達監測值","未達監測值"),IF(OR(N279="&lt;",N279="&lt;="),IF(OR(Q279&lt;S279,AND(N279="&lt;",Q279=S279)),"未達監測值","無法判定"),IF(OR(N279="&gt;",N279="&gt;="),IF(Q279&gt;=S279,"達監測值","無法判定"),"格式待核")))))))))))</f>
        <v/>
      </c>
      <c r="AF279" s="93">
        <f>IF(COUNTA($A279:$D279)=0,"",IF(OR(E279="",A279="",B279="",C279=""),"缺必要欄位",IF(Y279&lt;&gt;"OK","樣品資料待補",IF(T279=0,"測項未建或重複",IF(INDEX(DB_04[啟用],T279)&lt;&gt;"是","測項停用",IF(AND(Z279&lt;&gt;"OK",Z279&lt;&gt;"不適用"),Z279,IF(AND(AB279&lt;&gt;"OK",AB279&lt;&gt;"已換算"),"單位待核",IF(AA279&lt;&gt;"OK",AA279,"OK"))))))))</f>
        <v/>
      </c>
      <c r="AG279" s="93">
        <f>IF(COUNTA($A279:$D279)=0,"",IF(N279="ND","ND取0",IF(OR(N279="&lt;",N279="&lt;="),"界限除以2",IF(N279="NA","不適用",IF(OR(N279="&gt;",N279="&gt;="),"保留界限數值","保留原數值")))))</f>
        <v/>
      </c>
      <c r="AH279" s="92">
        <f>IF(O279="","",IFERROR(_xlfn.NUMBERVALUE(O279,".",","),""))</f>
        <v/>
      </c>
      <c r="AI279" s="92">
        <f>IF(H279="","",IFERROR(MATCH(H279,Samples[樣品編號],0),0))</f>
        <v/>
      </c>
    </row>
    <row r="280">
      <c r="A280" s="27" t="inlineStr">
        <is>
          <t>ORP</t>
        </is>
      </c>
      <c r="B280" s="28" t="inlineStr">
        <is>
          <t>-110</t>
        </is>
      </c>
      <c r="C280" s="27" t="inlineStr">
        <is>
          <t>mV</t>
        </is>
      </c>
      <c r="D280" s="39" t="inlineStr">
        <is>
          <t>合成資料，非實測；method=field; reference_electrode=Ag/AgCl; calibration=verified</t>
        </is>
      </c>
      <c r="E280" s="29">
        <f>IF(OR(I280="",I280=0),"",IF(INDEX(Samples[監測點],I280)="","",INDEX(Samples[監測點],I280)))</f>
        <v/>
      </c>
      <c r="F280" s="90">
        <f>IF(OR(I280="",I280=0),"",IF(INDEX(Samples[採樣日期],I280)="","",INDEX(Samples[採樣日期],I280)))</f>
        <v/>
      </c>
      <c r="G280" s="91">
        <f>IF(OR(M280="",M280="NA",M280="N/A"),"",IF(OR(M280="ND",M280="N.D."),0,IFERROR(IF(OR(OR(ISNUMBER(SEARCH("%",O280)),ISNUMBER(SEARCH(" ",O280)),ISNUMBER(SEARCH(",",O280))),OR(SUBSTITUTE(SUBSTITUTE(SUBSTITUTE(SUBSTITUTE(SUBSTITUTE(SUBSTITUTE(SUBSTITUTE(SUBSTITUTE(SUBSTITUTE(SUBSTITUTE(SUBSTITUTE(SUBSTITUTE(SUBSTITUTE(SUBSTITUTE(SUBSTITUTE(SUBSTITUTE(SUBSTITUTE(SUBSTITUTE("x"&amp;M280,"0",""),"1",""),"2",""),"3",""),"4",""),"5",""),"6",""),"7",""),"8",""),"9",""),".",""),"E",""),"+",""),"-",""),"&lt;",""),"&gt;",""),"=","")," ","")&lt;&gt;"x",ISNUMBER(SEARCH("-",SUBSTITUTE(SUBSTITUTE("x"&amp;MID(M280,2,99),"E-","E"),"E+","E"))),ISNUMBER(SEARCH("+",SUBSTITUTE(SUBSTITUTE("x"&amp;MID(M280,2,99),"E-","E"),"E+","E"))))),"",IF(AND(OR(LEFT(M280,1)="&lt;",LEFT(M280,1)="&gt;"),IF(O280="",0,IF(ISNUMBER(AH280),AH280,NA()))&lt;0),"",IF(O280="",0,IF(ISNUMBER(AH280),AH280,NA()))/IF(LEFT(M280,1)="&lt;",2,1))),"")))</f>
        <v/>
      </c>
      <c r="H280" s="57" t="inlineStr">
        <is>
          <t>BH06-W_20260415_02</t>
        </is>
      </c>
      <c r="I280" s="92">
        <f>IF(OR(H280="",AI280=0),0,IF(INDEX(Samples[樣品重複筆數],AI280)=1,AI280,0))</f>
        <v/>
      </c>
      <c r="J280" s="92">
        <f>IF(OR(COUNTA($A280:$D280)=0,I280=0),"",IF(INDEX(Samples[介質],I280)="","",INDEX(Samples[介質],I280)))</f>
        <v/>
      </c>
      <c r="K280" s="92">
        <f>IF(OR(COUNTA($A280:$D280)=0,T280=0),"",IF(INDEX(DB_04[標準單位],T280)="","",INDEX(DB_04[標準單位],T280)))</f>
        <v/>
      </c>
      <c r="L280" s="92">
        <f>IF(COUNTA($A280:$D280)=0,"",IF(OR(C280="",K280=""),"",IF(C280=K280,1,IF(COUNTIFS(DB_06[換算鍵],C280&amp;"|"&amp;K280,DB_06[換算檢查],"OK")=1,INDEX(DB_06[乘數],MATCH(C280&amp;"|"&amp;K280,DB_06[換算鍵],0)),""))))</f>
        <v/>
      </c>
      <c r="M280" s="92">
        <f>UPPER(SUBSTITUTE(SUBSTITUTE(SUBSTITUTE(SUBSTITUTE(TRIM(B280&amp;""),"＜","&lt;"),"＞","&gt;"),"≤","&lt;="),"≥","&gt;="))</f>
        <v/>
      </c>
      <c r="N280" s="92">
        <f>IF(M280="","",IF(OR(M280="ND",M280="N.D."),"ND",IF(OR(M280="NA",M280="N/A",M280="N.A."),"NA",IF(OR(LEFT(M280,2)="&lt;=",LEFT(M280,2)="&gt;="),LEFT(M280,2),IF(OR(LEFT(M280,1)="&lt;",LEFT(M280,1)="&gt;"),LEFT(M280,1),"數值")))))</f>
        <v/>
      </c>
      <c r="O280" s="92">
        <f>IF(OR(N280="",N280="ND",N280="NA"),"",IF(N280="數值",M280,TRIM(MID(M280,LEN(N280)+1,99))))</f>
        <v/>
      </c>
      <c r="P280" s="92">
        <f>IF(O280="","",IFERROR(IF(OR(OR(ISNUMBER(SEARCH("%",O280)),ISNUMBER(SEARCH(" ",O280)),ISNUMBER(SEARCH(",",O280))),OR(SUBSTITUTE(SUBSTITUTE(SUBSTITUTE(SUBSTITUTE(SUBSTITUTE(SUBSTITUTE(SUBSTITUTE(SUBSTITUTE(SUBSTITUTE(SUBSTITUTE(SUBSTITUTE(SUBSTITUTE(SUBSTITUTE(SUBSTITUTE(SUBSTITUTE(SUBSTITUTE(SUBSTITUTE(SUBSTITUTE("x"&amp;O280,"0",""),"1",""),"2",""),"3",""),"4",""),"5",""),"6",""),"7",""),"8",""),"9",""),".",""),"E",""),"+",""),"-",""),"&lt;",""),"&gt;",""),"=","")," ","")&lt;&gt;"x",ISNUMBER(SEARCH("-",SUBSTITUTE(SUBSTITUTE("x"&amp;MID(O280,2,99),"E-","E"),"E+","E"))),ISNUMBER(SEARCH("+",SUBSTITUTE(SUBSTITUTE("x"&amp;MID(O280,2,99),"E-","E"),"E+","E"))))),"",IF(ISNUMBER(AH280),AH280,NA())),""))</f>
        <v/>
      </c>
      <c r="Q280" s="92">
        <f>IF(AND(ISNUMBER(L280),ISNUMBER(P280)),L280*P280,"")</f>
        <v/>
      </c>
      <c r="R280" s="92">
        <f>IF(OR(COUNTA($A280:$D280)=0,U280=0),"",IF(INDEX(DB_05[管制設定值],U280)="","",INDEX(DB_05[管制設定值],U280)))</f>
        <v/>
      </c>
      <c r="S280" s="92">
        <f>IF(OR(COUNTA($A280:$D280)=0,U280=0),"",IF(INDEX(DB_05[監測設定值],U280)="","",INDEX(DB_05[監測設定值],U280)))</f>
        <v/>
      </c>
      <c r="T280" s="92">
        <f>IF(COUNTA($A280:$D280)=0,"",IF(COUNTIFS(DB_04[測項鍵],V280)=1,MATCH(V280,DB_04[測項鍵],0),0))</f>
        <v/>
      </c>
      <c r="U280" s="92">
        <f>IF(COUNTA($A280:$D280)=0,"",IF(COUNTIFS(DB_05[標準鍵],W280)=1,MATCH(W280,DB_05[標準鍵],0),0))</f>
        <v/>
      </c>
      <c r="V280" s="92">
        <f>IF(OR(J280="",A280=""),"",J280&amp;"|"&amp;A280)</f>
        <v/>
      </c>
      <c r="W280" s="92">
        <f>IF(OR('07_QAQC'!$C$3="",V280=""),"",'07_QAQC'!$C$3&amp;"|"&amp;V280)</f>
        <v/>
      </c>
      <c r="X280" s="92">
        <f>IF(OR(H280="",A280=""),"",LEN(H280)&amp;":"&amp;H280&amp;LEN(A280)&amp;":"&amp;A280)</f>
        <v/>
      </c>
      <c r="Y280" s="93">
        <f>IF(COUNTA($A280:$D280)=0,"",IF(I280=0,"樣品未建或重複",IF(INDEX(Samples[樣品檢查],I280)="","OK",INDEX(Samples[樣品檢查],I280))))</f>
        <v/>
      </c>
      <c r="Z280" s="93">
        <f>IF(COUNTA($A280:$D280)=0,"",IF(B280="","缺原始值",IF(OR(B280="-",B280="--"),"無資料",IF(N280="NA","不適用",IF(N280="ND","OK",IF(NOT(ISNUMBER(P280)),"格式待核",IF(AND(N280&lt;&gt;"數值",P280&lt;0),"界限不得為負","OK")))))))</f>
        <v/>
      </c>
      <c r="AA280" s="93">
        <f>IF(COUNTA(A280:D280)=0,"",IF(OR(A280="",H280=""),"缺識別欄位",IF(IF(LEN("="&amp;SUBSTITUTE(SUBSTITUTE(SUBSTITUTE(X280,"~","~~"),"*","~*"),"?","~?"))&lt;=255,COUNTIF(Results[結果識別鍵],"="&amp;SUBSTITUTE(SUBSTITUTE(SUBSTITUTE(X280,"~","~~"),"*","~*"),"?","~?")),COUNTIFS(Results[關聯鍵],"="&amp;SUBSTITUTE(SUBSTITUTE(SUBSTITUTE(H280,"~","~~"),"*","~*"),"?","~?"),Results[分析項目],"="&amp;SUBSTITUTE(SUBSTITUTE(SUBSTITUTE(A280,"~","~~"),"*","~*"),"?","~?")))&gt;1,"同關聯鍵測項重複","OK")))</f>
        <v/>
      </c>
      <c r="AB280" s="93">
        <f>IF(COUNTA($A280:$D280)=0,"",IF(OR(C280="",K280=""),"缺單位",IF(NOT(ISNUMBER(L280)),"單位不相容",IF(L280=1,"OK","已換算"))))</f>
        <v/>
      </c>
      <c r="AC280" s="93">
        <f>IF(COUNTA($A280:$D280)=0,"",IF('07_QAQC'!$C$3="","未選比較版本",IF(U280=0,IF(COUNTIFS(DB_05[標準鍵],W280)&gt;1,"標準鍵重複","未訂此介質／測項門檻"),IF(INDEX(DB_05[版本檢查],U280)&lt;&gt;"OK","標準主檔待核",IF(INDEX(DB_05[標準單位],U280)&lt;&gt;K280,"標準單位不符",IF(INDEX(DB_05[核對狀態],U280)="停用","停用",IF(F280="","缺採樣日期",IF(OR(AND(INDEX(DB_05[生效日],U280)&lt;&gt;"",F280&lt;INDEX(DB_05[生效日],U280)),AND(INDEX(DB_05[失效日],U280)&lt;&gt;"",F280&gt;INDEX(DB_05[失效日],U280))),"日期不適用",INDEX(DB_05[核對狀態],U280)))))))))</f>
        <v/>
      </c>
      <c r="AD280" s="93">
        <f>IF(COUNTA($A280:$D280)=0,"",IF(AC280="未訂此介質／測項門檻",AC280,IF(AC280&lt;&gt;"已核對","標準待核",IF(R280="","未訂管制值",IF(NOT(ISNUMBER(L280)),"單位待核",IF(N280="ND","無法判定（ND無界限）",IF(N280="NA","不適用",IF(Z280&lt;&gt;"OK",Z280,IF(N280="數值",IF(Q280&gt;=R280,"達管制值","未達管制值"),IF(OR(N280="&lt;",N280="&lt;="),IF(OR(Q280&lt;R280,AND(N280="&lt;",Q280=R280)),"未達管制值","無法判定"),IF(OR(N280="&gt;",N280="&gt;="),IF(Q280&gt;=R280,"達管制值","無法判定"),"格式待核")))))))))))</f>
        <v/>
      </c>
      <c r="AE280" s="93">
        <f>IF(COUNTA($A280:$D280)=0,"",IF(AC280="未訂此介質／測項門檻",AC280,IF(AC280&lt;&gt;"已核對","標準待核",IF(S280="","未訂監測值",IF(NOT(ISNUMBER(L280)),"單位待核",IF(N280="ND","無法判定（ND無界限）",IF(N280="NA","不適用",IF(Z280&lt;&gt;"OK",Z280,IF(N280="數值",IF(Q280&gt;=S280,"達監測值","未達監測值"),IF(OR(N280="&lt;",N280="&lt;="),IF(OR(Q280&lt;S280,AND(N280="&lt;",Q280=S280)),"未達監測值","無法判定"),IF(OR(N280="&gt;",N280="&gt;="),IF(Q280&gt;=S280,"達監測值","無法判定"),"格式待核")))))))))))</f>
        <v/>
      </c>
      <c r="AF280" s="93">
        <f>IF(COUNTA($A280:$D280)=0,"",IF(OR(E280="",A280="",B280="",C280=""),"缺必要欄位",IF(Y280&lt;&gt;"OK","樣品資料待補",IF(T280=0,"測項未建或重複",IF(INDEX(DB_04[啟用],T280)&lt;&gt;"是","測項停用",IF(AND(Z280&lt;&gt;"OK",Z280&lt;&gt;"不適用"),Z280,IF(AND(AB280&lt;&gt;"OK",AB280&lt;&gt;"已換算"),"單位待核",IF(AA280&lt;&gt;"OK",AA280,"OK"))))))))</f>
        <v/>
      </c>
      <c r="AG280" s="93">
        <f>IF(COUNTA($A280:$D280)=0,"",IF(N280="ND","ND取0",IF(OR(N280="&lt;",N280="&lt;="),"界限除以2",IF(N280="NA","不適用",IF(OR(N280="&gt;",N280="&gt;="),"保留界限數值","保留原數值")))))</f>
        <v/>
      </c>
      <c r="AH280" s="92">
        <f>IF(O280="","",IFERROR(_xlfn.NUMBERVALUE(O280,".",","),""))</f>
        <v/>
      </c>
      <c r="AI280" s="92">
        <f>IF(H280="","",IFERROR(MATCH(H280,Samples[樣品編號],0),0))</f>
        <v/>
      </c>
    </row>
    <row r="281">
      <c r="A281" s="27" t="inlineStr">
        <is>
          <t>總有機碳</t>
        </is>
      </c>
      <c r="B281" s="28" t="inlineStr">
        <is>
          <t>3.6</t>
        </is>
      </c>
      <c r="C281" s="27" t="inlineStr">
        <is>
          <t>mg/L</t>
        </is>
      </c>
      <c r="D281" s="39" t="inlineStr">
        <is>
          <t>合成資料，非實測；method=lab</t>
        </is>
      </c>
      <c r="E281" s="29">
        <f>IF(OR(I281="",I281=0),"",IF(INDEX(Samples[監測點],I281)="","",INDEX(Samples[監測點],I281)))</f>
        <v/>
      </c>
      <c r="F281" s="90">
        <f>IF(OR(I281="",I281=0),"",IF(INDEX(Samples[採樣日期],I281)="","",INDEX(Samples[採樣日期],I281)))</f>
        <v/>
      </c>
      <c r="G281" s="91">
        <f>IF(OR(M281="",M281="NA",M281="N/A"),"",IF(OR(M281="ND",M281="N.D."),0,IFERROR(IF(OR(OR(ISNUMBER(SEARCH("%",O281)),ISNUMBER(SEARCH(" ",O281)),ISNUMBER(SEARCH(",",O281))),OR(SUBSTITUTE(SUBSTITUTE(SUBSTITUTE(SUBSTITUTE(SUBSTITUTE(SUBSTITUTE(SUBSTITUTE(SUBSTITUTE(SUBSTITUTE(SUBSTITUTE(SUBSTITUTE(SUBSTITUTE(SUBSTITUTE(SUBSTITUTE(SUBSTITUTE(SUBSTITUTE(SUBSTITUTE(SUBSTITUTE("x"&amp;M281,"0",""),"1",""),"2",""),"3",""),"4",""),"5",""),"6",""),"7",""),"8",""),"9",""),".",""),"E",""),"+",""),"-",""),"&lt;",""),"&gt;",""),"=","")," ","")&lt;&gt;"x",ISNUMBER(SEARCH("-",SUBSTITUTE(SUBSTITUTE("x"&amp;MID(M281,2,99),"E-","E"),"E+","E"))),ISNUMBER(SEARCH("+",SUBSTITUTE(SUBSTITUTE("x"&amp;MID(M281,2,99),"E-","E"),"E+","E"))))),"",IF(AND(OR(LEFT(M281,1)="&lt;",LEFT(M281,1)="&gt;"),IF(O281="",0,IF(ISNUMBER(AH281),AH281,NA()))&lt;0),"",IF(O281="",0,IF(ISNUMBER(AH281),AH281,NA()))/IF(LEFT(M281,1)="&lt;",2,1))),"")))</f>
        <v/>
      </c>
      <c r="H281" s="57" t="inlineStr">
        <is>
          <t>BH06-W_20260415_02</t>
        </is>
      </c>
      <c r="I281" s="92">
        <f>IF(OR(H281="",AI281=0),0,IF(INDEX(Samples[樣品重複筆數],AI281)=1,AI281,0))</f>
        <v/>
      </c>
      <c r="J281" s="92">
        <f>IF(OR(COUNTA($A281:$D281)=0,I281=0),"",IF(INDEX(Samples[介質],I281)="","",INDEX(Samples[介質],I281)))</f>
        <v/>
      </c>
      <c r="K281" s="92">
        <f>IF(OR(COUNTA($A281:$D281)=0,T281=0),"",IF(INDEX(DB_04[標準單位],T281)="","",INDEX(DB_04[標準單位],T281)))</f>
        <v/>
      </c>
      <c r="L281" s="92">
        <f>IF(COUNTA($A281:$D281)=0,"",IF(OR(C281="",K281=""),"",IF(C281=K281,1,IF(COUNTIFS(DB_06[換算鍵],C281&amp;"|"&amp;K281,DB_06[換算檢查],"OK")=1,INDEX(DB_06[乘數],MATCH(C281&amp;"|"&amp;K281,DB_06[換算鍵],0)),""))))</f>
        <v/>
      </c>
      <c r="M281" s="92">
        <f>UPPER(SUBSTITUTE(SUBSTITUTE(SUBSTITUTE(SUBSTITUTE(TRIM(B281&amp;""),"＜","&lt;"),"＞","&gt;"),"≤","&lt;="),"≥","&gt;="))</f>
        <v/>
      </c>
      <c r="N281" s="92">
        <f>IF(M281="","",IF(OR(M281="ND",M281="N.D."),"ND",IF(OR(M281="NA",M281="N/A",M281="N.A."),"NA",IF(OR(LEFT(M281,2)="&lt;=",LEFT(M281,2)="&gt;="),LEFT(M281,2),IF(OR(LEFT(M281,1)="&lt;",LEFT(M281,1)="&gt;"),LEFT(M281,1),"數值")))))</f>
        <v/>
      </c>
      <c r="O281" s="92">
        <f>IF(OR(N281="",N281="ND",N281="NA"),"",IF(N281="數值",M281,TRIM(MID(M281,LEN(N281)+1,99))))</f>
        <v/>
      </c>
      <c r="P281" s="92">
        <f>IF(O281="","",IFERROR(IF(OR(OR(ISNUMBER(SEARCH("%",O281)),ISNUMBER(SEARCH(" ",O281)),ISNUMBER(SEARCH(",",O281))),OR(SUBSTITUTE(SUBSTITUTE(SUBSTITUTE(SUBSTITUTE(SUBSTITUTE(SUBSTITUTE(SUBSTITUTE(SUBSTITUTE(SUBSTITUTE(SUBSTITUTE(SUBSTITUTE(SUBSTITUTE(SUBSTITUTE(SUBSTITUTE(SUBSTITUTE(SUBSTITUTE(SUBSTITUTE(SUBSTITUTE("x"&amp;O281,"0",""),"1",""),"2",""),"3",""),"4",""),"5",""),"6",""),"7",""),"8",""),"9",""),".",""),"E",""),"+",""),"-",""),"&lt;",""),"&gt;",""),"=","")," ","")&lt;&gt;"x",ISNUMBER(SEARCH("-",SUBSTITUTE(SUBSTITUTE("x"&amp;MID(O281,2,99),"E-","E"),"E+","E"))),ISNUMBER(SEARCH("+",SUBSTITUTE(SUBSTITUTE("x"&amp;MID(O281,2,99),"E-","E"),"E+","E"))))),"",IF(ISNUMBER(AH281),AH281,NA())),""))</f>
        <v/>
      </c>
      <c r="Q281" s="92">
        <f>IF(AND(ISNUMBER(L281),ISNUMBER(P281)),L281*P281,"")</f>
        <v/>
      </c>
      <c r="R281" s="92">
        <f>IF(OR(COUNTA($A281:$D281)=0,U281=0),"",IF(INDEX(DB_05[管制設定值],U281)="","",INDEX(DB_05[管制設定值],U281)))</f>
        <v/>
      </c>
      <c r="S281" s="92">
        <f>IF(OR(COUNTA($A281:$D281)=0,U281=0),"",IF(INDEX(DB_05[監測設定值],U281)="","",INDEX(DB_05[監測設定值],U281)))</f>
        <v/>
      </c>
      <c r="T281" s="92">
        <f>IF(COUNTA($A281:$D281)=0,"",IF(COUNTIFS(DB_04[測項鍵],V281)=1,MATCH(V281,DB_04[測項鍵],0),0))</f>
        <v/>
      </c>
      <c r="U281" s="92">
        <f>IF(COUNTA($A281:$D281)=0,"",IF(COUNTIFS(DB_05[標準鍵],W281)=1,MATCH(W281,DB_05[標準鍵],0),0))</f>
        <v/>
      </c>
      <c r="V281" s="92">
        <f>IF(OR(J281="",A281=""),"",J281&amp;"|"&amp;A281)</f>
        <v/>
      </c>
      <c r="W281" s="92">
        <f>IF(OR('07_QAQC'!$C$3="",V281=""),"",'07_QAQC'!$C$3&amp;"|"&amp;V281)</f>
        <v/>
      </c>
      <c r="X281" s="92">
        <f>IF(OR(H281="",A281=""),"",LEN(H281)&amp;":"&amp;H281&amp;LEN(A281)&amp;":"&amp;A281)</f>
        <v/>
      </c>
      <c r="Y281" s="93">
        <f>IF(COUNTA($A281:$D281)=0,"",IF(I281=0,"樣品未建或重複",IF(INDEX(Samples[樣品檢查],I281)="","OK",INDEX(Samples[樣品檢查],I281))))</f>
        <v/>
      </c>
      <c r="Z281" s="93">
        <f>IF(COUNTA($A281:$D281)=0,"",IF(B281="","缺原始值",IF(OR(B281="-",B281="--"),"無資料",IF(N281="NA","不適用",IF(N281="ND","OK",IF(NOT(ISNUMBER(P281)),"格式待核",IF(AND(N281&lt;&gt;"數值",P281&lt;0),"界限不得為負","OK")))))))</f>
        <v/>
      </c>
      <c r="AA281" s="93">
        <f>IF(COUNTA(A281:D281)=0,"",IF(OR(A281="",H281=""),"缺識別欄位",IF(IF(LEN("="&amp;SUBSTITUTE(SUBSTITUTE(SUBSTITUTE(X281,"~","~~"),"*","~*"),"?","~?"))&lt;=255,COUNTIF(Results[結果識別鍵],"="&amp;SUBSTITUTE(SUBSTITUTE(SUBSTITUTE(X281,"~","~~"),"*","~*"),"?","~?")),COUNTIFS(Results[關聯鍵],"="&amp;SUBSTITUTE(SUBSTITUTE(SUBSTITUTE(H281,"~","~~"),"*","~*"),"?","~?"),Results[分析項目],"="&amp;SUBSTITUTE(SUBSTITUTE(SUBSTITUTE(A281,"~","~~"),"*","~*"),"?","~?")))&gt;1,"同關聯鍵測項重複","OK")))</f>
        <v/>
      </c>
      <c r="AB281" s="93">
        <f>IF(COUNTA($A281:$D281)=0,"",IF(OR(C281="",K281=""),"缺單位",IF(NOT(ISNUMBER(L281)),"單位不相容",IF(L281=1,"OK","已換算"))))</f>
        <v/>
      </c>
      <c r="AC281" s="93">
        <f>IF(COUNTA($A281:$D281)=0,"",IF('07_QAQC'!$C$3="","未選比較版本",IF(U281=0,IF(COUNTIFS(DB_05[標準鍵],W281)&gt;1,"標準鍵重複","未訂此介質／測項門檻"),IF(INDEX(DB_05[版本檢查],U281)&lt;&gt;"OK","標準主檔待核",IF(INDEX(DB_05[標準單位],U281)&lt;&gt;K281,"標準單位不符",IF(INDEX(DB_05[核對狀態],U281)="停用","停用",IF(F281="","缺採樣日期",IF(OR(AND(INDEX(DB_05[生效日],U281)&lt;&gt;"",F281&lt;INDEX(DB_05[生效日],U281)),AND(INDEX(DB_05[失效日],U281)&lt;&gt;"",F281&gt;INDEX(DB_05[失效日],U281))),"日期不適用",INDEX(DB_05[核對狀態],U281)))))))))</f>
        <v/>
      </c>
      <c r="AD281" s="93">
        <f>IF(COUNTA($A281:$D281)=0,"",IF(AC281="未訂此介質／測項門檻",AC281,IF(AC281&lt;&gt;"已核對","標準待核",IF(R281="","未訂管制值",IF(NOT(ISNUMBER(L281)),"單位待核",IF(N281="ND","無法判定（ND無界限）",IF(N281="NA","不適用",IF(Z281&lt;&gt;"OK",Z281,IF(N281="數值",IF(Q281&gt;=R281,"達管制值","未達管制值"),IF(OR(N281="&lt;",N281="&lt;="),IF(OR(Q281&lt;R281,AND(N281="&lt;",Q281=R281)),"未達管制值","無法判定"),IF(OR(N281="&gt;",N281="&gt;="),IF(Q281&gt;=R281,"達管制值","無法判定"),"格式待核")))))))))))</f>
        <v/>
      </c>
      <c r="AE281" s="93">
        <f>IF(COUNTA($A281:$D281)=0,"",IF(AC281="未訂此介質／測項門檻",AC281,IF(AC281&lt;&gt;"已核對","標準待核",IF(S281="","未訂監測值",IF(NOT(ISNUMBER(L281)),"單位待核",IF(N281="ND","無法判定（ND無界限）",IF(N281="NA","不適用",IF(Z281&lt;&gt;"OK",Z281,IF(N281="數值",IF(Q281&gt;=S281,"達監測值","未達監測值"),IF(OR(N281="&lt;",N281="&lt;="),IF(OR(Q281&lt;S281,AND(N281="&lt;",Q281=S281)),"未達監測值","無法判定"),IF(OR(N281="&gt;",N281="&gt;="),IF(Q281&gt;=S281,"達監測值","無法判定"),"格式待核")))))))))))</f>
        <v/>
      </c>
      <c r="AF281" s="93">
        <f>IF(COUNTA($A281:$D281)=0,"",IF(OR(E281="",A281="",B281="",C281=""),"缺必要欄位",IF(Y281&lt;&gt;"OK","樣品資料待補",IF(T281=0,"測項未建或重複",IF(INDEX(DB_04[啟用],T281)&lt;&gt;"是","測項停用",IF(AND(Z281&lt;&gt;"OK",Z281&lt;&gt;"不適用"),Z281,IF(AND(AB281&lt;&gt;"OK",AB281&lt;&gt;"已換算"),"單位待核",IF(AA281&lt;&gt;"OK",AA281,"OK"))))))))</f>
        <v/>
      </c>
      <c r="AG281" s="93">
        <f>IF(COUNTA($A281:$D281)=0,"",IF(N281="ND","ND取0",IF(OR(N281="&lt;",N281="&lt;="),"界限除以2",IF(N281="NA","不適用",IF(OR(N281="&gt;",N281="&gt;="),"保留界限數值","保留原數值")))))</f>
        <v/>
      </c>
      <c r="AH281" s="92">
        <f>IF(O281="","",IFERROR(_xlfn.NUMBERVALUE(O281,".",","),""))</f>
        <v/>
      </c>
      <c r="AI281" s="92">
        <f>IF(H281="","",IFERROR(MATCH(H281,Samples[樣品編號],0),0))</f>
        <v/>
      </c>
    </row>
    <row r="282">
      <c r="A282" s="27" t="inlineStr">
        <is>
          <t>鋅</t>
        </is>
      </c>
      <c r="B282" s="28" t="inlineStr">
        <is>
          <t>198</t>
        </is>
      </c>
      <c r="C282" s="27" t="inlineStr">
        <is>
          <t>mg/kg</t>
        </is>
      </c>
      <c r="D282" s="39" t="inlineStr">
        <is>
          <t>合成資料，非實測；method=XRF; basis=dry</t>
        </is>
      </c>
      <c r="E282" s="29">
        <f>IF(OR(I282="",I282=0),"",IF(INDEX(Samples[監測點],I282)="","",INDEX(Samples[監測點],I282)))</f>
        <v/>
      </c>
      <c r="F282" s="90">
        <f>IF(OR(I282="",I282=0),"",IF(INDEX(Samples[採樣日期],I282)="","",INDEX(Samples[採樣日期],I282)))</f>
        <v/>
      </c>
      <c r="G282" s="91">
        <f>IF(OR(M282="",M282="NA",M282="N/A"),"",IF(OR(M282="ND",M282="N.D."),0,IFERROR(IF(OR(OR(ISNUMBER(SEARCH("%",O282)),ISNUMBER(SEARCH(" ",O282)),ISNUMBER(SEARCH(",",O282))),OR(SUBSTITUTE(SUBSTITUTE(SUBSTITUTE(SUBSTITUTE(SUBSTITUTE(SUBSTITUTE(SUBSTITUTE(SUBSTITUTE(SUBSTITUTE(SUBSTITUTE(SUBSTITUTE(SUBSTITUTE(SUBSTITUTE(SUBSTITUTE(SUBSTITUTE(SUBSTITUTE(SUBSTITUTE(SUBSTITUTE("x"&amp;M282,"0",""),"1",""),"2",""),"3",""),"4",""),"5",""),"6",""),"7",""),"8",""),"9",""),".",""),"E",""),"+",""),"-",""),"&lt;",""),"&gt;",""),"=","")," ","")&lt;&gt;"x",ISNUMBER(SEARCH("-",SUBSTITUTE(SUBSTITUTE("x"&amp;MID(M282,2,99),"E-","E"),"E+","E"))),ISNUMBER(SEARCH("+",SUBSTITUTE(SUBSTITUTE("x"&amp;MID(M282,2,99),"E-","E"),"E+","E"))))),"",IF(AND(OR(LEFT(M282,1)="&lt;",LEFT(M282,1)="&gt;"),IF(O282="",0,IF(ISNUMBER(AH282),AH282,NA()))&lt;0),"",IF(O282="",0,IF(ISNUMBER(AH282),AH282,NA()))/IF(LEFT(M282,1)="&lt;",2,1))),"")))</f>
        <v/>
      </c>
      <c r="H282" s="57" t="inlineStr">
        <is>
          <t>BH06-S_20260415_03</t>
        </is>
      </c>
      <c r="I282" s="92">
        <f>IF(OR(H282="",AI282=0),0,IF(INDEX(Samples[樣品重複筆數],AI282)=1,AI282,0))</f>
        <v/>
      </c>
      <c r="J282" s="92">
        <f>IF(OR(COUNTA($A282:$D282)=0,I282=0),"",IF(INDEX(Samples[介質],I282)="","",INDEX(Samples[介質],I282)))</f>
        <v/>
      </c>
      <c r="K282" s="92">
        <f>IF(OR(COUNTA($A282:$D282)=0,T282=0),"",IF(INDEX(DB_04[標準單位],T282)="","",INDEX(DB_04[標準單位],T282)))</f>
        <v/>
      </c>
      <c r="L282" s="92">
        <f>IF(COUNTA($A282:$D282)=0,"",IF(OR(C282="",K282=""),"",IF(C282=K282,1,IF(COUNTIFS(DB_06[換算鍵],C282&amp;"|"&amp;K282,DB_06[換算檢查],"OK")=1,INDEX(DB_06[乘數],MATCH(C282&amp;"|"&amp;K282,DB_06[換算鍵],0)),""))))</f>
        <v/>
      </c>
      <c r="M282" s="92">
        <f>UPPER(SUBSTITUTE(SUBSTITUTE(SUBSTITUTE(SUBSTITUTE(TRIM(B282&amp;""),"＜","&lt;"),"＞","&gt;"),"≤","&lt;="),"≥","&gt;="))</f>
        <v/>
      </c>
      <c r="N282" s="92">
        <f>IF(M282="","",IF(OR(M282="ND",M282="N.D."),"ND",IF(OR(M282="NA",M282="N/A",M282="N.A."),"NA",IF(OR(LEFT(M282,2)="&lt;=",LEFT(M282,2)="&gt;="),LEFT(M282,2),IF(OR(LEFT(M282,1)="&lt;",LEFT(M282,1)="&gt;"),LEFT(M282,1),"數值")))))</f>
        <v/>
      </c>
      <c r="O282" s="92">
        <f>IF(OR(N282="",N282="ND",N282="NA"),"",IF(N282="數值",M282,TRIM(MID(M282,LEN(N282)+1,99))))</f>
        <v/>
      </c>
      <c r="P282" s="92">
        <f>IF(O282="","",IFERROR(IF(OR(OR(ISNUMBER(SEARCH("%",O282)),ISNUMBER(SEARCH(" ",O282)),ISNUMBER(SEARCH(",",O282))),OR(SUBSTITUTE(SUBSTITUTE(SUBSTITUTE(SUBSTITUTE(SUBSTITUTE(SUBSTITUTE(SUBSTITUTE(SUBSTITUTE(SUBSTITUTE(SUBSTITUTE(SUBSTITUTE(SUBSTITUTE(SUBSTITUTE(SUBSTITUTE(SUBSTITUTE(SUBSTITUTE(SUBSTITUTE(SUBSTITUTE("x"&amp;O282,"0",""),"1",""),"2",""),"3",""),"4",""),"5",""),"6",""),"7",""),"8",""),"9",""),".",""),"E",""),"+",""),"-",""),"&lt;",""),"&gt;",""),"=","")," ","")&lt;&gt;"x",ISNUMBER(SEARCH("-",SUBSTITUTE(SUBSTITUTE("x"&amp;MID(O282,2,99),"E-","E"),"E+","E"))),ISNUMBER(SEARCH("+",SUBSTITUTE(SUBSTITUTE("x"&amp;MID(O282,2,99),"E-","E"),"E+","E"))))),"",IF(ISNUMBER(AH282),AH282,NA())),""))</f>
        <v/>
      </c>
      <c r="Q282" s="92">
        <f>IF(AND(ISNUMBER(L282),ISNUMBER(P282)),L282*P282,"")</f>
        <v/>
      </c>
      <c r="R282" s="92">
        <f>IF(OR(COUNTA($A282:$D282)=0,U282=0),"",IF(INDEX(DB_05[管制設定值],U282)="","",INDEX(DB_05[管制設定值],U282)))</f>
        <v/>
      </c>
      <c r="S282" s="92">
        <f>IF(OR(COUNTA($A282:$D282)=0,U282=0),"",IF(INDEX(DB_05[監測設定值],U282)="","",INDEX(DB_05[監測設定值],U282)))</f>
        <v/>
      </c>
      <c r="T282" s="92">
        <f>IF(COUNTA($A282:$D282)=0,"",IF(COUNTIFS(DB_04[測項鍵],V282)=1,MATCH(V282,DB_04[測項鍵],0),0))</f>
        <v/>
      </c>
      <c r="U282" s="92">
        <f>IF(COUNTA($A282:$D282)=0,"",IF(COUNTIFS(DB_05[標準鍵],W282)=1,MATCH(W282,DB_05[標準鍵],0),0))</f>
        <v/>
      </c>
      <c r="V282" s="92">
        <f>IF(OR(J282="",A282=""),"",J282&amp;"|"&amp;A282)</f>
        <v/>
      </c>
      <c r="W282" s="92">
        <f>IF(OR('07_QAQC'!$C$3="",V282=""),"",'07_QAQC'!$C$3&amp;"|"&amp;V282)</f>
        <v/>
      </c>
      <c r="X282" s="92">
        <f>IF(OR(H282="",A282=""),"",LEN(H282)&amp;":"&amp;H282&amp;LEN(A282)&amp;":"&amp;A282)</f>
        <v/>
      </c>
      <c r="Y282" s="93">
        <f>IF(COUNTA($A282:$D282)=0,"",IF(I282=0,"樣品未建或重複",IF(INDEX(Samples[樣品檢查],I282)="","OK",INDEX(Samples[樣品檢查],I282))))</f>
        <v/>
      </c>
      <c r="Z282" s="93">
        <f>IF(COUNTA($A282:$D282)=0,"",IF(B282="","缺原始值",IF(OR(B282="-",B282="--"),"無資料",IF(N282="NA","不適用",IF(N282="ND","OK",IF(NOT(ISNUMBER(P282)),"格式待核",IF(AND(N282&lt;&gt;"數值",P282&lt;0),"界限不得為負","OK")))))))</f>
        <v/>
      </c>
      <c r="AA282" s="93">
        <f>IF(COUNTA(A282:D282)=0,"",IF(OR(A282="",H282=""),"缺識別欄位",IF(IF(LEN("="&amp;SUBSTITUTE(SUBSTITUTE(SUBSTITUTE(X282,"~","~~"),"*","~*"),"?","~?"))&lt;=255,COUNTIF(Results[結果識別鍵],"="&amp;SUBSTITUTE(SUBSTITUTE(SUBSTITUTE(X282,"~","~~"),"*","~*"),"?","~?")),COUNTIFS(Results[關聯鍵],"="&amp;SUBSTITUTE(SUBSTITUTE(SUBSTITUTE(H282,"~","~~"),"*","~*"),"?","~?"),Results[分析項目],"="&amp;SUBSTITUTE(SUBSTITUTE(SUBSTITUTE(A282,"~","~~"),"*","~*"),"?","~?")))&gt;1,"同關聯鍵測項重複","OK")))</f>
        <v/>
      </c>
      <c r="AB282" s="93">
        <f>IF(COUNTA($A282:$D282)=0,"",IF(OR(C282="",K282=""),"缺單位",IF(NOT(ISNUMBER(L282)),"單位不相容",IF(L282=1,"OK","已換算"))))</f>
        <v/>
      </c>
      <c r="AC282" s="93">
        <f>IF(COUNTA($A282:$D282)=0,"",IF('07_QAQC'!$C$3="","未選比較版本",IF(U282=0,IF(COUNTIFS(DB_05[標準鍵],W282)&gt;1,"標準鍵重複","未訂此介質／測項門檻"),IF(INDEX(DB_05[版本檢查],U282)&lt;&gt;"OK","標準主檔待核",IF(INDEX(DB_05[標準單位],U282)&lt;&gt;K282,"標準單位不符",IF(INDEX(DB_05[核對狀態],U282)="停用","停用",IF(F282="","缺採樣日期",IF(OR(AND(INDEX(DB_05[生效日],U282)&lt;&gt;"",F282&lt;INDEX(DB_05[生效日],U282)),AND(INDEX(DB_05[失效日],U282)&lt;&gt;"",F282&gt;INDEX(DB_05[失效日],U282))),"日期不適用",INDEX(DB_05[核對狀態],U282)))))))))</f>
        <v/>
      </c>
      <c r="AD282" s="93">
        <f>IF(COUNTA($A282:$D282)=0,"",IF(AC282="未訂此介質／測項門檻",AC282,IF(AC282&lt;&gt;"已核對","標準待核",IF(R282="","未訂管制值",IF(NOT(ISNUMBER(L282)),"單位待核",IF(N282="ND","無法判定（ND無界限）",IF(N282="NA","不適用",IF(Z282&lt;&gt;"OK",Z282,IF(N282="數值",IF(Q282&gt;=R282,"達管制值","未達管制值"),IF(OR(N282="&lt;",N282="&lt;="),IF(OR(Q282&lt;R282,AND(N282="&lt;",Q282=R282)),"未達管制值","無法判定"),IF(OR(N282="&gt;",N282="&gt;="),IF(Q282&gt;=R282,"達管制值","無法判定"),"格式待核")))))))))))</f>
        <v/>
      </c>
      <c r="AE282" s="93">
        <f>IF(COUNTA($A282:$D282)=0,"",IF(AC282="未訂此介質／測項門檻",AC282,IF(AC282&lt;&gt;"已核對","標準待核",IF(S282="","未訂監測值",IF(NOT(ISNUMBER(L282)),"單位待核",IF(N282="ND","無法判定（ND無界限）",IF(N282="NA","不適用",IF(Z282&lt;&gt;"OK",Z282,IF(N282="數值",IF(Q282&gt;=S282,"達監測值","未達監測值"),IF(OR(N282="&lt;",N282="&lt;="),IF(OR(Q282&lt;S282,AND(N282="&lt;",Q282=S282)),"未達監測值","無法判定"),IF(OR(N282="&gt;",N282="&gt;="),IF(Q282&gt;=S282,"達監測值","無法判定"),"格式待核")))))))))))</f>
        <v/>
      </c>
      <c r="AF282" s="93">
        <f>IF(COUNTA($A282:$D282)=0,"",IF(OR(E282="",A282="",B282="",C282=""),"缺必要欄位",IF(Y282&lt;&gt;"OK","樣品資料待補",IF(T282=0,"測項未建或重複",IF(INDEX(DB_04[啟用],T282)&lt;&gt;"是","測項停用",IF(AND(Z282&lt;&gt;"OK",Z282&lt;&gt;"不適用"),Z282,IF(AND(AB282&lt;&gt;"OK",AB282&lt;&gt;"已換算"),"單位待核",IF(AA282&lt;&gt;"OK",AA282,"OK"))))))))</f>
        <v/>
      </c>
      <c r="AG282" s="93">
        <f>IF(COUNTA($A282:$D282)=0,"",IF(N282="ND","ND取0",IF(OR(N282="&lt;",N282="&lt;="),"界限除以2",IF(N282="NA","不適用",IF(OR(N282="&gt;",N282="&gt;="),"保留界限數值","保留原數值")))))</f>
        <v/>
      </c>
      <c r="AH282" s="92">
        <f>IF(O282="","",IFERROR(_xlfn.NUMBERVALUE(O282,".",","),""))</f>
        <v/>
      </c>
      <c r="AI282" s="92">
        <f>IF(H282="","",IFERROR(MATCH(H282,Samples[樣品編號],0),0))</f>
        <v/>
      </c>
    </row>
    <row r="283">
      <c r="A283" s="27" t="inlineStr">
        <is>
          <t>總有機碳</t>
        </is>
      </c>
      <c r="B283" s="28" t="inlineStr">
        <is>
          <t>0.62</t>
        </is>
      </c>
      <c r="C283" s="27" t="inlineStr">
        <is>
          <t>%</t>
        </is>
      </c>
      <c r="D283" s="39" t="inlineStr">
        <is>
          <t>合成資料，非實測；method=lab; basis=dry</t>
        </is>
      </c>
      <c r="E283" s="29">
        <f>IF(OR(I283="",I283=0),"",IF(INDEX(Samples[監測點],I283)="","",INDEX(Samples[監測點],I283)))</f>
        <v/>
      </c>
      <c r="F283" s="90">
        <f>IF(OR(I283="",I283=0),"",IF(INDEX(Samples[採樣日期],I283)="","",INDEX(Samples[採樣日期],I283)))</f>
        <v/>
      </c>
      <c r="G283" s="91">
        <f>IF(OR(M283="",M283="NA",M283="N/A"),"",IF(OR(M283="ND",M283="N.D."),0,IFERROR(IF(OR(OR(ISNUMBER(SEARCH("%",O283)),ISNUMBER(SEARCH(" ",O283)),ISNUMBER(SEARCH(",",O283))),OR(SUBSTITUTE(SUBSTITUTE(SUBSTITUTE(SUBSTITUTE(SUBSTITUTE(SUBSTITUTE(SUBSTITUTE(SUBSTITUTE(SUBSTITUTE(SUBSTITUTE(SUBSTITUTE(SUBSTITUTE(SUBSTITUTE(SUBSTITUTE(SUBSTITUTE(SUBSTITUTE(SUBSTITUTE(SUBSTITUTE("x"&amp;M283,"0",""),"1",""),"2",""),"3",""),"4",""),"5",""),"6",""),"7",""),"8",""),"9",""),".",""),"E",""),"+",""),"-",""),"&lt;",""),"&gt;",""),"=","")," ","")&lt;&gt;"x",ISNUMBER(SEARCH("-",SUBSTITUTE(SUBSTITUTE("x"&amp;MID(M283,2,99),"E-","E"),"E+","E"))),ISNUMBER(SEARCH("+",SUBSTITUTE(SUBSTITUTE("x"&amp;MID(M283,2,99),"E-","E"),"E+","E"))))),"",IF(AND(OR(LEFT(M283,1)="&lt;",LEFT(M283,1)="&gt;"),IF(O283="",0,IF(ISNUMBER(AH283),AH283,NA()))&lt;0),"",IF(O283="",0,IF(ISNUMBER(AH283),AH283,NA()))/IF(LEFT(M283,1)="&lt;",2,1))),"")))</f>
        <v/>
      </c>
      <c r="H283" s="57" t="inlineStr">
        <is>
          <t>BH06-S_20260415_03</t>
        </is>
      </c>
      <c r="I283" s="92">
        <f>IF(OR(H283="",AI283=0),0,IF(INDEX(Samples[樣品重複筆數],AI283)=1,AI283,0))</f>
        <v/>
      </c>
      <c r="J283" s="92">
        <f>IF(OR(COUNTA($A283:$D283)=0,I283=0),"",IF(INDEX(Samples[介質],I283)="","",INDEX(Samples[介質],I283)))</f>
        <v/>
      </c>
      <c r="K283" s="92">
        <f>IF(OR(COUNTA($A283:$D283)=0,T283=0),"",IF(INDEX(DB_04[標準單位],T283)="","",INDEX(DB_04[標準單位],T283)))</f>
        <v/>
      </c>
      <c r="L283" s="92">
        <f>IF(COUNTA($A283:$D283)=0,"",IF(OR(C283="",K283=""),"",IF(C283=K283,1,IF(COUNTIFS(DB_06[換算鍵],C283&amp;"|"&amp;K283,DB_06[換算檢查],"OK")=1,INDEX(DB_06[乘數],MATCH(C283&amp;"|"&amp;K283,DB_06[換算鍵],0)),""))))</f>
        <v/>
      </c>
      <c r="M283" s="92">
        <f>UPPER(SUBSTITUTE(SUBSTITUTE(SUBSTITUTE(SUBSTITUTE(TRIM(B283&amp;""),"＜","&lt;"),"＞","&gt;"),"≤","&lt;="),"≥","&gt;="))</f>
        <v/>
      </c>
      <c r="N283" s="92">
        <f>IF(M283="","",IF(OR(M283="ND",M283="N.D."),"ND",IF(OR(M283="NA",M283="N/A",M283="N.A."),"NA",IF(OR(LEFT(M283,2)="&lt;=",LEFT(M283,2)="&gt;="),LEFT(M283,2),IF(OR(LEFT(M283,1)="&lt;",LEFT(M283,1)="&gt;"),LEFT(M283,1),"數值")))))</f>
        <v/>
      </c>
      <c r="O283" s="92">
        <f>IF(OR(N283="",N283="ND",N283="NA"),"",IF(N283="數值",M283,TRIM(MID(M283,LEN(N283)+1,99))))</f>
        <v/>
      </c>
      <c r="P283" s="92">
        <f>IF(O283="","",IFERROR(IF(OR(OR(ISNUMBER(SEARCH("%",O283)),ISNUMBER(SEARCH(" ",O283)),ISNUMBER(SEARCH(",",O283))),OR(SUBSTITUTE(SUBSTITUTE(SUBSTITUTE(SUBSTITUTE(SUBSTITUTE(SUBSTITUTE(SUBSTITUTE(SUBSTITUTE(SUBSTITUTE(SUBSTITUTE(SUBSTITUTE(SUBSTITUTE(SUBSTITUTE(SUBSTITUTE(SUBSTITUTE(SUBSTITUTE(SUBSTITUTE(SUBSTITUTE("x"&amp;O283,"0",""),"1",""),"2",""),"3",""),"4",""),"5",""),"6",""),"7",""),"8",""),"9",""),".",""),"E",""),"+",""),"-",""),"&lt;",""),"&gt;",""),"=","")," ","")&lt;&gt;"x",ISNUMBER(SEARCH("-",SUBSTITUTE(SUBSTITUTE("x"&amp;MID(O283,2,99),"E-","E"),"E+","E"))),ISNUMBER(SEARCH("+",SUBSTITUTE(SUBSTITUTE("x"&amp;MID(O283,2,99),"E-","E"),"E+","E"))))),"",IF(ISNUMBER(AH283),AH283,NA())),""))</f>
        <v/>
      </c>
      <c r="Q283" s="92">
        <f>IF(AND(ISNUMBER(L283),ISNUMBER(P283)),L283*P283,"")</f>
        <v/>
      </c>
      <c r="R283" s="92">
        <f>IF(OR(COUNTA($A283:$D283)=0,U283=0),"",IF(INDEX(DB_05[管制設定值],U283)="","",INDEX(DB_05[管制設定值],U283)))</f>
        <v/>
      </c>
      <c r="S283" s="92">
        <f>IF(OR(COUNTA($A283:$D283)=0,U283=0),"",IF(INDEX(DB_05[監測設定值],U283)="","",INDEX(DB_05[監測設定值],U283)))</f>
        <v/>
      </c>
      <c r="T283" s="92">
        <f>IF(COUNTA($A283:$D283)=0,"",IF(COUNTIFS(DB_04[測項鍵],V283)=1,MATCH(V283,DB_04[測項鍵],0),0))</f>
        <v/>
      </c>
      <c r="U283" s="92">
        <f>IF(COUNTA($A283:$D283)=0,"",IF(COUNTIFS(DB_05[標準鍵],W283)=1,MATCH(W283,DB_05[標準鍵],0),0))</f>
        <v/>
      </c>
      <c r="V283" s="92">
        <f>IF(OR(J283="",A283=""),"",J283&amp;"|"&amp;A283)</f>
        <v/>
      </c>
      <c r="W283" s="92">
        <f>IF(OR('07_QAQC'!$C$3="",V283=""),"",'07_QAQC'!$C$3&amp;"|"&amp;V283)</f>
        <v/>
      </c>
      <c r="X283" s="92">
        <f>IF(OR(H283="",A283=""),"",LEN(H283)&amp;":"&amp;H283&amp;LEN(A283)&amp;":"&amp;A283)</f>
        <v/>
      </c>
      <c r="Y283" s="93">
        <f>IF(COUNTA($A283:$D283)=0,"",IF(I283=0,"樣品未建或重複",IF(INDEX(Samples[樣品檢查],I283)="","OK",INDEX(Samples[樣品檢查],I283))))</f>
        <v/>
      </c>
      <c r="Z283" s="93">
        <f>IF(COUNTA($A283:$D283)=0,"",IF(B283="","缺原始值",IF(OR(B283="-",B283="--"),"無資料",IF(N283="NA","不適用",IF(N283="ND","OK",IF(NOT(ISNUMBER(P283)),"格式待核",IF(AND(N283&lt;&gt;"數值",P283&lt;0),"界限不得為負","OK")))))))</f>
        <v/>
      </c>
      <c r="AA283" s="93">
        <f>IF(COUNTA(A283:D283)=0,"",IF(OR(A283="",H283=""),"缺識別欄位",IF(IF(LEN("="&amp;SUBSTITUTE(SUBSTITUTE(SUBSTITUTE(X283,"~","~~"),"*","~*"),"?","~?"))&lt;=255,COUNTIF(Results[結果識別鍵],"="&amp;SUBSTITUTE(SUBSTITUTE(SUBSTITUTE(X283,"~","~~"),"*","~*"),"?","~?")),COUNTIFS(Results[關聯鍵],"="&amp;SUBSTITUTE(SUBSTITUTE(SUBSTITUTE(H283,"~","~~"),"*","~*"),"?","~?"),Results[分析項目],"="&amp;SUBSTITUTE(SUBSTITUTE(SUBSTITUTE(A283,"~","~~"),"*","~*"),"?","~?")))&gt;1,"同關聯鍵測項重複","OK")))</f>
        <v/>
      </c>
      <c r="AB283" s="93">
        <f>IF(COUNTA($A283:$D283)=0,"",IF(OR(C283="",K283=""),"缺單位",IF(NOT(ISNUMBER(L283)),"單位不相容",IF(L283=1,"OK","已換算"))))</f>
        <v/>
      </c>
      <c r="AC283" s="93">
        <f>IF(COUNTA($A283:$D283)=0,"",IF('07_QAQC'!$C$3="","未選比較版本",IF(U283=0,IF(COUNTIFS(DB_05[標準鍵],W283)&gt;1,"標準鍵重複","未訂此介質／測項門檻"),IF(INDEX(DB_05[版本檢查],U283)&lt;&gt;"OK","標準主檔待核",IF(INDEX(DB_05[標準單位],U283)&lt;&gt;K283,"標準單位不符",IF(INDEX(DB_05[核對狀態],U283)="停用","停用",IF(F283="","缺採樣日期",IF(OR(AND(INDEX(DB_05[生效日],U283)&lt;&gt;"",F283&lt;INDEX(DB_05[生效日],U283)),AND(INDEX(DB_05[失效日],U283)&lt;&gt;"",F283&gt;INDEX(DB_05[失效日],U283))),"日期不適用",INDEX(DB_05[核對狀態],U283)))))))))</f>
        <v/>
      </c>
      <c r="AD283" s="93">
        <f>IF(COUNTA($A283:$D283)=0,"",IF(AC283="未訂此介質／測項門檻",AC283,IF(AC283&lt;&gt;"已核對","標準待核",IF(R283="","未訂管制值",IF(NOT(ISNUMBER(L283)),"單位待核",IF(N283="ND","無法判定（ND無界限）",IF(N283="NA","不適用",IF(Z283&lt;&gt;"OK",Z283,IF(N283="數值",IF(Q283&gt;=R283,"達管制值","未達管制值"),IF(OR(N283="&lt;",N283="&lt;="),IF(OR(Q283&lt;R283,AND(N283="&lt;",Q283=R283)),"未達管制值","無法判定"),IF(OR(N283="&gt;",N283="&gt;="),IF(Q283&gt;=R283,"達管制值","無法判定"),"格式待核")))))))))))</f>
        <v/>
      </c>
      <c r="AE283" s="93">
        <f>IF(COUNTA($A283:$D283)=0,"",IF(AC283="未訂此介質／測項門檻",AC283,IF(AC283&lt;&gt;"已核對","標準待核",IF(S283="","未訂監測值",IF(NOT(ISNUMBER(L283)),"單位待核",IF(N283="ND","無法判定（ND無界限）",IF(N283="NA","不適用",IF(Z283&lt;&gt;"OK",Z283,IF(N283="數值",IF(Q283&gt;=S283,"達監測值","未達監測值"),IF(OR(N283="&lt;",N283="&lt;="),IF(OR(Q283&lt;S283,AND(N283="&lt;",Q283=S283)),"未達監測值","無法判定"),IF(OR(N283="&gt;",N283="&gt;="),IF(Q283&gt;=S283,"達監測值","無法判定"),"格式待核")))))))))))</f>
        <v/>
      </c>
      <c r="AF283" s="93">
        <f>IF(COUNTA($A283:$D283)=0,"",IF(OR(E283="",A283="",B283="",C283=""),"缺必要欄位",IF(Y283&lt;&gt;"OK","樣品資料待補",IF(T283=0,"測項未建或重複",IF(INDEX(DB_04[啟用],T283)&lt;&gt;"是","測項停用",IF(AND(Z283&lt;&gt;"OK",Z283&lt;&gt;"不適用"),Z283,IF(AND(AB283&lt;&gt;"OK",AB283&lt;&gt;"已換算"),"單位待核",IF(AA283&lt;&gt;"OK",AA283,"OK"))))))))</f>
        <v/>
      </c>
      <c r="AG283" s="93">
        <f>IF(COUNTA($A283:$D283)=0,"",IF(N283="ND","ND取0",IF(OR(N283="&lt;",N283="&lt;="),"界限除以2",IF(N283="NA","不適用",IF(OR(N283="&gt;",N283="&gt;="),"保留界限數值","保留原數值")))))</f>
        <v/>
      </c>
      <c r="AH283" s="92">
        <f>IF(O283="","",IFERROR(_xlfn.NUMBERVALUE(O283,".",","),""))</f>
        <v/>
      </c>
      <c r="AI283" s="92">
        <f>IF(H283="","",IFERROR(MATCH(H283,Samples[樣品編號],0),0))</f>
        <v/>
      </c>
    </row>
    <row r="284">
      <c r="A284" s="27" t="inlineStr">
        <is>
          <t>pH</t>
        </is>
      </c>
      <c r="B284" s="28" t="inlineStr">
        <is>
          <t>7.04</t>
        </is>
      </c>
      <c r="C284" s="27" t="inlineStr">
        <is>
          <t>無因次</t>
        </is>
      </c>
      <c r="D284" s="39" t="inlineStr">
        <is>
          <t>合成資料，非實測；method=field</t>
        </is>
      </c>
      <c r="E284" s="29">
        <f>IF(OR(I284="",I284=0),"",IF(INDEX(Samples[監測點],I284)="","",INDEX(Samples[監測點],I284)))</f>
        <v/>
      </c>
      <c r="F284" s="90">
        <f>IF(OR(I284="",I284=0),"",IF(INDEX(Samples[採樣日期],I284)="","",INDEX(Samples[採樣日期],I284)))</f>
        <v/>
      </c>
      <c r="G284" s="91">
        <f>IF(OR(M284="",M284="NA",M284="N/A"),"",IF(OR(M284="ND",M284="N.D."),0,IFERROR(IF(OR(OR(ISNUMBER(SEARCH("%",O284)),ISNUMBER(SEARCH(" ",O284)),ISNUMBER(SEARCH(",",O284))),OR(SUBSTITUTE(SUBSTITUTE(SUBSTITUTE(SUBSTITUTE(SUBSTITUTE(SUBSTITUTE(SUBSTITUTE(SUBSTITUTE(SUBSTITUTE(SUBSTITUTE(SUBSTITUTE(SUBSTITUTE(SUBSTITUTE(SUBSTITUTE(SUBSTITUTE(SUBSTITUTE(SUBSTITUTE(SUBSTITUTE("x"&amp;M284,"0",""),"1",""),"2",""),"3",""),"4",""),"5",""),"6",""),"7",""),"8",""),"9",""),".",""),"E",""),"+",""),"-",""),"&lt;",""),"&gt;",""),"=","")," ","")&lt;&gt;"x",ISNUMBER(SEARCH("-",SUBSTITUTE(SUBSTITUTE("x"&amp;MID(M284,2,99),"E-","E"),"E+","E"))),ISNUMBER(SEARCH("+",SUBSTITUTE(SUBSTITUTE("x"&amp;MID(M284,2,99),"E-","E"),"E+","E"))))),"",IF(AND(OR(LEFT(M284,1)="&lt;",LEFT(M284,1)="&gt;"),IF(O284="",0,IF(ISNUMBER(AH284),AH284,NA()))&lt;0),"",IF(O284="",0,IF(ISNUMBER(AH284),AH284,NA()))/IF(LEFT(M284,1)="&lt;",2,1))),"")))</f>
        <v/>
      </c>
      <c r="H284" s="57" t="inlineStr">
        <is>
          <t>BH06-W_20260415_03</t>
        </is>
      </c>
      <c r="I284" s="92">
        <f>IF(OR(H284="",AI284=0),0,IF(INDEX(Samples[樣品重複筆數],AI284)=1,AI284,0))</f>
        <v/>
      </c>
      <c r="J284" s="92">
        <f>IF(OR(COUNTA($A284:$D284)=0,I284=0),"",IF(INDEX(Samples[介質],I284)="","",INDEX(Samples[介質],I284)))</f>
        <v/>
      </c>
      <c r="K284" s="92">
        <f>IF(OR(COUNTA($A284:$D284)=0,T284=0),"",IF(INDEX(DB_04[標準單位],T284)="","",INDEX(DB_04[標準單位],T284)))</f>
        <v/>
      </c>
      <c r="L284" s="92">
        <f>IF(COUNTA($A284:$D284)=0,"",IF(OR(C284="",K284=""),"",IF(C284=K284,1,IF(COUNTIFS(DB_06[換算鍵],C284&amp;"|"&amp;K284,DB_06[換算檢查],"OK")=1,INDEX(DB_06[乘數],MATCH(C284&amp;"|"&amp;K284,DB_06[換算鍵],0)),""))))</f>
        <v/>
      </c>
      <c r="M284" s="92">
        <f>UPPER(SUBSTITUTE(SUBSTITUTE(SUBSTITUTE(SUBSTITUTE(TRIM(B284&amp;""),"＜","&lt;"),"＞","&gt;"),"≤","&lt;="),"≥","&gt;="))</f>
        <v/>
      </c>
      <c r="N284" s="92">
        <f>IF(M284="","",IF(OR(M284="ND",M284="N.D."),"ND",IF(OR(M284="NA",M284="N/A",M284="N.A."),"NA",IF(OR(LEFT(M284,2)="&lt;=",LEFT(M284,2)="&gt;="),LEFT(M284,2),IF(OR(LEFT(M284,1)="&lt;",LEFT(M284,1)="&gt;"),LEFT(M284,1),"數值")))))</f>
        <v/>
      </c>
      <c r="O284" s="92">
        <f>IF(OR(N284="",N284="ND",N284="NA"),"",IF(N284="數值",M284,TRIM(MID(M284,LEN(N284)+1,99))))</f>
        <v/>
      </c>
      <c r="P284" s="92">
        <f>IF(O284="","",IFERROR(IF(OR(OR(ISNUMBER(SEARCH("%",O284)),ISNUMBER(SEARCH(" ",O284)),ISNUMBER(SEARCH(",",O284))),OR(SUBSTITUTE(SUBSTITUTE(SUBSTITUTE(SUBSTITUTE(SUBSTITUTE(SUBSTITUTE(SUBSTITUTE(SUBSTITUTE(SUBSTITUTE(SUBSTITUTE(SUBSTITUTE(SUBSTITUTE(SUBSTITUTE(SUBSTITUTE(SUBSTITUTE(SUBSTITUTE(SUBSTITUTE(SUBSTITUTE("x"&amp;O284,"0",""),"1",""),"2",""),"3",""),"4",""),"5",""),"6",""),"7",""),"8",""),"9",""),".",""),"E",""),"+",""),"-",""),"&lt;",""),"&gt;",""),"=","")," ","")&lt;&gt;"x",ISNUMBER(SEARCH("-",SUBSTITUTE(SUBSTITUTE("x"&amp;MID(O284,2,99),"E-","E"),"E+","E"))),ISNUMBER(SEARCH("+",SUBSTITUTE(SUBSTITUTE("x"&amp;MID(O284,2,99),"E-","E"),"E+","E"))))),"",IF(ISNUMBER(AH284),AH284,NA())),""))</f>
        <v/>
      </c>
      <c r="Q284" s="92">
        <f>IF(AND(ISNUMBER(L284),ISNUMBER(P284)),L284*P284,"")</f>
        <v/>
      </c>
      <c r="R284" s="92">
        <f>IF(OR(COUNTA($A284:$D284)=0,U284=0),"",IF(INDEX(DB_05[管制設定值],U284)="","",INDEX(DB_05[管制設定值],U284)))</f>
        <v/>
      </c>
      <c r="S284" s="92">
        <f>IF(OR(COUNTA($A284:$D284)=0,U284=0),"",IF(INDEX(DB_05[監測設定值],U284)="","",INDEX(DB_05[監測設定值],U284)))</f>
        <v/>
      </c>
      <c r="T284" s="92">
        <f>IF(COUNTA($A284:$D284)=0,"",IF(COUNTIFS(DB_04[測項鍵],V284)=1,MATCH(V284,DB_04[測項鍵],0),0))</f>
        <v/>
      </c>
      <c r="U284" s="92">
        <f>IF(COUNTA($A284:$D284)=0,"",IF(COUNTIFS(DB_05[標準鍵],W284)=1,MATCH(W284,DB_05[標準鍵],0),0))</f>
        <v/>
      </c>
      <c r="V284" s="92">
        <f>IF(OR(J284="",A284=""),"",J284&amp;"|"&amp;A284)</f>
        <v/>
      </c>
      <c r="W284" s="92">
        <f>IF(OR('07_QAQC'!$C$3="",V284=""),"",'07_QAQC'!$C$3&amp;"|"&amp;V284)</f>
        <v/>
      </c>
      <c r="X284" s="92">
        <f>IF(OR(H284="",A284=""),"",LEN(H284)&amp;":"&amp;H284&amp;LEN(A284)&amp;":"&amp;A284)</f>
        <v/>
      </c>
      <c r="Y284" s="93">
        <f>IF(COUNTA($A284:$D284)=0,"",IF(I284=0,"樣品未建或重複",IF(INDEX(Samples[樣品檢查],I284)="","OK",INDEX(Samples[樣品檢查],I284))))</f>
        <v/>
      </c>
      <c r="Z284" s="93">
        <f>IF(COUNTA($A284:$D284)=0,"",IF(B284="","缺原始值",IF(OR(B284="-",B284="--"),"無資料",IF(N284="NA","不適用",IF(N284="ND","OK",IF(NOT(ISNUMBER(P284)),"格式待核",IF(AND(N284&lt;&gt;"數值",P284&lt;0),"界限不得為負","OK")))))))</f>
        <v/>
      </c>
      <c r="AA284" s="93">
        <f>IF(COUNTA(A284:D284)=0,"",IF(OR(A284="",H284=""),"缺識別欄位",IF(IF(LEN("="&amp;SUBSTITUTE(SUBSTITUTE(SUBSTITUTE(X284,"~","~~"),"*","~*"),"?","~?"))&lt;=255,COUNTIF(Results[結果識別鍵],"="&amp;SUBSTITUTE(SUBSTITUTE(SUBSTITUTE(X284,"~","~~"),"*","~*"),"?","~?")),COUNTIFS(Results[關聯鍵],"="&amp;SUBSTITUTE(SUBSTITUTE(SUBSTITUTE(H284,"~","~~"),"*","~*"),"?","~?"),Results[分析項目],"="&amp;SUBSTITUTE(SUBSTITUTE(SUBSTITUTE(A284,"~","~~"),"*","~*"),"?","~?")))&gt;1,"同關聯鍵測項重複","OK")))</f>
        <v/>
      </c>
      <c r="AB284" s="93">
        <f>IF(COUNTA($A284:$D284)=0,"",IF(OR(C284="",K284=""),"缺單位",IF(NOT(ISNUMBER(L284)),"單位不相容",IF(L284=1,"OK","已換算"))))</f>
        <v/>
      </c>
      <c r="AC284" s="93">
        <f>IF(COUNTA($A284:$D284)=0,"",IF('07_QAQC'!$C$3="","未選比較版本",IF(U284=0,IF(COUNTIFS(DB_05[標準鍵],W284)&gt;1,"標準鍵重複","未訂此介質／測項門檻"),IF(INDEX(DB_05[版本檢查],U284)&lt;&gt;"OK","標準主檔待核",IF(INDEX(DB_05[標準單位],U284)&lt;&gt;K284,"標準單位不符",IF(INDEX(DB_05[核對狀態],U284)="停用","停用",IF(F284="","缺採樣日期",IF(OR(AND(INDEX(DB_05[生效日],U284)&lt;&gt;"",F284&lt;INDEX(DB_05[生效日],U284)),AND(INDEX(DB_05[失效日],U284)&lt;&gt;"",F284&gt;INDEX(DB_05[失效日],U284))),"日期不適用",INDEX(DB_05[核對狀態],U284)))))))))</f>
        <v/>
      </c>
      <c r="AD284" s="93">
        <f>IF(COUNTA($A284:$D284)=0,"",IF(AC284="未訂此介質／測項門檻",AC284,IF(AC284&lt;&gt;"已核對","標準待核",IF(R284="","未訂管制值",IF(NOT(ISNUMBER(L284)),"單位待核",IF(N284="ND","無法判定（ND無界限）",IF(N284="NA","不適用",IF(Z284&lt;&gt;"OK",Z284,IF(N284="數值",IF(Q284&gt;=R284,"達管制值","未達管制值"),IF(OR(N284="&lt;",N284="&lt;="),IF(OR(Q284&lt;R284,AND(N284="&lt;",Q284=R284)),"未達管制值","無法判定"),IF(OR(N284="&gt;",N284="&gt;="),IF(Q284&gt;=R284,"達管制值","無法判定"),"格式待核")))))))))))</f>
        <v/>
      </c>
      <c r="AE284" s="93">
        <f>IF(COUNTA($A284:$D284)=0,"",IF(AC284="未訂此介質／測項門檻",AC284,IF(AC284&lt;&gt;"已核對","標準待核",IF(S284="","未訂監測值",IF(NOT(ISNUMBER(L284)),"單位待核",IF(N284="ND","無法判定（ND無界限）",IF(N284="NA","不適用",IF(Z284&lt;&gt;"OK",Z284,IF(N284="數值",IF(Q284&gt;=S284,"達監測值","未達監測值"),IF(OR(N284="&lt;",N284="&lt;="),IF(OR(Q284&lt;S284,AND(N284="&lt;",Q284=S284)),"未達監測值","無法判定"),IF(OR(N284="&gt;",N284="&gt;="),IF(Q284&gt;=S284,"達監測值","無法判定"),"格式待核")))))))))))</f>
        <v/>
      </c>
      <c r="AF284" s="93">
        <f>IF(COUNTA($A284:$D284)=0,"",IF(OR(E284="",A284="",B284="",C284=""),"缺必要欄位",IF(Y284&lt;&gt;"OK","樣品資料待補",IF(T284=0,"測項未建或重複",IF(INDEX(DB_04[啟用],T284)&lt;&gt;"是","測項停用",IF(AND(Z284&lt;&gt;"OK",Z284&lt;&gt;"不適用"),Z284,IF(AND(AB284&lt;&gt;"OK",AB284&lt;&gt;"已換算"),"單位待核",IF(AA284&lt;&gt;"OK",AA284,"OK"))))))))</f>
        <v/>
      </c>
      <c r="AG284" s="93">
        <f>IF(COUNTA($A284:$D284)=0,"",IF(N284="ND","ND取0",IF(OR(N284="&lt;",N284="&lt;="),"界限除以2",IF(N284="NA","不適用",IF(OR(N284="&gt;",N284="&gt;="),"保留界限數值","保留原數值")))))</f>
        <v/>
      </c>
      <c r="AH284" s="92">
        <f>IF(O284="","",IFERROR(_xlfn.NUMBERVALUE(O284,".",","),""))</f>
        <v/>
      </c>
      <c r="AI284" s="92">
        <f>IF(H284="","",IFERROR(MATCH(H284,Samples[樣品編號],0),0))</f>
        <v/>
      </c>
    </row>
    <row r="285">
      <c r="A285" s="27" t="inlineStr">
        <is>
          <t>EC</t>
        </is>
      </c>
      <c r="B285" s="28" t="inlineStr">
        <is>
          <t>0.79</t>
        </is>
      </c>
      <c r="C285" s="27" t="inlineStr">
        <is>
          <t>mS/cm</t>
        </is>
      </c>
      <c r="D285" s="39" t="inlineStr">
        <is>
          <t>合成資料，非實測；method=field; temperature=25; temperature_compensated=25C; reference_temperature=25</t>
        </is>
      </c>
      <c r="E285" s="29">
        <f>IF(OR(I285="",I285=0),"",IF(INDEX(Samples[監測點],I285)="","",INDEX(Samples[監測點],I285)))</f>
        <v/>
      </c>
      <c r="F285" s="90">
        <f>IF(OR(I285="",I285=0),"",IF(INDEX(Samples[採樣日期],I285)="","",INDEX(Samples[採樣日期],I285)))</f>
        <v/>
      </c>
      <c r="G285" s="91">
        <f>IF(OR(M285="",M285="NA",M285="N/A"),"",IF(OR(M285="ND",M285="N.D."),0,IFERROR(IF(OR(OR(ISNUMBER(SEARCH("%",O285)),ISNUMBER(SEARCH(" ",O285)),ISNUMBER(SEARCH(",",O285))),OR(SUBSTITUTE(SUBSTITUTE(SUBSTITUTE(SUBSTITUTE(SUBSTITUTE(SUBSTITUTE(SUBSTITUTE(SUBSTITUTE(SUBSTITUTE(SUBSTITUTE(SUBSTITUTE(SUBSTITUTE(SUBSTITUTE(SUBSTITUTE(SUBSTITUTE(SUBSTITUTE(SUBSTITUTE(SUBSTITUTE("x"&amp;M285,"0",""),"1",""),"2",""),"3",""),"4",""),"5",""),"6",""),"7",""),"8",""),"9",""),".",""),"E",""),"+",""),"-",""),"&lt;",""),"&gt;",""),"=","")," ","")&lt;&gt;"x",ISNUMBER(SEARCH("-",SUBSTITUTE(SUBSTITUTE("x"&amp;MID(M285,2,99),"E-","E"),"E+","E"))),ISNUMBER(SEARCH("+",SUBSTITUTE(SUBSTITUTE("x"&amp;MID(M285,2,99),"E-","E"),"E+","E"))))),"",IF(AND(OR(LEFT(M285,1)="&lt;",LEFT(M285,1)="&gt;"),IF(O285="",0,IF(ISNUMBER(AH285),AH285,NA()))&lt;0),"",IF(O285="",0,IF(ISNUMBER(AH285),AH285,NA()))/IF(LEFT(M285,1)="&lt;",2,1))),"")))</f>
        <v/>
      </c>
      <c r="H285" s="57" t="inlineStr">
        <is>
          <t>BH06-W_20260415_03</t>
        </is>
      </c>
      <c r="I285" s="92">
        <f>IF(OR(H285="",AI285=0),0,IF(INDEX(Samples[樣品重複筆數],AI285)=1,AI285,0))</f>
        <v/>
      </c>
      <c r="J285" s="92">
        <f>IF(OR(COUNTA($A285:$D285)=0,I285=0),"",IF(INDEX(Samples[介質],I285)="","",INDEX(Samples[介質],I285)))</f>
        <v/>
      </c>
      <c r="K285" s="92">
        <f>IF(OR(COUNTA($A285:$D285)=0,T285=0),"",IF(INDEX(DB_04[標準單位],T285)="","",INDEX(DB_04[標準單位],T285)))</f>
        <v/>
      </c>
      <c r="L285" s="92">
        <f>IF(COUNTA($A285:$D285)=0,"",IF(OR(C285="",K285=""),"",IF(C285=K285,1,IF(COUNTIFS(DB_06[換算鍵],C285&amp;"|"&amp;K285,DB_06[換算檢查],"OK")=1,INDEX(DB_06[乘數],MATCH(C285&amp;"|"&amp;K285,DB_06[換算鍵],0)),""))))</f>
        <v/>
      </c>
      <c r="M285" s="92">
        <f>UPPER(SUBSTITUTE(SUBSTITUTE(SUBSTITUTE(SUBSTITUTE(TRIM(B285&amp;""),"＜","&lt;"),"＞","&gt;"),"≤","&lt;="),"≥","&gt;="))</f>
        <v/>
      </c>
      <c r="N285" s="92">
        <f>IF(M285="","",IF(OR(M285="ND",M285="N.D."),"ND",IF(OR(M285="NA",M285="N/A",M285="N.A."),"NA",IF(OR(LEFT(M285,2)="&lt;=",LEFT(M285,2)="&gt;="),LEFT(M285,2),IF(OR(LEFT(M285,1)="&lt;",LEFT(M285,1)="&gt;"),LEFT(M285,1),"數值")))))</f>
        <v/>
      </c>
      <c r="O285" s="92">
        <f>IF(OR(N285="",N285="ND",N285="NA"),"",IF(N285="數值",M285,TRIM(MID(M285,LEN(N285)+1,99))))</f>
        <v/>
      </c>
      <c r="P285" s="92">
        <f>IF(O285="","",IFERROR(IF(OR(OR(ISNUMBER(SEARCH("%",O285)),ISNUMBER(SEARCH(" ",O285)),ISNUMBER(SEARCH(",",O285))),OR(SUBSTITUTE(SUBSTITUTE(SUBSTITUTE(SUBSTITUTE(SUBSTITUTE(SUBSTITUTE(SUBSTITUTE(SUBSTITUTE(SUBSTITUTE(SUBSTITUTE(SUBSTITUTE(SUBSTITUTE(SUBSTITUTE(SUBSTITUTE(SUBSTITUTE(SUBSTITUTE(SUBSTITUTE(SUBSTITUTE("x"&amp;O285,"0",""),"1",""),"2",""),"3",""),"4",""),"5",""),"6",""),"7",""),"8",""),"9",""),".",""),"E",""),"+",""),"-",""),"&lt;",""),"&gt;",""),"=","")," ","")&lt;&gt;"x",ISNUMBER(SEARCH("-",SUBSTITUTE(SUBSTITUTE("x"&amp;MID(O285,2,99),"E-","E"),"E+","E"))),ISNUMBER(SEARCH("+",SUBSTITUTE(SUBSTITUTE("x"&amp;MID(O285,2,99),"E-","E"),"E+","E"))))),"",IF(ISNUMBER(AH285),AH285,NA())),""))</f>
        <v/>
      </c>
      <c r="Q285" s="92">
        <f>IF(AND(ISNUMBER(L285),ISNUMBER(P285)),L285*P285,"")</f>
        <v/>
      </c>
      <c r="R285" s="92">
        <f>IF(OR(COUNTA($A285:$D285)=0,U285=0),"",IF(INDEX(DB_05[管制設定值],U285)="","",INDEX(DB_05[管制設定值],U285)))</f>
        <v/>
      </c>
      <c r="S285" s="92">
        <f>IF(OR(COUNTA($A285:$D285)=0,U285=0),"",IF(INDEX(DB_05[監測設定值],U285)="","",INDEX(DB_05[監測設定值],U285)))</f>
        <v/>
      </c>
      <c r="T285" s="92">
        <f>IF(COUNTA($A285:$D285)=0,"",IF(COUNTIFS(DB_04[測項鍵],V285)=1,MATCH(V285,DB_04[測項鍵],0),0))</f>
        <v/>
      </c>
      <c r="U285" s="92">
        <f>IF(COUNTA($A285:$D285)=0,"",IF(COUNTIFS(DB_05[標準鍵],W285)=1,MATCH(W285,DB_05[標準鍵],0),0))</f>
        <v/>
      </c>
      <c r="V285" s="92">
        <f>IF(OR(J285="",A285=""),"",J285&amp;"|"&amp;A285)</f>
        <v/>
      </c>
      <c r="W285" s="92">
        <f>IF(OR('07_QAQC'!$C$3="",V285=""),"",'07_QAQC'!$C$3&amp;"|"&amp;V285)</f>
        <v/>
      </c>
      <c r="X285" s="92">
        <f>IF(OR(H285="",A285=""),"",LEN(H285)&amp;":"&amp;H285&amp;LEN(A285)&amp;":"&amp;A285)</f>
        <v/>
      </c>
      <c r="Y285" s="93">
        <f>IF(COUNTA($A285:$D285)=0,"",IF(I285=0,"樣品未建或重複",IF(INDEX(Samples[樣品檢查],I285)="","OK",INDEX(Samples[樣品檢查],I285))))</f>
        <v/>
      </c>
      <c r="Z285" s="93">
        <f>IF(COUNTA($A285:$D285)=0,"",IF(B285="","缺原始值",IF(OR(B285="-",B285="--"),"無資料",IF(N285="NA","不適用",IF(N285="ND","OK",IF(NOT(ISNUMBER(P285)),"格式待核",IF(AND(N285&lt;&gt;"數值",P285&lt;0),"界限不得為負","OK")))))))</f>
        <v/>
      </c>
      <c r="AA285" s="93">
        <f>IF(COUNTA(A285:D285)=0,"",IF(OR(A285="",H285=""),"缺識別欄位",IF(IF(LEN("="&amp;SUBSTITUTE(SUBSTITUTE(SUBSTITUTE(X285,"~","~~"),"*","~*"),"?","~?"))&lt;=255,COUNTIF(Results[結果識別鍵],"="&amp;SUBSTITUTE(SUBSTITUTE(SUBSTITUTE(X285,"~","~~"),"*","~*"),"?","~?")),COUNTIFS(Results[關聯鍵],"="&amp;SUBSTITUTE(SUBSTITUTE(SUBSTITUTE(H285,"~","~~"),"*","~*"),"?","~?"),Results[分析項目],"="&amp;SUBSTITUTE(SUBSTITUTE(SUBSTITUTE(A285,"~","~~"),"*","~*"),"?","~?")))&gt;1,"同關聯鍵測項重複","OK")))</f>
        <v/>
      </c>
      <c r="AB285" s="93">
        <f>IF(COUNTA($A285:$D285)=0,"",IF(OR(C285="",K285=""),"缺單位",IF(NOT(ISNUMBER(L285)),"單位不相容",IF(L285=1,"OK","已換算"))))</f>
        <v/>
      </c>
      <c r="AC285" s="93">
        <f>IF(COUNTA($A285:$D285)=0,"",IF('07_QAQC'!$C$3="","未選比較版本",IF(U285=0,IF(COUNTIFS(DB_05[標準鍵],W285)&gt;1,"標準鍵重複","未訂此介質／測項門檻"),IF(INDEX(DB_05[版本檢查],U285)&lt;&gt;"OK","標準主檔待核",IF(INDEX(DB_05[標準單位],U285)&lt;&gt;K285,"標準單位不符",IF(INDEX(DB_05[核對狀態],U285)="停用","停用",IF(F285="","缺採樣日期",IF(OR(AND(INDEX(DB_05[生效日],U285)&lt;&gt;"",F285&lt;INDEX(DB_05[生效日],U285)),AND(INDEX(DB_05[失效日],U285)&lt;&gt;"",F285&gt;INDEX(DB_05[失效日],U285))),"日期不適用",INDEX(DB_05[核對狀態],U285)))))))))</f>
        <v/>
      </c>
      <c r="AD285" s="93">
        <f>IF(COUNTA($A285:$D285)=0,"",IF(AC285="未訂此介質／測項門檻",AC285,IF(AC285&lt;&gt;"已核對","標準待核",IF(R285="","未訂管制值",IF(NOT(ISNUMBER(L285)),"單位待核",IF(N285="ND","無法判定（ND無界限）",IF(N285="NA","不適用",IF(Z285&lt;&gt;"OK",Z285,IF(N285="數值",IF(Q285&gt;=R285,"達管制值","未達管制值"),IF(OR(N285="&lt;",N285="&lt;="),IF(OR(Q285&lt;R285,AND(N285="&lt;",Q285=R285)),"未達管制值","無法判定"),IF(OR(N285="&gt;",N285="&gt;="),IF(Q285&gt;=R285,"達管制值","無法判定"),"格式待核")))))))))))</f>
        <v/>
      </c>
      <c r="AE285" s="93">
        <f>IF(COUNTA($A285:$D285)=0,"",IF(AC285="未訂此介質／測項門檻",AC285,IF(AC285&lt;&gt;"已核對","標準待核",IF(S285="","未訂監測值",IF(NOT(ISNUMBER(L285)),"單位待核",IF(N285="ND","無法判定（ND無界限）",IF(N285="NA","不適用",IF(Z285&lt;&gt;"OK",Z285,IF(N285="數值",IF(Q285&gt;=S285,"達監測值","未達監測值"),IF(OR(N285="&lt;",N285="&lt;="),IF(OR(Q285&lt;S285,AND(N285="&lt;",Q285=S285)),"未達監測值","無法判定"),IF(OR(N285="&gt;",N285="&gt;="),IF(Q285&gt;=S285,"達監測值","無法判定"),"格式待核")))))))))))</f>
        <v/>
      </c>
      <c r="AF285" s="93">
        <f>IF(COUNTA($A285:$D285)=0,"",IF(OR(E285="",A285="",B285="",C285=""),"缺必要欄位",IF(Y285&lt;&gt;"OK","樣品資料待補",IF(T285=0,"測項未建或重複",IF(INDEX(DB_04[啟用],T285)&lt;&gt;"是","測項停用",IF(AND(Z285&lt;&gt;"OK",Z285&lt;&gt;"不適用"),Z285,IF(AND(AB285&lt;&gt;"OK",AB285&lt;&gt;"已換算"),"單位待核",IF(AA285&lt;&gt;"OK",AA285,"OK"))))))))</f>
        <v/>
      </c>
      <c r="AG285" s="93">
        <f>IF(COUNTA($A285:$D285)=0,"",IF(N285="ND","ND取0",IF(OR(N285="&lt;",N285="&lt;="),"界限除以2",IF(N285="NA","不適用",IF(OR(N285="&gt;",N285="&gt;="),"保留界限數值","保留原數值")))))</f>
        <v/>
      </c>
      <c r="AH285" s="92">
        <f>IF(O285="","",IFERROR(_xlfn.NUMBERVALUE(O285,".",","),""))</f>
        <v/>
      </c>
      <c r="AI285" s="92">
        <f>IF(H285="","",IFERROR(MATCH(H285,Samples[樣品編號],0),0))</f>
        <v/>
      </c>
    </row>
    <row r="286">
      <c r="A286" s="27" t="inlineStr">
        <is>
          <t>DO</t>
        </is>
      </c>
      <c r="B286" s="28" t="inlineStr">
        <is>
          <t>3.6</t>
        </is>
      </c>
      <c r="C286" s="27" t="inlineStr">
        <is>
          <t>mg/L</t>
        </is>
      </c>
      <c r="D286" s="39" t="inlineStr">
        <is>
          <t>合成資料，非實測；method=field</t>
        </is>
      </c>
      <c r="E286" s="29">
        <f>IF(OR(I286="",I286=0),"",IF(INDEX(Samples[監測點],I286)="","",INDEX(Samples[監測點],I286)))</f>
        <v/>
      </c>
      <c r="F286" s="90">
        <f>IF(OR(I286="",I286=0),"",IF(INDEX(Samples[採樣日期],I286)="","",INDEX(Samples[採樣日期],I286)))</f>
        <v/>
      </c>
      <c r="G286" s="91">
        <f>IF(OR(M286="",M286="NA",M286="N/A"),"",IF(OR(M286="ND",M286="N.D."),0,IFERROR(IF(OR(OR(ISNUMBER(SEARCH("%",O286)),ISNUMBER(SEARCH(" ",O286)),ISNUMBER(SEARCH(",",O286))),OR(SUBSTITUTE(SUBSTITUTE(SUBSTITUTE(SUBSTITUTE(SUBSTITUTE(SUBSTITUTE(SUBSTITUTE(SUBSTITUTE(SUBSTITUTE(SUBSTITUTE(SUBSTITUTE(SUBSTITUTE(SUBSTITUTE(SUBSTITUTE(SUBSTITUTE(SUBSTITUTE(SUBSTITUTE(SUBSTITUTE("x"&amp;M286,"0",""),"1",""),"2",""),"3",""),"4",""),"5",""),"6",""),"7",""),"8",""),"9",""),".",""),"E",""),"+",""),"-",""),"&lt;",""),"&gt;",""),"=","")," ","")&lt;&gt;"x",ISNUMBER(SEARCH("-",SUBSTITUTE(SUBSTITUTE("x"&amp;MID(M286,2,99),"E-","E"),"E+","E"))),ISNUMBER(SEARCH("+",SUBSTITUTE(SUBSTITUTE("x"&amp;MID(M286,2,99),"E-","E"),"E+","E"))))),"",IF(AND(OR(LEFT(M286,1)="&lt;",LEFT(M286,1)="&gt;"),IF(O286="",0,IF(ISNUMBER(AH286),AH286,NA()))&lt;0),"",IF(O286="",0,IF(ISNUMBER(AH286),AH286,NA()))/IF(LEFT(M286,1)="&lt;",2,1))),"")))</f>
        <v/>
      </c>
      <c r="H286" s="57" t="inlineStr">
        <is>
          <t>BH06-W_20260415_03</t>
        </is>
      </c>
      <c r="I286" s="92">
        <f>IF(OR(H286="",AI286=0),0,IF(INDEX(Samples[樣品重複筆數],AI286)=1,AI286,0))</f>
        <v/>
      </c>
      <c r="J286" s="92">
        <f>IF(OR(COUNTA($A286:$D286)=0,I286=0),"",IF(INDEX(Samples[介質],I286)="","",INDEX(Samples[介質],I286)))</f>
        <v/>
      </c>
      <c r="K286" s="92">
        <f>IF(OR(COUNTA($A286:$D286)=0,T286=0),"",IF(INDEX(DB_04[標準單位],T286)="","",INDEX(DB_04[標準單位],T286)))</f>
        <v/>
      </c>
      <c r="L286" s="92">
        <f>IF(COUNTA($A286:$D286)=0,"",IF(OR(C286="",K286=""),"",IF(C286=K286,1,IF(COUNTIFS(DB_06[換算鍵],C286&amp;"|"&amp;K286,DB_06[換算檢查],"OK")=1,INDEX(DB_06[乘數],MATCH(C286&amp;"|"&amp;K286,DB_06[換算鍵],0)),""))))</f>
        <v/>
      </c>
      <c r="M286" s="92">
        <f>UPPER(SUBSTITUTE(SUBSTITUTE(SUBSTITUTE(SUBSTITUTE(TRIM(B286&amp;""),"＜","&lt;"),"＞","&gt;"),"≤","&lt;="),"≥","&gt;="))</f>
        <v/>
      </c>
      <c r="N286" s="92">
        <f>IF(M286="","",IF(OR(M286="ND",M286="N.D."),"ND",IF(OR(M286="NA",M286="N/A",M286="N.A."),"NA",IF(OR(LEFT(M286,2)="&lt;=",LEFT(M286,2)="&gt;="),LEFT(M286,2),IF(OR(LEFT(M286,1)="&lt;",LEFT(M286,1)="&gt;"),LEFT(M286,1),"數值")))))</f>
        <v/>
      </c>
      <c r="O286" s="92">
        <f>IF(OR(N286="",N286="ND",N286="NA"),"",IF(N286="數值",M286,TRIM(MID(M286,LEN(N286)+1,99))))</f>
        <v/>
      </c>
      <c r="P286" s="92">
        <f>IF(O286="","",IFERROR(IF(OR(OR(ISNUMBER(SEARCH("%",O286)),ISNUMBER(SEARCH(" ",O286)),ISNUMBER(SEARCH(",",O286))),OR(SUBSTITUTE(SUBSTITUTE(SUBSTITUTE(SUBSTITUTE(SUBSTITUTE(SUBSTITUTE(SUBSTITUTE(SUBSTITUTE(SUBSTITUTE(SUBSTITUTE(SUBSTITUTE(SUBSTITUTE(SUBSTITUTE(SUBSTITUTE(SUBSTITUTE(SUBSTITUTE(SUBSTITUTE(SUBSTITUTE("x"&amp;O286,"0",""),"1",""),"2",""),"3",""),"4",""),"5",""),"6",""),"7",""),"8",""),"9",""),".",""),"E",""),"+",""),"-",""),"&lt;",""),"&gt;",""),"=","")," ","")&lt;&gt;"x",ISNUMBER(SEARCH("-",SUBSTITUTE(SUBSTITUTE("x"&amp;MID(O286,2,99),"E-","E"),"E+","E"))),ISNUMBER(SEARCH("+",SUBSTITUTE(SUBSTITUTE("x"&amp;MID(O286,2,99),"E-","E"),"E+","E"))))),"",IF(ISNUMBER(AH286),AH286,NA())),""))</f>
        <v/>
      </c>
      <c r="Q286" s="92">
        <f>IF(AND(ISNUMBER(L286),ISNUMBER(P286)),L286*P286,"")</f>
        <v/>
      </c>
      <c r="R286" s="92">
        <f>IF(OR(COUNTA($A286:$D286)=0,U286=0),"",IF(INDEX(DB_05[管制設定值],U286)="","",INDEX(DB_05[管制設定值],U286)))</f>
        <v/>
      </c>
      <c r="S286" s="92">
        <f>IF(OR(COUNTA($A286:$D286)=0,U286=0),"",IF(INDEX(DB_05[監測設定值],U286)="","",INDEX(DB_05[監測設定值],U286)))</f>
        <v/>
      </c>
      <c r="T286" s="92">
        <f>IF(COUNTA($A286:$D286)=0,"",IF(COUNTIFS(DB_04[測項鍵],V286)=1,MATCH(V286,DB_04[測項鍵],0),0))</f>
        <v/>
      </c>
      <c r="U286" s="92">
        <f>IF(COUNTA($A286:$D286)=0,"",IF(COUNTIFS(DB_05[標準鍵],W286)=1,MATCH(W286,DB_05[標準鍵],0),0))</f>
        <v/>
      </c>
      <c r="V286" s="92">
        <f>IF(OR(J286="",A286=""),"",J286&amp;"|"&amp;A286)</f>
        <v/>
      </c>
      <c r="W286" s="92">
        <f>IF(OR('07_QAQC'!$C$3="",V286=""),"",'07_QAQC'!$C$3&amp;"|"&amp;V286)</f>
        <v/>
      </c>
      <c r="X286" s="92">
        <f>IF(OR(H286="",A286=""),"",LEN(H286)&amp;":"&amp;H286&amp;LEN(A286)&amp;":"&amp;A286)</f>
        <v/>
      </c>
      <c r="Y286" s="93">
        <f>IF(COUNTA($A286:$D286)=0,"",IF(I286=0,"樣品未建或重複",IF(INDEX(Samples[樣品檢查],I286)="","OK",INDEX(Samples[樣品檢查],I286))))</f>
        <v/>
      </c>
      <c r="Z286" s="93">
        <f>IF(COUNTA($A286:$D286)=0,"",IF(B286="","缺原始值",IF(OR(B286="-",B286="--"),"無資料",IF(N286="NA","不適用",IF(N286="ND","OK",IF(NOT(ISNUMBER(P286)),"格式待核",IF(AND(N286&lt;&gt;"數值",P286&lt;0),"界限不得為負","OK")))))))</f>
        <v/>
      </c>
      <c r="AA286" s="93">
        <f>IF(COUNTA(A286:D286)=0,"",IF(OR(A286="",H286=""),"缺識別欄位",IF(IF(LEN("="&amp;SUBSTITUTE(SUBSTITUTE(SUBSTITUTE(X286,"~","~~"),"*","~*"),"?","~?"))&lt;=255,COUNTIF(Results[結果識別鍵],"="&amp;SUBSTITUTE(SUBSTITUTE(SUBSTITUTE(X286,"~","~~"),"*","~*"),"?","~?")),COUNTIFS(Results[關聯鍵],"="&amp;SUBSTITUTE(SUBSTITUTE(SUBSTITUTE(H286,"~","~~"),"*","~*"),"?","~?"),Results[分析項目],"="&amp;SUBSTITUTE(SUBSTITUTE(SUBSTITUTE(A286,"~","~~"),"*","~*"),"?","~?")))&gt;1,"同關聯鍵測項重複","OK")))</f>
        <v/>
      </c>
      <c r="AB286" s="93">
        <f>IF(COUNTA($A286:$D286)=0,"",IF(OR(C286="",K286=""),"缺單位",IF(NOT(ISNUMBER(L286)),"單位不相容",IF(L286=1,"OK","已換算"))))</f>
        <v/>
      </c>
      <c r="AC286" s="93">
        <f>IF(COUNTA($A286:$D286)=0,"",IF('07_QAQC'!$C$3="","未選比較版本",IF(U286=0,IF(COUNTIFS(DB_05[標準鍵],W286)&gt;1,"標準鍵重複","未訂此介質／測項門檻"),IF(INDEX(DB_05[版本檢查],U286)&lt;&gt;"OK","標準主檔待核",IF(INDEX(DB_05[標準單位],U286)&lt;&gt;K286,"標準單位不符",IF(INDEX(DB_05[核對狀態],U286)="停用","停用",IF(F286="","缺採樣日期",IF(OR(AND(INDEX(DB_05[生效日],U286)&lt;&gt;"",F286&lt;INDEX(DB_05[生效日],U286)),AND(INDEX(DB_05[失效日],U286)&lt;&gt;"",F286&gt;INDEX(DB_05[失效日],U286))),"日期不適用",INDEX(DB_05[核對狀態],U286)))))))))</f>
        <v/>
      </c>
      <c r="AD286" s="93">
        <f>IF(COUNTA($A286:$D286)=0,"",IF(AC286="未訂此介質／測項門檻",AC286,IF(AC286&lt;&gt;"已核對","標準待核",IF(R286="","未訂管制值",IF(NOT(ISNUMBER(L286)),"單位待核",IF(N286="ND","無法判定（ND無界限）",IF(N286="NA","不適用",IF(Z286&lt;&gt;"OK",Z286,IF(N286="數值",IF(Q286&gt;=R286,"達管制值","未達管制值"),IF(OR(N286="&lt;",N286="&lt;="),IF(OR(Q286&lt;R286,AND(N286="&lt;",Q286=R286)),"未達管制值","無法判定"),IF(OR(N286="&gt;",N286="&gt;="),IF(Q286&gt;=R286,"達管制值","無法判定"),"格式待核")))))))))))</f>
        <v/>
      </c>
      <c r="AE286" s="93">
        <f>IF(COUNTA($A286:$D286)=0,"",IF(AC286="未訂此介質／測項門檻",AC286,IF(AC286&lt;&gt;"已核對","標準待核",IF(S286="","未訂監測值",IF(NOT(ISNUMBER(L286)),"單位待核",IF(N286="ND","無法判定（ND無界限）",IF(N286="NA","不適用",IF(Z286&lt;&gt;"OK",Z286,IF(N286="數值",IF(Q286&gt;=S286,"達監測值","未達監測值"),IF(OR(N286="&lt;",N286="&lt;="),IF(OR(Q286&lt;S286,AND(N286="&lt;",Q286=S286)),"未達監測值","無法判定"),IF(OR(N286="&gt;",N286="&gt;="),IF(Q286&gt;=S286,"達監測值","無法判定"),"格式待核")))))))))))</f>
        <v/>
      </c>
      <c r="AF286" s="93">
        <f>IF(COUNTA($A286:$D286)=0,"",IF(OR(E286="",A286="",B286="",C286=""),"缺必要欄位",IF(Y286&lt;&gt;"OK","樣品資料待補",IF(T286=0,"測項未建或重複",IF(INDEX(DB_04[啟用],T286)&lt;&gt;"是","測項停用",IF(AND(Z286&lt;&gt;"OK",Z286&lt;&gt;"不適用"),Z286,IF(AND(AB286&lt;&gt;"OK",AB286&lt;&gt;"已換算"),"單位待核",IF(AA286&lt;&gt;"OK",AA286,"OK"))))))))</f>
        <v/>
      </c>
      <c r="AG286" s="93">
        <f>IF(COUNTA($A286:$D286)=0,"",IF(N286="ND","ND取0",IF(OR(N286="&lt;",N286="&lt;="),"界限除以2",IF(N286="NA","不適用",IF(OR(N286="&gt;",N286="&gt;="),"保留界限數值","保留原數值")))))</f>
        <v/>
      </c>
      <c r="AH286" s="92">
        <f>IF(O286="","",IFERROR(_xlfn.NUMBERVALUE(O286,".",","),""))</f>
        <v/>
      </c>
      <c r="AI286" s="92">
        <f>IF(H286="","",IFERROR(MATCH(H286,Samples[樣品編號],0),0))</f>
        <v/>
      </c>
    </row>
    <row r="287">
      <c r="A287" s="27" t="inlineStr">
        <is>
          <t>溶氧飽和度</t>
        </is>
      </c>
      <c r="B287" s="28" t="inlineStr">
        <is>
          <t>48</t>
        </is>
      </c>
      <c r="C287" s="27" t="inlineStr">
        <is>
          <t>%</t>
        </is>
      </c>
      <c r="D287" s="39" t="inlineStr">
        <is>
          <t>合成資料，非實測；method=field</t>
        </is>
      </c>
      <c r="E287" s="29">
        <f>IF(OR(I287="",I287=0),"",IF(INDEX(Samples[監測點],I287)="","",INDEX(Samples[監測點],I287)))</f>
        <v/>
      </c>
      <c r="F287" s="90">
        <f>IF(OR(I287="",I287=0),"",IF(INDEX(Samples[採樣日期],I287)="","",INDEX(Samples[採樣日期],I287)))</f>
        <v/>
      </c>
      <c r="G287" s="91">
        <f>IF(OR(M287="",M287="NA",M287="N/A"),"",IF(OR(M287="ND",M287="N.D."),0,IFERROR(IF(OR(OR(ISNUMBER(SEARCH("%",O287)),ISNUMBER(SEARCH(" ",O287)),ISNUMBER(SEARCH(",",O287))),OR(SUBSTITUTE(SUBSTITUTE(SUBSTITUTE(SUBSTITUTE(SUBSTITUTE(SUBSTITUTE(SUBSTITUTE(SUBSTITUTE(SUBSTITUTE(SUBSTITUTE(SUBSTITUTE(SUBSTITUTE(SUBSTITUTE(SUBSTITUTE(SUBSTITUTE(SUBSTITUTE(SUBSTITUTE(SUBSTITUTE("x"&amp;M287,"0",""),"1",""),"2",""),"3",""),"4",""),"5",""),"6",""),"7",""),"8",""),"9",""),".",""),"E",""),"+",""),"-",""),"&lt;",""),"&gt;",""),"=","")," ","")&lt;&gt;"x",ISNUMBER(SEARCH("-",SUBSTITUTE(SUBSTITUTE("x"&amp;MID(M287,2,99),"E-","E"),"E+","E"))),ISNUMBER(SEARCH("+",SUBSTITUTE(SUBSTITUTE("x"&amp;MID(M287,2,99),"E-","E"),"E+","E"))))),"",IF(AND(OR(LEFT(M287,1)="&lt;",LEFT(M287,1)="&gt;"),IF(O287="",0,IF(ISNUMBER(AH287),AH287,NA()))&lt;0),"",IF(O287="",0,IF(ISNUMBER(AH287),AH287,NA()))/IF(LEFT(M287,1)="&lt;",2,1))),"")))</f>
        <v/>
      </c>
      <c r="H287" s="57" t="inlineStr">
        <is>
          <t>BH06-W_20260415_03</t>
        </is>
      </c>
      <c r="I287" s="92">
        <f>IF(OR(H287="",AI287=0),0,IF(INDEX(Samples[樣品重複筆數],AI287)=1,AI287,0))</f>
        <v/>
      </c>
      <c r="J287" s="92">
        <f>IF(OR(COUNTA($A287:$D287)=0,I287=0),"",IF(INDEX(Samples[介質],I287)="","",INDEX(Samples[介質],I287)))</f>
        <v/>
      </c>
      <c r="K287" s="92">
        <f>IF(OR(COUNTA($A287:$D287)=0,T287=0),"",IF(INDEX(DB_04[標準單位],T287)="","",INDEX(DB_04[標準單位],T287)))</f>
        <v/>
      </c>
      <c r="L287" s="92">
        <f>IF(COUNTA($A287:$D287)=0,"",IF(OR(C287="",K287=""),"",IF(C287=K287,1,IF(COUNTIFS(DB_06[換算鍵],C287&amp;"|"&amp;K287,DB_06[換算檢查],"OK")=1,INDEX(DB_06[乘數],MATCH(C287&amp;"|"&amp;K287,DB_06[換算鍵],0)),""))))</f>
        <v/>
      </c>
      <c r="M287" s="92">
        <f>UPPER(SUBSTITUTE(SUBSTITUTE(SUBSTITUTE(SUBSTITUTE(TRIM(B287&amp;""),"＜","&lt;"),"＞","&gt;"),"≤","&lt;="),"≥","&gt;="))</f>
        <v/>
      </c>
      <c r="N287" s="92">
        <f>IF(M287="","",IF(OR(M287="ND",M287="N.D."),"ND",IF(OR(M287="NA",M287="N/A",M287="N.A."),"NA",IF(OR(LEFT(M287,2)="&lt;=",LEFT(M287,2)="&gt;="),LEFT(M287,2),IF(OR(LEFT(M287,1)="&lt;",LEFT(M287,1)="&gt;"),LEFT(M287,1),"數值")))))</f>
        <v/>
      </c>
      <c r="O287" s="92">
        <f>IF(OR(N287="",N287="ND",N287="NA"),"",IF(N287="數值",M287,TRIM(MID(M287,LEN(N287)+1,99))))</f>
        <v/>
      </c>
      <c r="P287" s="92">
        <f>IF(O287="","",IFERROR(IF(OR(OR(ISNUMBER(SEARCH("%",O287)),ISNUMBER(SEARCH(" ",O287)),ISNUMBER(SEARCH(",",O287))),OR(SUBSTITUTE(SUBSTITUTE(SUBSTITUTE(SUBSTITUTE(SUBSTITUTE(SUBSTITUTE(SUBSTITUTE(SUBSTITUTE(SUBSTITUTE(SUBSTITUTE(SUBSTITUTE(SUBSTITUTE(SUBSTITUTE(SUBSTITUTE(SUBSTITUTE(SUBSTITUTE(SUBSTITUTE(SUBSTITUTE("x"&amp;O287,"0",""),"1",""),"2",""),"3",""),"4",""),"5",""),"6",""),"7",""),"8",""),"9",""),".",""),"E",""),"+",""),"-",""),"&lt;",""),"&gt;",""),"=","")," ","")&lt;&gt;"x",ISNUMBER(SEARCH("-",SUBSTITUTE(SUBSTITUTE("x"&amp;MID(O287,2,99),"E-","E"),"E+","E"))),ISNUMBER(SEARCH("+",SUBSTITUTE(SUBSTITUTE("x"&amp;MID(O287,2,99),"E-","E"),"E+","E"))))),"",IF(ISNUMBER(AH287),AH287,NA())),""))</f>
        <v/>
      </c>
      <c r="Q287" s="92">
        <f>IF(AND(ISNUMBER(L287),ISNUMBER(P287)),L287*P287,"")</f>
        <v/>
      </c>
      <c r="R287" s="92">
        <f>IF(OR(COUNTA($A287:$D287)=0,U287=0),"",IF(INDEX(DB_05[管制設定值],U287)="","",INDEX(DB_05[管制設定值],U287)))</f>
        <v/>
      </c>
      <c r="S287" s="92">
        <f>IF(OR(COUNTA($A287:$D287)=0,U287=0),"",IF(INDEX(DB_05[監測設定值],U287)="","",INDEX(DB_05[監測設定值],U287)))</f>
        <v/>
      </c>
      <c r="T287" s="92">
        <f>IF(COUNTA($A287:$D287)=0,"",IF(COUNTIFS(DB_04[測項鍵],V287)=1,MATCH(V287,DB_04[測項鍵],0),0))</f>
        <v/>
      </c>
      <c r="U287" s="92">
        <f>IF(COUNTA($A287:$D287)=0,"",IF(COUNTIFS(DB_05[標準鍵],W287)=1,MATCH(W287,DB_05[標準鍵],0),0))</f>
        <v/>
      </c>
      <c r="V287" s="92">
        <f>IF(OR(J287="",A287=""),"",J287&amp;"|"&amp;A287)</f>
        <v/>
      </c>
      <c r="W287" s="92">
        <f>IF(OR('07_QAQC'!$C$3="",V287=""),"",'07_QAQC'!$C$3&amp;"|"&amp;V287)</f>
        <v/>
      </c>
      <c r="X287" s="92">
        <f>IF(OR(H287="",A287=""),"",LEN(H287)&amp;":"&amp;H287&amp;LEN(A287)&amp;":"&amp;A287)</f>
        <v/>
      </c>
      <c r="Y287" s="93">
        <f>IF(COUNTA($A287:$D287)=0,"",IF(I287=0,"樣品未建或重複",IF(INDEX(Samples[樣品檢查],I287)="","OK",INDEX(Samples[樣品檢查],I287))))</f>
        <v/>
      </c>
      <c r="Z287" s="93">
        <f>IF(COUNTA($A287:$D287)=0,"",IF(B287="","缺原始值",IF(OR(B287="-",B287="--"),"無資料",IF(N287="NA","不適用",IF(N287="ND","OK",IF(NOT(ISNUMBER(P287)),"格式待核",IF(AND(N287&lt;&gt;"數值",P287&lt;0),"界限不得為負","OK")))))))</f>
        <v/>
      </c>
      <c r="AA287" s="93">
        <f>IF(COUNTA(A287:D287)=0,"",IF(OR(A287="",H287=""),"缺識別欄位",IF(IF(LEN("="&amp;SUBSTITUTE(SUBSTITUTE(SUBSTITUTE(X287,"~","~~"),"*","~*"),"?","~?"))&lt;=255,COUNTIF(Results[結果識別鍵],"="&amp;SUBSTITUTE(SUBSTITUTE(SUBSTITUTE(X287,"~","~~"),"*","~*"),"?","~?")),COUNTIFS(Results[關聯鍵],"="&amp;SUBSTITUTE(SUBSTITUTE(SUBSTITUTE(H287,"~","~~"),"*","~*"),"?","~?"),Results[分析項目],"="&amp;SUBSTITUTE(SUBSTITUTE(SUBSTITUTE(A287,"~","~~"),"*","~*"),"?","~?")))&gt;1,"同關聯鍵測項重複","OK")))</f>
        <v/>
      </c>
      <c r="AB287" s="93">
        <f>IF(COUNTA($A287:$D287)=0,"",IF(OR(C287="",K287=""),"缺單位",IF(NOT(ISNUMBER(L287)),"單位不相容",IF(L287=1,"OK","已換算"))))</f>
        <v/>
      </c>
      <c r="AC287" s="93">
        <f>IF(COUNTA($A287:$D287)=0,"",IF('07_QAQC'!$C$3="","未選比較版本",IF(U287=0,IF(COUNTIFS(DB_05[標準鍵],W287)&gt;1,"標準鍵重複","未訂此介質／測項門檻"),IF(INDEX(DB_05[版本檢查],U287)&lt;&gt;"OK","標準主檔待核",IF(INDEX(DB_05[標準單位],U287)&lt;&gt;K287,"標準單位不符",IF(INDEX(DB_05[核對狀態],U287)="停用","停用",IF(F287="","缺採樣日期",IF(OR(AND(INDEX(DB_05[生效日],U287)&lt;&gt;"",F287&lt;INDEX(DB_05[生效日],U287)),AND(INDEX(DB_05[失效日],U287)&lt;&gt;"",F287&gt;INDEX(DB_05[失效日],U287))),"日期不適用",INDEX(DB_05[核對狀態],U287)))))))))</f>
        <v/>
      </c>
      <c r="AD287" s="93">
        <f>IF(COUNTA($A287:$D287)=0,"",IF(AC287="未訂此介質／測項門檻",AC287,IF(AC287&lt;&gt;"已核對","標準待核",IF(R287="","未訂管制值",IF(NOT(ISNUMBER(L287)),"單位待核",IF(N287="ND","無法判定（ND無界限）",IF(N287="NA","不適用",IF(Z287&lt;&gt;"OK",Z287,IF(N287="數值",IF(Q287&gt;=R287,"達管制值","未達管制值"),IF(OR(N287="&lt;",N287="&lt;="),IF(OR(Q287&lt;R287,AND(N287="&lt;",Q287=R287)),"未達管制值","無法判定"),IF(OR(N287="&gt;",N287="&gt;="),IF(Q287&gt;=R287,"達管制值","無法判定"),"格式待核")))))))))))</f>
        <v/>
      </c>
      <c r="AE287" s="93">
        <f>IF(COUNTA($A287:$D287)=0,"",IF(AC287="未訂此介質／測項門檻",AC287,IF(AC287&lt;&gt;"已核對","標準待核",IF(S287="","未訂監測值",IF(NOT(ISNUMBER(L287)),"單位待核",IF(N287="ND","無法判定（ND無界限）",IF(N287="NA","不適用",IF(Z287&lt;&gt;"OK",Z287,IF(N287="數值",IF(Q287&gt;=S287,"達監測值","未達監測值"),IF(OR(N287="&lt;",N287="&lt;="),IF(OR(Q287&lt;S287,AND(N287="&lt;",Q287=S287)),"未達監測值","無法判定"),IF(OR(N287="&gt;",N287="&gt;="),IF(Q287&gt;=S287,"達監測值","無法判定"),"格式待核")))))))))))</f>
        <v/>
      </c>
      <c r="AF287" s="93">
        <f>IF(COUNTA($A287:$D287)=0,"",IF(OR(E287="",A287="",B287="",C287=""),"缺必要欄位",IF(Y287&lt;&gt;"OK","樣品資料待補",IF(T287=0,"測項未建或重複",IF(INDEX(DB_04[啟用],T287)&lt;&gt;"是","測項停用",IF(AND(Z287&lt;&gt;"OK",Z287&lt;&gt;"不適用"),Z287,IF(AND(AB287&lt;&gt;"OK",AB287&lt;&gt;"已換算"),"單位待核",IF(AA287&lt;&gt;"OK",AA287,"OK"))))))))</f>
        <v/>
      </c>
      <c r="AG287" s="93">
        <f>IF(COUNTA($A287:$D287)=0,"",IF(N287="ND","ND取0",IF(OR(N287="&lt;",N287="&lt;="),"界限除以2",IF(N287="NA","不適用",IF(OR(N287="&gt;",N287="&gt;="),"保留界限數值","保留原數值")))))</f>
        <v/>
      </c>
      <c r="AH287" s="92">
        <f>IF(O287="","",IFERROR(_xlfn.NUMBERVALUE(O287,".",","),""))</f>
        <v/>
      </c>
      <c r="AI287" s="92">
        <f>IF(H287="","",IFERROR(MATCH(H287,Samples[樣品編號],0),0))</f>
        <v/>
      </c>
    </row>
    <row r="288">
      <c r="A288" s="27" t="inlineStr">
        <is>
          <t>ORP</t>
        </is>
      </c>
      <c r="B288" s="28" t="inlineStr">
        <is>
          <t>-145</t>
        </is>
      </c>
      <c r="C288" s="27" t="inlineStr">
        <is>
          <t>mV</t>
        </is>
      </c>
      <c r="D288" s="39" t="inlineStr">
        <is>
          <t>合成資料，非實測；method=field; reference_electrode=Ag/AgCl; calibration=verified</t>
        </is>
      </c>
      <c r="E288" s="29">
        <f>IF(OR(I288="",I288=0),"",IF(INDEX(Samples[監測點],I288)="","",INDEX(Samples[監測點],I288)))</f>
        <v/>
      </c>
      <c r="F288" s="90">
        <f>IF(OR(I288="",I288=0),"",IF(INDEX(Samples[採樣日期],I288)="","",INDEX(Samples[採樣日期],I288)))</f>
        <v/>
      </c>
      <c r="G288" s="91">
        <f>IF(OR(M288="",M288="NA",M288="N/A"),"",IF(OR(M288="ND",M288="N.D."),0,IFERROR(IF(OR(OR(ISNUMBER(SEARCH("%",O288)),ISNUMBER(SEARCH(" ",O288)),ISNUMBER(SEARCH(",",O288))),OR(SUBSTITUTE(SUBSTITUTE(SUBSTITUTE(SUBSTITUTE(SUBSTITUTE(SUBSTITUTE(SUBSTITUTE(SUBSTITUTE(SUBSTITUTE(SUBSTITUTE(SUBSTITUTE(SUBSTITUTE(SUBSTITUTE(SUBSTITUTE(SUBSTITUTE(SUBSTITUTE(SUBSTITUTE(SUBSTITUTE("x"&amp;M288,"0",""),"1",""),"2",""),"3",""),"4",""),"5",""),"6",""),"7",""),"8",""),"9",""),".",""),"E",""),"+",""),"-",""),"&lt;",""),"&gt;",""),"=","")," ","")&lt;&gt;"x",ISNUMBER(SEARCH("-",SUBSTITUTE(SUBSTITUTE("x"&amp;MID(M288,2,99),"E-","E"),"E+","E"))),ISNUMBER(SEARCH("+",SUBSTITUTE(SUBSTITUTE("x"&amp;MID(M288,2,99),"E-","E"),"E+","E"))))),"",IF(AND(OR(LEFT(M288,1)="&lt;",LEFT(M288,1)="&gt;"),IF(O288="",0,IF(ISNUMBER(AH288),AH288,NA()))&lt;0),"",IF(O288="",0,IF(ISNUMBER(AH288),AH288,NA()))/IF(LEFT(M288,1)="&lt;",2,1))),"")))</f>
        <v/>
      </c>
      <c r="H288" s="57" t="inlineStr">
        <is>
          <t>BH06-W_20260415_03</t>
        </is>
      </c>
      <c r="I288" s="92">
        <f>IF(OR(H288="",AI288=0),0,IF(INDEX(Samples[樣品重複筆數],AI288)=1,AI288,0))</f>
        <v/>
      </c>
      <c r="J288" s="92">
        <f>IF(OR(COUNTA($A288:$D288)=0,I288=0),"",IF(INDEX(Samples[介質],I288)="","",INDEX(Samples[介質],I288)))</f>
        <v/>
      </c>
      <c r="K288" s="92">
        <f>IF(OR(COUNTA($A288:$D288)=0,T288=0),"",IF(INDEX(DB_04[標準單位],T288)="","",INDEX(DB_04[標準單位],T288)))</f>
        <v/>
      </c>
      <c r="L288" s="92">
        <f>IF(COUNTA($A288:$D288)=0,"",IF(OR(C288="",K288=""),"",IF(C288=K288,1,IF(COUNTIFS(DB_06[換算鍵],C288&amp;"|"&amp;K288,DB_06[換算檢查],"OK")=1,INDEX(DB_06[乘數],MATCH(C288&amp;"|"&amp;K288,DB_06[換算鍵],0)),""))))</f>
        <v/>
      </c>
      <c r="M288" s="92">
        <f>UPPER(SUBSTITUTE(SUBSTITUTE(SUBSTITUTE(SUBSTITUTE(TRIM(B288&amp;""),"＜","&lt;"),"＞","&gt;"),"≤","&lt;="),"≥","&gt;="))</f>
        <v/>
      </c>
      <c r="N288" s="92">
        <f>IF(M288="","",IF(OR(M288="ND",M288="N.D."),"ND",IF(OR(M288="NA",M288="N/A",M288="N.A."),"NA",IF(OR(LEFT(M288,2)="&lt;=",LEFT(M288,2)="&gt;="),LEFT(M288,2),IF(OR(LEFT(M288,1)="&lt;",LEFT(M288,1)="&gt;"),LEFT(M288,1),"數值")))))</f>
        <v/>
      </c>
      <c r="O288" s="92">
        <f>IF(OR(N288="",N288="ND",N288="NA"),"",IF(N288="數值",M288,TRIM(MID(M288,LEN(N288)+1,99))))</f>
        <v/>
      </c>
      <c r="P288" s="92">
        <f>IF(O288="","",IFERROR(IF(OR(OR(ISNUMBER(SEARCH("%",O288)),ISNUMBER(SEARCH(" ",O288)),ISNUMBER(SEARCH(",",O288))),OR(SUBSTITUTE(SUBSTITUTE(SUBSTITUTE(SUBSTITUTE(SUBSTITUTE(SUBSTITUTE(SUBSTITUTE(SUBSTITUTE(SUBSTITUTE(SUBSTITUTE(SUBSTITUTE(SUBSTITUTE(SUBSTITUTE(SUBSTITUTE(SUBSTITUTE(SUBSTITUTE(SUBSTITUTE(SUBSTITUTE("x"&amp;O288,"0",""),"1",""),"2",""),"3",""),"4",""),"5",""),"6",""),"7",""),"8",""),"9",""),".",""),"E",""),"+",""),"-",""),"&lt;",""),"&gt;",""),"=","")," ","")&lt;&gt;"x",ISNUMBER(SEARCH("-",SUBSTITUTE(SUBSTITUTE("x"&amp;MID(O288,2,99),"E-","E"),"E+","E"))),ISNUMBER(SEARCH("+",SUBSTITUTE(SUBSTITUTE("x"&amp;MID(O288,2,99),"E-","E"),"E+","E"))))),"",IF(ISNUMBER(AH288),AH288,NA())),""))</f>
        <v/>
      </c>
      <c r="Q288" s="92">
        <f>IF(AND(ISNUMBER(L288),ISNUMBER(P288)),L288*P288,"")</f>
        <v/>
      </c>
      <c r="R288" s="92">
        <f>IF(OR(COUNTA($A288:$D288)=0,U288=0),"",IF(INDEX(DB_05[管制設定值],U288)="","",INDEX(DB_05[管制設定值],U288)))</f>
        <v/>
      </c>
      <c r="S288" s="92">
        <f>IF(OR(COUNTA($A288:$D288)=0,U288=0),"",IF(INDEX(DB_05[監測設定值],U288)="","",INDEX(DB_05[監測設定值],U288)))</f>
        <v/>
      </c>
      <c r="T288" s="92">
        <f>IF(COUNTA($A288:$D288)=0,"",IF(COUNTIFS(DB_04[測項鍵],V288)=1,MATCH(V288,DB_04[測項鍵],0),0))</f>
        <v/>
      </c>
      <c r="U288" s="92">
        <f>IF(COUNTA($A288:$D288)=0,"",IF(COUNTIFS(DB_05[標準鍵],W288)=1,MATCH(W288,DB_05[標準鍵],0),0))</f>
        <v/>
      </c>
      <c r="V288" s="92">
        <f>IF(OR(J288="",A288=""),"",J288&amp;"|"&amp;A288)</f>
        <v/>
      </c>
      <c r="W288" s="92">
        <f>IF(OR('07_QAQC'!$C$3="",V288=""),"",'07_QAQC'!$C$3&amp;"|"&amp;V288)</f>
        <v/>
      </c>
      <c r="X288" s="92">
        <f>IF(OR(H288="",A288=""),"",LEN(H288)&amp;":"&amp;H288&amp;LEN(A288)&amp;":"&amp;A288)</f>
        <v/>
      </c>
      <c r="Y288" s="93">
        <f>IF(COUNTA($A288:$D288)=0,"",IF(I288=0,"樣品未建或重複",IF(INDEX(Samples[樣品檢查],I288)="","OK",INDEX(Samples[樣品檢查],I288))))</f>
        <v/>
      </c>
      <c r="Z288" s="93">
        <f>IF(COUNTA($A288:$D288)=0,"",IF(B288="","缺原始值",IF(OR(B288="-",B288="--"),"無資料",IF(N288="NA","不適用",IF(N288="ND","OK",IF(NOT(ISNUMBER(P288)),"格式待核",IF(AND(N288&lt;&gt;"數值",P288&lt;0),"界限不得為負","OK")))))))</f>
        <v/>
      </c>
      <c r="AA288" s="93">
        <f>IF(COUNTA(A288:D288)=0,"",IF(OR(A288="",H288=""),"缺識別欄位",IF(IF(LEN("="&amp;SUBSTITUTE(SUBSTITUTE(SUBSTITUTE(X288,"~","~~"),"*","~*"),"?","~?"))&lt;=255,COUNTIF(Results[結果識別鍵],"="&amp;SUBSTITUTE(SUBSTITUTE(SUBSTITUTE(X288,"~","~~"),"*","~*"),"?","~?")),COUNTIFS(Results[關聯鍵],"="&amp;SUBSTITUTE(SUBSTITUTE(SUBSTITUTE(H288,"~","~~"),"*","~*"),"?","~?"),Results[分析項目],"="&amp;SUBSTITUTE(SUBSTITUTE(SUBSTITUTE(A288,"~","~~"),"*","~*"),"?","~?")))&gt;1,"同關聯鍵測項重複","OK")))</f>
        <v/>
      </c>
      <c r="AB288" s="93">
        <f>IF(COUNTA($A288:$D288)=0,"",IF(OR(C288="",K288=""),"缺單位",IF(NOT(ISNUMBER(L288)),"單位不相容",IF(L288=1,"OK","已換算"))))</f>
        <v/>
      </c>
      <c r="AC288" s="93">
        <f>IF(COUNTA($A288:$D288)=0,"",IF('07_QAQC'!$C$3="","未選比較版本",IF(U288=0,IF(COUNTIFS(DB_05[標準鍵],W288)&gt;1,"標準鍵重複","未訂此介質／測項門檻"),IF(INDEX(DB_05[版本檢查],U288)&lt;&gt;"OK","標準主檔待核",IF(INDEX(DB_05[標準單位],U288)&lt;&gt;K288,"標準單位不符",IF(INDEX(DB_05[核對狀態],U288)="停用","停用",IF(F288="","缺採樣日期",IF(OR(AND(INDEX(DB_05[生效日],U288)&lt;&gt;"",F288&lt;INDEX(DB_05[生效日],U288)),AND(INDEX(DB_05[失效日],U288)&lt;&gt;"",F288&gt;INDEX(DB_05[失效日],U288))),"日期不適用",INDEX(DB_05[核對狀態],U288)))))))))</f>
        <v/>
      </c>
      <c r="AD288" s="93">
        <f>IF(COUNTA($A288:$D288)=0,"",IF(AC288="未訂此介質／測項門檻",AC288,IF(AC288&lt;&gt;"已核對","標準待核",IF(R288="","未訂管制值",IF(NOT(ISNUMBER(L288)),"單位待核",IF(N288="ND","無法判定（ND無界限）",IF(N288="NA","不適用",IF(Z288&lt;&gt;"OK",Z288,IF(N288="數值",IF(Q288&gt;=R288,"達管制值","未達管制值"),IF(OR(N288="&lt;",N288="&lt;="),IF(OR(Q288&lt;R288,AND(N288="&lt;",Q288=R288)),"未達管制值","無法判定"),IF(OR(N288="&gt;",N288="&gt;="),IF(Q288&gt;=R288,"達管制值","無法判定"),"格式待核")))))))))))</f>
        <v/>
      </c>
      <c r="AE288" s="93">
        <f>IF(COUNTA($A288:$D288)=0,"",IF(AC288="未訂此介質／測項門檻",AC288,IF(AC288&lt;&gt;"已核對","標準待核",IF(S288="","未訂監測值",IF(NOT(ISNUMBER(L288)),"單位待核",IF(N288="ND","無法判定（ND無界限）",IF(N288="NA","不適用",IF(Z288&lt;&gt;"OK",Z288,IF(N288="數值",IF(Q288&gt;=S288,"達監測值","未達監測值"),IF(OR(N288="&lt;",N288="&lt;="),IF(OR(Q288&lt;S288,AND(N288="&lt;",Q288=S288)),"未達監測值","無法判定"),IF(OR(N288="&gt;",N288="&gt;="),IF(Q288&gt;=S288,"達監測值","無法判定"),"格式待核")))))))))))</f>
        <v/>
      </c>
      <c r="AF288" s="93">
        <f>IF(COUNTA($A288:$D288)=0,"",IF(OR(E288="",A288="",B288="",C288=""),"缺必要欄位",IF(Y288&lt;&gt;"OK","樣品資料待補",IF(T288=0,"測項未建或重複",IF(INDEX(DB_04[啟用],T288)&lt;&gt;"是","測項停用",IF(AND(Z288&lt;&gt;"OK",Z288&lt;&gt;"不適用"),Z288,IF(AND(AB288&lt;&gt;"OK",AB288&lt;&gt;"已換算"),"單位待核",IF(AA288&lt;&gt;"OK",AA288,"OK"))))))))</f>
        <v/>
      </c>
      <c r="AG288" s="93">
        <f>IF(COUNTA($A288:$D288)=0,"",IF(N288="ND","ND取0",IF(OR(N288="&lt;",N288="&lt;="),"界限除以2",IF(N288="NA","不適用",IF(OR(N288="&gt;",N288="&gt;="),"保留界限數值","保留原數值")))))</f>
        <v/>
      </c>
      <c r="AH288" s="92">
        <f>IF(O288="","",IFERROR(_xlfn.NUMBERVALUE(O288,".",","),""))</f>
        <v/>
      </c>
      <c r="AI288" s="92">
        <f>IF(H288="","",IFERROR(MATCH(H288,Samples[樣品編號],0),0))</f>
        <v/>
      </c>
    </row>
    <row r="289">
      <c r="A289" s="27" t="inlineStr">
        <is>
          <t>總有機碳</t>
        </is>
      </c>
      <c r="B289" s="28" t="inlineStr">
        <is>
          <t>3.9</t>
        </is>
      </c>
      <c r="C289" s="27" t="inlineStr">
        <is>
          <t>mg/L</t>
        </is>
      </c>
      <c r="D289" s="39" t="inlineStr">
        <is>
          <t>合成資料，非實測；method=lab</t>
        </is>
      </c>
      <c r="E289" s="29">
        <f>IF(OR(I289="",I289=0),"",IF(INDEX(Samples[監測點],I289)="","",INDEX(Samples[監測點],I289)))</f>
        <v/>
      </c>
      <c r="F289" s="90">
        <f>IF(OR(I289="",I289=0),"",IF(INDEX(Samples[採樣日期],I289)="","",INDEX(Samples[採樣日期],I289)))</f>
        <v/>
      </c>
      <c r="G289" s="91">
        <f>IF(OR(M289="",M289="NA",M289="N/A"),"",IF(OR(M289="ND",M289="N.D."),0,IFERROR(IF(OR(OR(ISNUMBER(SEARCH("%",O289)),ISNUMBER(SEARCH(" ",O289)),ISNUMBER(SEARCH(",",O289))),OR(SUBSTITUTE(SUBSTITUTE(SUBSTITUTE(SUBSTITUTE(SUBSTITUTE(SUBSTITUTE(SUBSTITUTE(SUBSTITUTE(SUBSTITUTE(SUBSTITUTE(SUBSTITUTE(SUBSTITUTE(SUBSTITUTE(SUBSTITUTE(SUBSTITUTE(SUBSTITUTE(SUBSTITUTE(SUBSTITUTE("x"&amp;M289,"0",""),"1",""),"2",""),"3",""),"4",""),"5",""),"6",""),"7",""),"8",""),"9",""),".",""),"E",""),"+",""),"-",""),"&lt;",""),"&gt;",""),"=","")," ","")&lt;&gt;"x",ISNUMBER(SEARCH("-",SUBSTITUTE(SUBSTITUTE("x"&amp;MID(M289,2,99),"E-","E"),"E+","E"))),ISNUMBER(SEARCH("+",SUBSTITUTE(SUBSTITUTE("x"&amp;MID(M289,2,99),"E-","E"),"E+","E"))))),"",IF(AND(OR(LEFT(M289,1)="&lt;",LEFT(M289,1)="&gt;"),IF(O289="",0,IF(ISNUMBER(AH289),AH289,NA()))&lt;0),"",IF(O289="",0,IF(ISNUMBER(AH289),AH289,NA()))/IF(LEFT(M289,1)="&lt;",2,1))),"")))</f>
        <v/>
      </c>
      <c r="H289" s="57" t="inlineStr">
        <is>
          <t>BH06-W_20260415_03</t>
        </is>
      </c>
      <c r="I289" s="92">
        <f>IF(OR(H289="",AI289=0),0,IF(INDEX(Samples[樣品重複筆數],AI289)=1,AI289,0))</f>
        <v/>
      </c>
      <c r="J289" s="92">
        <f>IF(OR(COUNTA($A289:$D289)=0,I289=0),"",IF(INDEX(Samples[介質],I289)="","",INDEX(Samples[介質],I289)))</f>
        <v/>
      </c>
      <c r="K289" s="92">
        <f>IF(OR(COUNTA($A289:$D289)=0,T289=0),"",IF(INDEX(DB_04[標準單位],T289)="","",INDEX(DB_04[標準單位],T289)))</f>
        <v/>
      </c>
      <c r="L289" s="92">
        <f>IF(COUNTA($A289:$D289)=0,"",IF(OR(C289="",K289=""),"",IF(C289=K289,1,IF(COUNTIFS(DB_06[換算鍵],C289&amp;"|"&amp;K289,DB_06[換算檢查],"OK")=1,INDEX(DB_06[乘數],MATCH(C289&amp;"|"&amp;K289,DB_06[換算鍵],0)),""))))</f>
        <v/>
      </c>
      <c r="M289" s="92">
        <f>UPPER(SUBSTITUTE(SUBSTITUTE(SUBSTITUTE(SUBSTITUTE(TRIM(B289&amp;""),"＜","&lt;"),"＞","&gt;"),"≤","&lt;="),"≥","&gt;="))</f>
        <v/>
      </c>
      <c r="N289" s="92">
        <f>IF(M289="","",IF(OR(M289="ND",M289="N.D."),"ND",IF(OR(M289="NA",M289="N/A",M289="N.A."),"NA",IF(OR(LEFT(M289,2)="&lt;=",LEFT(M289,2)="&gt;="),LEFT(M289,2),IF(OR(LEFT(M289,1)="&lt;",LEFT(M289,1)="&gt;"),LEFT(M289,1),"數值")))))</f>
        <v/>
      </c>
      <c r="O289" s="92">
        <f>IF(OR(N289="",N289="ND",N289="NA"),"",IF(N289="數值",M289,TRIM(MID(M289,LEN(N289)+1,99))))</f>
        <v/>
      </c>
      <c r="P289" s="92">
        <f>IF(O289="","",IFERROR(IF(OR(OR(ISNUMBER(SEARCH("%",O289)),ISNUMBER(SEARCH(" ",O289)),ISNUMBER(SEARCH(",",O289))),OR(SUBSTITUTE(SUBSTITUTE(SUBSTITUTE(SUBSTITUTE(SUBSTITUTE(SUBSTITUTE(SUBSTITUTE(SUBSTITUTE(SUBSTITUTE(SUBSTITUTE(SUBSTITUTE(SUBSTITUTE(SUBSTITUTE(SUBSTITUTE(SUBSTITUTE(SUBSTITUTE(SUBSTITUTE(SUBSTITUTE("x"&amp;O289,"0",""),"1",""),"2",""),"3",""),"4",""),"5",""),"6",""),"7",""),"8",""),"9",""),".",""),"E",""),"+",""),"-",""),"&lt;",""),"&gt;",""),"=","")," ","")&lt;&gt;"x",ISNUMBER(SEARCH("-",SUBSTITUTE(SUBSTITUTE("x"&amp;MID(O289,2,99),"E-","E"),"E+","E"))),ISNUMBER(SEARCH("+",SUBSTITUTE(SUBSTITUTE("x"&amp;MID(O289,2,99),"E-","E"),"E+","E"))))),"",IF(ISNUMBER(AH289),AH289,NA())),""))</f>
        <v/>
      </c>
      <c r="Q289" s="92">
        <f>IF(AND(ISNUMBER(L289),ISNUMBER(P289)),L289*P289,"")</f>
        <v/>
      </c>
      <c r="R289" s="92">
        <f>IF(OR(COUNTA($A289:$D289)=0,U289=0),"",IF(INDEX(DB_05[管制設定值],U289)="","",INDEX(DB_05[管制設定值],U289)))</f>
        <v/>
      </c>
      <c r="S289" s="92">
        <f>IF(OR(COUNTA($A289:$D289)=0,U289=0),"",IF(INDEX(DB_05[監測設定值],U289)="","",INDEX(DB_05[監測設定值],U289)))</f>
        <v/>
      </c>
      <c r="T289" s="92">
        <f>IF(COUNTA($A289:$D289)=0,"",IF(COUNTIFS(DB_04[測項鍵],V289)=1,MATCH(V289,DB_04[測項鍵],0),0))</f>
        <v/>
      </c>
      <c r="U289" s="92">
        <f>IF(COUNTA($A289:$D289)=0,"",IF(COUNTIFS(DB_05[標準鍵],W289)=1,MATCH(W289,DB_05[標準鍵],0),0))</f>
        <v/>
      </c>
      <c r="V289" s="92">
        <f>IF(OR(J289="",A289=""),"",J289&amp;"|"&amp;A289)</f>
        <v/>
      </c>
      <c r="W289" s="92">
        <f>IF(OR('07_QAQC'!$C$3="",V289=""),"",'07_QAQC'!$C$3&amp;"|"&amp;V289)</f>
        <v/>
      </c>
      <c r="X289" s="92">
        <f>IF(OR(H289="",A289=""),"",LEN(H289)&amp;":"&amp;H289&amp;LEN(A289)&amp;":"&amp;A289)</f>
        <v/>
      </c>
      <c r="Y289" s="93">
        <f>IF(COUNTA($A289:$D289)=0,"",IF(I289=0,"樣品未建或重複",IF(INDEX(Samples[樣品檢查],I289)="","OK",INDEX(Samples[樣品檢查],I289))))</f>
        <v/>
      </c>
      <c r="Z289" s="93">
        <f>IF(COUNTA($A289:$D289)=0,"",IF(B289="","缺原始值",IF(OR(B289="-",B289="--"),"無資料",IF(N289="NA","不適用",IF(N289="ND","OK",IF(NOT(ISNUMBER(P289)),"格式待核",IF(AND(N289&lt;&gt;"數值",P289&lt;0),"界限不得為負","OK")))))))</f>
        <v/>
      </c>
      <c r="AA289" s="93">
        <f>IF(COUNTA(A289:D289)=0,"",IF(OR(A289="",H289=""),"缺識別欄位",IF(IF(LEN("="&amp;SUBSTITUTE(SUBSTITUTE(SUBSTITUTE(X289,"~","~~"),"*","~*"),"?","~?"))&lt;=255,COUNTIF(Results[結果識別鍵],"="&amp;SUBSTITUTE(SUBSTITUTE(SUBSTITUTE(X289,"~","~~"),"*","~*"),"?","~?")),COUNTIFS(Results[關聯鍵],"="&amp;SUBSTITUTE(SUBSTITUTE(SUBSTITUTE(H289,"~","~~"),"*","~*"),"?","~?"),Results[分析項目],"="&amp;SUBSTITUTE(SUBSTITUTE(SUBSTITUTE(A289,"~","~~"),"*","~*"),"?","~?")))&gt;1,"同關聯鍵測項重複","OK")))</f>
        <v/>
      </c>
      <c r="AB289" s="93">
        <f>IF(COUNTA($A289:$D289)=0,"",IF(OR(C289="",K289=""),"缺單位",IF(NOT(ISNUMBER(L289)),"單位不相容",IF(L289=1,"OK","已換算"))))</f>
        <v/>
      </c>
      <c r="AC289" s="93">
        <f>IF(COUNTA($A289:$D289)=0,"",IF('07_QAQC'!$C$3="","未選比較版本",IF(U289=0,IF(COUNTIFS(DB_05[標準鍵],W289)&gt;1,"標準鍵重複","未訂此介質／測項門檻"),IF(INDEX(DB_05[版本檢查],U289)&lt;&gt;"OK","標準主檔待核",IF(INDEX(DB_05[標準單位],U289)&lt;&gt;K289,"標準單位不符",IF(INDEX(DB_05[核對狀態],U289)="停用","停用",IF(F289="","缺採樣日期",IF(OR(AND(INDEX(DB_05[生效日],U289)&lt;&gt;"",F289&lt;INDEX(DB_05[生效日],U289)),AND(INDEX(DB_05[失效日],U289)&lt;&gt;"",F289&gt;INDEX(DB_05[失效日],U289))),"日期不適用",INDEX(DB_05[核對狀態],U289)))))))))</f>
        <v/>
      </c>
      <c r="AD289" s="93">
        <f>IF(COUNTA($A289:$D289)=0,"",IF(AC289="未訂此介質／測項門檻",AC289,IF(AC289&lt;&gt;"已核對","標準待核",IF(R289="","未訂管制值",IF(NOT(ISNUMBER(L289)),"單位待核",IF(N289="ND","無法判定（ND無界限）",IF(N289="NA","不適用",IF(Z289&lt;&gt;"OK",Z289,IF(N289="數值",IF(Q289&gt;=R289,"達管制值","未達管制值"),IF(OR(N289="&lt;",N289="&lt;="),IF(OR(Q289&lt;R289,AND(N289="&lt;",Q289=R289)),"未達管制值","無法判定"),IF(OR(N289="&gt;",N289="&gt;="),IF(Q289&gt;=R289,"達管制值","無法判定"),"格式待核")))))))))))</f>
        <v/>
      </c>
      <c r="AE289" s="93">
        <f>IF(COUNTA($A289:$D289)=0,"",IF(AC289="未訂此介質／測項門檻",AC289,IF(AC289&lt;&gt;"已核對","標準待核",IF(S289="","未訂監測值",IF(NOT(ISNUMBER(L289)),"單位待核",IF(N289="ND","無法判定（ND無界限）",IF(N289="NA","不適用",IF(Z289&lt;&gt;"OK",Z289,IF(N289="數值",IF(Q289&gt;=S289,"達監測值","未達監測值"),IF(OR(N289="&lt;",N289="&lt;="),IF(OR(Q289&lt;S289,AND(N289="&lt;",Q289=S289)),"未達監測值","無法判定"),IF(OR(N289="&gt;",N289="&gt;="),IF(Q289&gt;=S289,"達監測值","無法判定"),"格式待核")))))))))))</f>
        <v/>
      </c>
      <c r="AF289" s="93">
        <f>IF(COUNTA($A289:$D289)=0,"",IF(OR(E289="",A289="",B289="",C289=""),"缺必要欄位",IF(Y289&lt;&gt;"OK","樣品資料待補",IF(T289=0,"測項未建或重複",IF(INDEX(DB_04[啟用],T289)&lt;&gt;"是","測項停用",IF(AND(Z289&lt;&gt;"OK",Z289&lt;&gt;"不適用"),Z289,IF(AND(AB289&lt;&gt;"OK",AB289&lt;&gt;"已換算"),"單位待核",IF(AA289&lt;&gt;"OK",AA289,"OK"))))))))</f>
        <v/>
      </c>
      <c r="AG289" s="93">
        <f>IF(COUNTA($A289:$D289)=0,"",IF(N289="ND","ND取0",IF(OR(N289="&lt;",N289="&lt;="),"界限除以2",IF(N289="NA","不適用",IF(OR(N289="&gt;",N289="&gt;="),"保留界限數值","保留原數值")))))</f>
        <v/>
      </c>
      <c r="AH289" s="92">
        <f>IF(O289="","",IFERROR(_xlfn.NUMBERVALUE(O289,".",","),""))</f>
        <v/>
      </c>
      <c r="AI289" s="92">
        <f>IF(H289="","",IFERROR(MATCH(H289,Samples[樣品編號],0),0))</f>
        <v/>
      </c>
    </row>
    <row r="290">
      <c r="A290" s="27" t="n"/>
      <c r="B290" s="28" t="n"/>
      <c r="C290" s="27" t="n"/>
      <c r="D290" s="39" t="n"/>
      <c r="E290" s="29" t="n"/>
      <c r="F290" s="90" t="n"/>
      <c r="G290" s="91" t="n"/>
      <c r="H290" s="57" t="n"/>
      <c r="I290" s="92" t="n"/>
      <c r="J290" s="92" t="n"/>
      <c r="K290" s="92" t="n"/>
      <c r="L290" s="92" t="n"/>
      <c r="M290" s="92" t="n"/>
      <c r="N290" s="92" t="n"/>
      <c r="O290" s="92" t="n"/>
      <c r="P290" s="92" t="n"/>
      <c r="Q290" s="92" t="n"/>
      <c r="R290" s="92" t="n"/>
      <c r="S290" s="92" t="n"/>
      <c r="T290" s="92" t="n"/>
      <c r="U290" s="92" t="n"/>
      <c r="V290" s="92" t="n"/>
      <c r="W290" s="92" t="n"/>
      <c r="X290" s="92" t="n"/>
      <c r="Y290" s="93" t="n"/>
      <c r="Z290" s="93" t="n"/>
      <c r="AA290" s="93" t="n"/>
      <c r="AB290" s="93" t="n"/>
      <c r="AC290" s="93" t="n"/>
      <c r="AD290" s="93" t="n"/>
      <c r="AE290" s="93" t="n"/>
      <c r="AF290" s="93" t="n"/>
      <c r="AG290" s="93" t="n"/>
      <c r="AH290" s="92" t="n"/>
      <c r="AI290" s="92" t="n"/>
    </row>
    <row r="291">
      <c r="A291" s="27" t="n"/>
      <c r="B291" s="28" t="n"/>
      <c r="C291" s="27" t="n"/>
      <c r="D291" s="39" t="n"/>
      <c r="E291" s="29" t="n"/>
      <c r="F291" s="90" t="n"/>
      <c r="G291" s="91" t="n"/>
      <c r="H291" s="57" t="n"/>
      <c r="I291" s="92" t="n"/>
      <c r="J291" s="92" t="n"/>
      <c r="K291" s="92" t="n"/>
      <c r="L291" s="92" t="n"/>
      <c r="M291" s="92" t="n"/>
      <c r="N291" s="92" t="n"/>
      <c r="O291" s="92" t="n"/>
      <c r="P291" s="92" t="n"/>
      <c r="Q291" s="92" t="n"/>
      <c r="R291" s="92" t="n"/>
      <c r="S291" s="92" t="n"/>
      <c r="T291" s="92" t="n"/>
      <c r="U291" s="92" t="n"/>
      <c r="V291" s="92" t="n"/>
      <c r="W291" s="92" t="n"/>
      <c r="X291" s="92" t="n"/>
      <c r="Y291" s="93" t="n"/>
      <c r="Z291" s="93" t="n"/>
      <c r="AA291" s="93" t="n"/>
      <c r="AB291" s="93" t="n"/>
      <c r="AC291" s="93" t="n"/>
      <c r="AD291" s="93" t="n"/>
      <c r="AE291" s="93" t="n"/>
      <c r="AF291" s="93" t="n"/>
      <c r="AG291" s="93" t="n"/>
      <c r="AH291" s="92" t="n"/>
      <c r="AI291" s="92" t="n"/>
    </row>
    <row r="292">
      <c r="A292" s="27" t="n"/>
      <c r="B292" s="28" t="n"/>
      <c r="C292" s="27" t="n"/>
      <c r="D292" s="39" t="n"/>
      <c r="E292" s="29" t="n"/>
      <c r="F292" s="90" t="n"/>
      <c r="G292" s="91" t="n"/>
      <c r="H292" s="57" t="n"/>
      <c r="I292" s="92" t="n"/>
      <c r="J292" s="92" t="n"/>
      <c r="K292" s="92" t="n"/>
      <c r="L292" s="92" t="n"/>
      <c r="M292" s="92" t="n"/>
      <c r="N292" s="92" t="n"/>
      <c r="O292" s="92" t="n"/>
      <c r="P292" s="92" t="n"/>
      <c r="Q292" s="92" t="n"/>
      <c r="R292" s="92" t="n"/>
      <c r="S292" s="92" t="n"/>
      <c r="T292" s="92" t="n"/>
      <c r="U292" s="92" t="n"/>
      <c r="V292" s="92" t="n"/>
      <c r="W292" s="92" t="n"/>
      <c r="X292" s="92" t="n"/>
      <c r="Y292" s="93" t="n"/>
      <c r="Z292" s="93" t="n"/>
      <c r="AA292" s="93" t="n"/>
      <c r="AB292" s="93" t="n"/>
      <c r="AC292" s="93" t="n"/>
      <c r="AD292" s="93" t="n"/>
      <c r="AE292" s="93" t="n"/>
      <c r="AF292" s="93" t="n"/>
      <c r="AG292" s="93" t="n"/>
      <c r="AH292" s="92" t="n"/>
      <c r="AI292" s="92" t="n"/>
    </row>
    <row r="293">
      <c r="A293" s="27" t="n"/>
      <c r="B293" s="28" t="n"/>
      <c r="C293" s="27" t="n"/>
      <c r="D293" s="39" t="n"/>
      <c r="E293" s="29" t="n"/>
      <c r="F293" s="90" t="n"/>
      <c r="G293" s="91" t="n"/>
      <c r="H293" s="57" t="n"/>
      <c r="I293" s="92" t="n"/>
      <c r="J293" s="92" t="n"/>
      <c r="K293" s="92" t="n"/>
      <c r="L293" s="92" t="n"/>
      <c r="M293" s="92" t="n"/>
      <c r="N293" s="92" t="n"/>
      <c r="O293" s="92" t="n"/>
      <c r="P293" s="92" t="n"/>
      <c r="Q293" s="92" t="n"/>
      <c r="R293" s="92" t="n"/>
      <c r="S293" s="92" t="n"/>
      <c r="T293" s="92" t="n"/>
      <c r="U293" s="92" t="n"/>
      <c r="V293" s="92" t="n"/>
      <c r="W293" s="92" t="n"/>
      <c r="X293" s="92" t="n"/>
      <c r="Y293" s="93" t="n"/>
      <c r="Z293" s="93" t="n"/>
      <c r="AA293" s="93" t="n"/>
      <c r="AB293" s="93" t="n"/>
      <c r="AC293" s="93" t="n"/>
      <c r="AD293" s="93" t="n"/>
      <c r="AE293" s="93" t="n"/>
      <c r="AF293" s="93" t="n"/>
      <c r="AG293" s="93" t="n"/>
      <c r="AH293" s="92" t="n"/>
      <c r="AI293" s="92" t="n"/>
    </row>
    <row r="294">
      <c r="A294" s="27" t="n"/>
      <c r="B294" s="28" t="n"/>
      <c r="C294" s="27" t="n"/>
      <c r="D294" s="39" t="n"/>
      <c r="E294" s="29" t="n"/>
      <c r="F294" s="90" t="n"/>
      <c r="G294" s="91" t="n"/>
      <c r="H294" s="57" t="n"/>
      <c r="I294" s="92" t="n"/>
      <c r="J294" s="92" t="n"/>
      <c r="K294" s="92" t="n"/>
      <c r="L294" s="92" t="n"/>
      <c r="M294" s="92" t="n"/>
      <c r="N294" s="92" t="n"/>
      <c r="O294" s="92" t="n"/>
      <c r="P294" s="92" t="n"/>
      <c r="Q294" s="92" t="n"/>
      <c r="R294" s="92" t="n"/>
      <c r="S294" s="92" t="n"/>
      <c r="T294" s="92" t="n"/>
      <c r="U294" s="92" t="n"/>
      <c r="V294" s="92" t="n"/>
      <c r="W294" s="92" t="n"/>
      <c r="X294" s="92" t="n"/>
      <c r="Y294" s="93" t="n"/>
      <c r="Z294" s="93" t="n"/>
      <c r="AA294" s="93" t="n"/>
      <c r="AB294" s="93" t="n"/>
      <c r="AC294" s="93" t="n"/>
      <c r="AD294" s="93" t="n"/>
      <c r="AE294" s="93" t="n"/>
      <c r="AF294" s="93" t="n"/>
      <c r="AG294" s="93" t="n"/>
      <c r="AH294" s="92" t="n"/>
      <c r="AI294" s="92" t="n"/>
    </row>
    <row r="295">
      <c r="A295" s="27" t="n"/>
      <c r="B295" s="28" t="n"/>
      <c r="C295" s="27" t="n"/>
      <c r="D295" s="39" t="n"/>
      <c r="E295" s="29" t="n"/>
      <c r="F295" s="90" t="n"/>
      <c r="G295" s="91" t="n"/>
      <c r="H295" s="57" t="n"/>
      <c r="I295" s="92" t="n"/>
      <c r="J295" s="92" t="n"/>
      <c r="K295" s="92" t="n"/>
      <c r="L295" s="92" t="n"/>
      <c r="M295" s="92" t="n"/>
      <c r="N295" s="92" t="n"/>
      <c r="O295" s="92" t="n"/>
      <c r="P295" s="92" t="n"/>
      <c r="Q295" s="92" t="n"/>
      <c r="R295" s="92" t="n"/>
      <c r="S295" s="92" t="n"/>
      <c r="T295" s="92" t="n"/>
      <c r="U295" s="92" t="n"/>
      <c r="V295" s="92" t="n"/>
      <c r="W295" s="92" t="n"/>
      <c r="X295" s="92" t="n"/>
      <c r="Y295" s="93" t="n"/>
      <c r="Z295" s="93" t="n"/>
      <c r="AA295" s="93" t="n"/>
      <c r="AB295" s="93" t="n"/>
      <c r="AC295" s="93" t="n"/>
      <c r="AD295" s="93" t="n"/>
      <c r="AE295" s="93" t="n"/>
      <c r="AF295" s="93" t="n"/>
      <c r="AG295" s="93" t="n"/>
      <c r="AH295" s="92" t="n"/>
      <c r="AI295" s="92" t="n"/>
    </row>
    <row r="296">
      <c r="A296" s="27" t="n"/>
      <c r="B296" s="28" t="n"/>
      <c r="C296" s="27" t="n"/>
      <c r="D296" s="39" t="n"/>
      <c r="E296" s="29" t="n"/>
      <c r="F296" s="90" t="n"/>
      <c r="G296" s="91" t="n"/>
      <c r="H296" s="57" t="n"/>
      <c r="I296" s="92" t="n"/>
      <c r="J296" s="92" t="n"/>
      <c r="K296" s="92" t="n"/>
      <c r="L296" s="92" t="n"/>
      <c r="M296" s="92" t="n"/>
      <c r="N296" s="92" t="n"/>
      <c r="O296" s="92" t="n"/>
      <c r="P296" s="92" t="n"/>
      <c r="Q296" s="92" t="n"/>
      <c r="R296" s="92" t="n"/>
      <c r="S296" s="92" t="n"/>
      <c r="T296" s="92" t="n"/>
      <c r="U296" s="92" t="n"/>
      <c r="V296" s="92" t="n"/>
      <c r="W296" s="92" t="n"/>
      <c r="X296" s="92" t="n"/>
      <c r="Y296" s="93" t="n"/>
      <c r="Z296" s="93" t="n"/>
      <c r="AA296" s="93" t="n"/>
      <c r="AB296" s="93" t="n"/>
      <c r="AC296" s="93" t="n"/>
      <c r="AD296" s="93" t="n"/>
      <c r="AE296" s="93" t="n"/>
      <c r="AF296" s="93" t="n"/>
      <c r="AG296" s="93" t="n"/>
      <c r="AH296" s="92" t="n"/>
      <c r="AI296" s="92" t="n"/>
    </row>
    <row r="297">
      <c r="A297" s="27" t="n"/>
      <c r="B297" s="28" t="n"/>
      <c r="C297" s="27" t="n"/>
      <c r="D297" s="39" t="n"/>
      <c r="E297" s="29" t="n"/>
      <c r="F297" s="90" t="n"/>
      <c r="G297" s="91" t="n"/>
      <c r="H297" s="57" t="n"/>
      <c r="I297" s="92" t="n"/>
      <c r="J297" s="92" t="n"/>
      <c r="K297" s="92" t="n"/>
      <c r="L297" s="92" t="n"/>
      <c r="M297" s="92" t="n"/>
      <c r="N297" s="92" t="n"/>
      <c r="O297" s="92" t="n"/>
      <c r="P297" s="92" t="n"/>
      <c r="Q297" s="92" t="n"/>
      <c r="R297" s="92" t="n"/>
      <c r="S297" s="92" t="n"/>
      <c r="T297" s="92" t="n"/>
      <c r="U297" s="92" t="n"/>
      <c r="V297" s="92" t="n"/>
      <c r="W297" s="92" t="n"/>
      <c r="X297" s="92" t="n"/>
      <c r="Y297" s="93" t="n"/>
      <c r="Z297" s="93" t="n"/>
      <c r="AA297" s="93" t="n"/>
      <c r="AB297" s="93" t="n"/>
      <c r="AC297" s="93" t="n"/>
      <c r="AD297" s="93" t="n"/>
      <c r="AE297" s="93" t="n"/>
      <c r="AF297" s="93" t="n"/>
      <c r="AG297" s="93" t="n"/>
      <c r="AH297" s="92" t="n"/>
      <c r="AI297" s="92" t="n"/>
    </row>
    <row r="298">
      <c r="A298" s="27" t="n"/>
      <c r="B298" s="28" t="n"/>
      <c r="C298" s="27" t="n"/>
      <c r="D298" s="39" t="n"/>
      <c r="E298" s="29" t="n"/>
      <c r="F298" s="90" t="n"/>
      <c r="G298" s="91" t="n"/>
      <c r="H298" s="57" t="n"/>
      <c r="I298" s="92" t="n"/>
      <c r="J298" s="92" t="n"/>
      <c r="K298" s="92" t="n"/>
      <c r="L298" s="92" t="n"/>
      <c r="M298" s="92" t="n"/>
      <c r="N298" s="92" t="n"/>
      <c r="O298" s="92" t="n"/>
      <c r="P298" s="92" t="n"/>
      <c r="Q298" s="92" t="n"/>
      <c r="R298" s="92" t="n"/>
      <c r="S298" s="92" t="n"/>
      <c r="T298" s="92" t="n"/>
      <c r="U298" s="92" t="n"/>
      <c r="V298" s="92" t="n"/>
      <c r="W298" s="92" t="n"/>
      <c r="X298" s="92" t="n"/>
      <c r="Y298" s="93" t="n"/>
      <c r="Z298" s="93" t="n"/>
      <c r="AA298" s="93" t="n"/>
      <c r="AB298" s="93" t="n"/>
      <c r="AC298" s="93" t="n"/>
      <c r="AD298" s="93" t="n"/>
      <c r="AE298" s="93" t="n"/>
      <c r="AF298" s="93" t="n"/>
      <c r="AG298" s="93" t="n"/>
      <c r="AH298" s="92" t="n"/>
      <c r="AI298" s="92" t="n"/>
    </row>
    <row r="299">
      <c r="A299" s="27" t="n"/>
      <c r="B299" s="28" t="n"/>
      <c r="C299" s="27" t="n"/>
      <c r="D299" s="39" t="n"/>
      <c r="E299" s="29" t="n"/>
      <c r="F299" s="90" t="n"/>
      <c r="G299" s="91" t="n"/>
      <c r="H299" s="57" t="n"/>
      <c r="I299" s="92" t="n"/>
      <c r="J299" s="92" t="n"/>
      <c r="K299" s="92" t="n"/>
      <c r="L299" s="92" t="n"/>
      <c r="M299" s="92" t="n"/>
      <c r="N299" s="92" t="n"/>
      <c r="O299" s="92" t="n"/>
      <c r="P299" s="92" t="n"/>
      <c r="Q299" s="92" t="n"/>
      <c r="R299" s="92" t="n"/>
      <c r="S299" s="92" t="n"/>
      <c r="T299" s="92" t="n"/>
      <c r="U299" s="92" t="n"/>
      <c r="V299" s="92" t="n"/>
      <c r="W299" s="92" t="n"/>
      <c r="X299" s="92" t="n"/>
      <c r="Y299" s="93" t="n"/>
      <c r="Z299" s="93" t="n"/>
      <c r="AA299" s="93" t="n"/>
      <c r="AB299" s="93" t="n"/>
      <c r="AC299" s="93" t="n"/>
      <c r="AD299" s="93" t="n"/>
      <c r="AE299" s="93" t="n"/>
      <c r="AF299" s="93" t="n"/>
      <c r="AG299" s="93" t="n"/>
      <c r="AH299" s="92" t="n"/>
      <c r="AI299" s="92" t="n"/>
    </row>
    <row r="300">
      <c r="A300" s="27" t="n"/>
      <c r="B300" s="28" t="n"/>
      <c r="C300" s="27" t="n"/>
      <c r="D300" s="39" t="n"/>
      <c r="E300" s="29" t="n"/>
      <c r="F300" s="90" t="n"/>
      <c r="G300" s="91" t="n"/>
      <c r="H300" s="57" t="n"/>
      <c r="I300" s="92" t="n"/>
      <c r="J300" s="92" t="n"/>
      <c r="K300" s="92" t="n"/>
      <c r="L300" s="92" t="n"/>
      <c r="M300" s="92" t="n"/>
      <c r="N300" s="92" t="n"/>
      <c r="O300" s="92" t="n"/>
      <c r="P300" s="92" t="n"/>
      <c r="Q300" s="92" t="n"/>
      <c r="R300" s="92" t="n"/>
      <c r="S300" s="92" t="n"/>
      <c r="T300" s="92" t="n"/>
      <c r="U300" s="92" t="n"/>
      <c r="V300" s="92" t="n"/>
      <c r="W300" s="92" t="n"/>
      <c r="X300" s="92" t="n"/>
      <c r="Y300" s="93" t="n"/>
      <c r="Z300" s="93" t="n"/>
      <c r="AA300" s="93" t="n"/>
      <c r="AB300" s="93" t="n"/>
      <c r="AC300" s="93" t="n"/>
      <c r="AD300" s="93" t="n"/>
      <c r="AE300" s="93" t="n"/>
      <c r="AF300" s="93" t="n"/>
      <c r="AG300" s="93" t="n"/>
      <c r="AH300" s="92" t="n"/>
      <c r="AI300" s="92" t="n"/>
    </row>
    <row r="301">
      <c r="A301" s="27" t="n"/>
      <c r="B301" s="28" t="n"/>
      <c r="C301" s="27" t="n"/>
      <c r="D301" s="39" t="n"/>
      <c r="E301" s="29" t="n"/>
      <c r="F301" s="90" t="n"/>
      <c r="G301" s="91" t="n"/>
      <c r="H301" s="57" t="n"/>
      <c r="I301" s="92" t="n"/>
      <c r="J301" s="92" t="n"/>
      <c r="K301" s="92" t="n"/>
      <c r="L301" s="92" t="n"/>
      <c r="M301" s="92" t="n"/>
      <c r="N301" s="92" t="n"/>
      <c r="O301" s="92" t="n"/>
      <c r="P301" s="92" t="n"/>
      <c r="Q301" s="92" t="n"/>
      <c r="R301" s="92" t="n"/>
      <c r="S301" s="92" t="n"/>
      <c r="T301" s="92" t="n"/>
      <c r="U301" s="92" t="n"/>
      <c r="V301" s="92" t="n"/>
      <c r="W301" s="92" t="n"/>
      <c r="X301" s="92" t="n"/>
      <c r="Y301" s="93" t="n"/>
      <c r="Z301" s="93" t="n"/>
      <c r="AA301" s="93" t="n"/>
      <c r="AB301" s="93" t="n"/>
      <c r="AC301" s="93" t="n"/>
      <c r="AD301" s="93" t="n"/>
      <c r="AE301" s="93" t="n"/>
      <c r="AF301" s="93" t="n"/>
      <c r="AG301" s="93" t="n"/>
      <c r="AH301" s="92" t="n"/>
      <c r="AI301" s="92" t="n"/>
    </row>
    <row r="302">
      <c r="A302" s="27" t="n"/>
      <c r="B302" s="28" t="n"/>
      <c r="C302" s="27" t="n"/>
      <c r="D302" s="39" t="n"/>
      <c r="E302" s="29" t="n"/>
      <c r="F302" s="90" t="n"/>
      <c r="G302" s="91" t="n"/>
      <c r="H302" s="57" t="n"/>
      <c r="I302" s="92" t="n"/>
      <c r="J302" s="92" t="n"/>
      <c r="K302" s="92" t="n"/>
      <c r="L302" s="92" t="n"/>
      <c r="M302" s="92" t="n"/>
      <c r="N302" s="92" t="n"/>
      <c r="O302" s="92" t="n"/>
      <c r="P302" s="92" t="n"/>
      <c r="Q302" s="92" t="n"/>
      <c r="R302" s="92" t="n"/>
      <c r="S302" s="92" t="n"/>
      <c r="T302" s="92" t="n"/>
      <c r="U302" s="92" t="n"/>
      <c r="V302" s="92" t="n"/>
      <c r="W302" s="92" t="n"/>
      <c r="X302" s="92" t="n"/>
      <c r="Y302" s="93" t="n"/>
      <c r="Z302" s="93" t="n"/>
      <c r="AA302" s="93" t="n"/>
      <c r="AB302" s="93" t="n"/>
      <c r="AC302" s="93" t="n"/>
      <c r="AD302" s="93" t="n"/>
      <c r="AE302" s="93" t="n"/>
      <c r="AF302" s="93" t="n"/>
      <c r="AG302" s="93" t="n"/>
      <c r="AH302" s="92" t="n"/>
      <c r="AI302" s="92" t="n"/>
    </row>
    <row r="303">
      <c r="A303" s="27" t="n"/>
      <c r="B303" s="28" t="n"/>
      <c r="C303" s="27" t="n"/>
      <c r="D303" s="39" t="n"/>
      <c r="E303" s="29" t="n"/>
      <c r="F303" s="90" t="n"/>
      <c r="G303" s="91" t="n"/>
      <c r="H303" s="57" t="n"/>
      <c r="I303" s="92" t="n"/>
      <c r="J303" s="92" t="n"/>
      <c r="K303" s="92" t="n"/>
      <c r="L303" s="92" t="n"/>
      <c r="M303" s="92" t="n"/>
      <c r="N303" s="92" t="n"/>
      <c r="O303" s="92" t="n"/>
      <c r="P303" s="92" t="n"/>
      <c r="Q303" s="92" t="n"/>
      <c r="R303" s="92" t="n"/>
      <c r="S303" s="92" t="n"/>
      <c r="T303" s="92" t="n"/>
      <c r="U303" s="92" t="n"/>
      <c r="V303" s="92" t="n"/>
      <c r="W303" s="92" t="n"/>
      <c r="X303" s="92" t="n"/>
      <c r="Y303" s="93" t="n"/>
      <c r="Z303" s="93" t="n"/>
      <c r="AA303" s="93" t="n"/>
      <c r="AB303" s="93" t="n"/>
      <c r="AC303" s="93" t="n"/>
      <c r="AD303" s="93" t="n"/>
      <c r="AE303" s="93" t="n"/>
      <c r="AF303" s="93" t="n"/>
      <c r="AG303" s="93" t="n"/>
      <c r="AH303" s="92" t="n"/>
      <c r="AI303" s="92" t="n"/>
    </row>
    <row r="304">
      <c r="A304" s="27" t="n"/>
      <c r="B304" s="28" t="n"/>
      <c r="C304" s="27" t="n"/>
      <c r="D304" s="39" t="n"/>
      <c r="E304" s="29" t="n"/>
      <c r="F304" s="90" t="n"/>
      <c r="G304" s="91" t="n"/>
      <c r="H304" s="57" t="n"/>
      <c r="I304" s="92" t="n"/>
      <c r="J304" s="92" t="n"/>
      <c r="K304" s="92" t="n"/>
      <c r="L304" s="92" t="n"/>
      <c r="M304" s="92" t="n"/>
      <c r="N304" s="92" t="n"/>
      <c r="O304" s="92" t="n"/>
      <c r="P304" s="92" t="n"/>
      <c r="Q304" s="92" t="n"/>
      <c r="R304" s="92" t="n"/>
      <c r="S304" s="92" t="n"/>
      <c r="T304" s="92" t="n"/>
      <c r="U304" s="92" t="n"/>
      <c r="V304" s="92" t="n"/>
      <c r="W304" s="92" t="n"/>
      <c r="X304" s="92" t="n"/>
      <c r="Y304" s="93" t="n"/>
      <c r="Z304" s="93" t="n"/>
      <c r="AA304" s="93" t="n"/>
      <c r="AB304" s="93" t="n"/>
      <c r="AC304" s="93" t="n"/>
      <c r="AD304" s="93" t="n"/>
      <c r="AE304" s="93" t="n"/>
      <c r="AF304" s="93" t="n"/>
      <c r="AG304" s="93" t="n"/>
      <c r="AH304" s="92" t="n"/>
      <c r="AI304" s="92" t="n"/>
    </row>
    <row r="305">
      <c r="A305" s="27" t="n"/>
      <c r="B305" s="28" t="n"/>
      <c r="C305" s="27" t="n"/>
      <c r="D305" s="39" t="n"/>
      <c r="E305" s="29" t="n"/>
      <c r="F305" s="90" t="n"/>
      <c r="G305" s="91" t="n"/>
      <c r="H305" s="57" t="n"/>
      <c r="I305" s="92" t="n"/>
      <c r="J305" s="92" t="n"/>
      <c r="K305" s="92" t="n"/>
      <c r="L305" s="92" t="n"/>
      <c r="M305" s="92" t="n"/>
      <c r="N305" s="92" t="n"/>
      <c r="O305" s="92" t="n"/>
      <c r="P305" s="92" t="n"/>
      <c r="Q305" s="92" t="n"/>
      <c r="R305" s="92" t="n"/>
      <c r="S305" s="92" t="n"/>
      <c r="T305" s="92" t="n"/>
      <c r="U305" s="92" t="n"/>
      <c r="V305" s="92" t="n"/>
      <c r="W305" s="92" t="n"/>
      <c r="X305" s="92" t="n"/>
      <c r="Y305" s="93" t="n"/>
      <c r="Z305" s="93" t="n"/>
      <c r="AA305" s="93" t="n"/>
      <c r="AB305" s="93" t="n"/>
      <c r="AC305" s="93" t="n"/>
      <c r="AD305" s="93" t="n"/>
      <c r="AE305" s="93" t="n"/>
      <c r="AF305" s="93" t="n"/>
      <c r="AG305" s="93" t="n"/>
      <c r="AH305" s="92" t="n"/>
      <c r="AI305" s="92" t="n"/>
    </row>
    <row r="306">
      <c r="A306" s="27" t="n"/>
      <c r="B306" s="28" t="n"/>
      <c r="C306" s="27" t="n"/>
      <c r="D306" s="39" t="n"/>
      <c r="E306" s="29" t="n"/>
      <c r="F306" s="90" t="n"/>
      <c r="G306" s="91" t="n"/>
      <c r="H306" s="57" t="n"/>
      <c r="I306" s="92" t="n"/>
      <c r="J306" s="92" t="n"/>
      <c r="K306" s="92" t="n"/>
      <c r="L306" s="92" t="n"/>
      <c r="M306" s="92" t="n"/>
      <c r="N306" s="92" t="n"/>
      <c r="O306" s="92" t="n"/>
      <c r="P306" s="92" t="n"/>
      <c r="Q306" s="92" t="n"/>
      <c r="R306" s="92" t="n"/>
      <c r="S306" s="92" t="n"/>
      <c r="T306" s="92" t="n"/>
      <c r="U306" s="92" t="n"/>
      <c r="V306" s="92" t="n"/>
      <c r="W306" s="92" t="n"/>
      <c r="X306" s="92" t="n"/>
      <c r="Y306" s="93" t="n"/>
      <c r="Z306" s="93" t="n"/>
      <c r="AA306" s="93" t="n"/>
      <c r="AB306" s="93" t="n"/>
      <c r="AC306" s="93" t="n"/>
      <c r="AD306" s="93" t="n"/>
      <c r="AE306" s="93" t="n"/>
      <c r="AF306" s="93" t="n"/>
      <c r="AG306" s="93" t="n"/>
      <c r="AH306" s="92" t="n"/>
      <c r="AI306" s="92" t="n"/>
    </row>
    <row r="307">
      <c r="A307" s="27" t="n"/>
      <c r="B307" s="28" t="n"/>
      <c r="C307" s="27" t="n"/>
      <c r="D307" s="39" t="n"/>
      <c r="E307" s="29" t="n"/>
      <c r="F307" s="90" t="n"/>
      <c r="G307" s="91" t="n"/>
      <c r="H307" s="57" t="n"/>
      <c r="I307" s="92" t="n"/>
      <c r="J307" s="92" t="n"/>
      <c r="K307" s="92" t="n"/>
      <c r="L307" s="92" t="n"/>
      <c r="M307" s="92" t="n"/>
      <c r="N307" s="92" t="n"/>
      <c r="O307" s="92" t="n"/>
      <c r="P307" s="92" t="n"/>
      <c r="Q307" s="92" t="n"/>
      <c r="R307" s="92" t="n"/>
      <c r="S307" s="92" t="n"/>
      <c r="T307" s="92" t="n"/>
      <c r="U307" s="92" t="n"/>
      <c r="V307" s="92" t="n"/>
      <c r="W307" s="92" t="n"/>
      <c r="X307" s="92" t="n"/>
      <c r="Y307" s="93" t="n"/>
      <c r="Z307" s="93" t="n"/>
      <c r="AA307" s="93" t="n"/>
      <c r="AB307" s="93" t="n"/>
      <c r="AC307" s="93" t="n"/>
      <c r="AD307" s="93" t="n"/>
      <c r="AE307" s="93" t="n"/>
      <c r="AF307" s="93" t="n"/>
      <c r="AG307" s="93" t="n"/>
      <c r="AH307" s="92" t="n"/>
      <c r="AI307" s="92" t="n"/>
    </row>
    <row r="308">
      <c r="A308" s="27" t="n"/>
      <c r="B308" s="28" t="n"/>
      <c r="C308" s="27" t="n"/>
      <c r="D308" s="39" t="n"/>
      <c r="E308" s="29" t="n"/>
      <c r="F308" s="90" t="n"/>
      <c r="G308" s="91" t="n"/>
      <c r="H308" s="57" t="n"/>
      <c r="I308" s="92" t="n"/>
      <c r="J308" s="92" t="n"/>
      <c r="K308" s="92" t="n"/>
      <c r="L308" s="92" t="n"/>
      <c r="M308" s="92" t="n"/>
      <c r="N308" s="92" t="n"/>
      <c r="O308" s="92" t="n"/>
      <c r="P308" s="92" t="n"/>
      <c r="Q308" s="92" t="n"/>
      <c r="R308" s="92" t="n"/>
      <c r="S308" s="92" t="n"/>
      <c r="T308" s="92" t="n"/>
      <c r="U308" s="92" t="n"/>
      <c r="V308" s="92" t="n"/>
      <c r="W308" s="92" t="n"/>
      <c r="X308" s="92" t="n"/>
      <c r="Y308" s="93" t="n"/>
      <c r="Z308" s="93" t="n"/>
      <c r="AA308" s="93" t="n"/>
      <c r="AB308" s="93" t="n"/>
      <c r="AC308" s="93" t="n"/>
      <c r="AD308" s="93" t="n"/>
      <c r="AE308" s="93" t="n"/>
      <c r="AF308" s="93" t="n"/>
      <c r="AG308" s="93" t="n"/>
      <c r="AH308" s="92" t="n"/>
      <c r="AI308" s="92" t="n"/>
    </row>
    <row r="309">
      <c r="A309" s="27" t="n"/>
      <c r="B309" s="28" t="n"/>
      <c r="C309" s="27" t="n"/>
      <c r="D309" s="39" t="n"/>
      <c r="E309" s="29" t="n"/>
      <c r="F309" s="90" t="n"/>
      <c r="G309" s="91" t="n"/>
      <c r="H309" s="57" t="n"/>
      <c r="I309" s="92" t="n"/>
      <c r="J309" s="92" t="n"/>
      <c r="K309" s="92" t="n"/>
      <c r="L309" s="92" t="n"/>
      <c r="M309" s="92" t="n"/>
      <c r="N309" s="92" t="n"/>
      <c r="O309" s="92" t="n"/>
      <c r="P309" s="92" t="n"/>
      <c r="Q309" s="92" t="n"/>
      <c r="R309" s="92" t="n"/>
      <c r="S309" s="92" t="n"/>
      <c r="T309" s="92" t="n"/>
      <c r="U309" s="92" t="n"/>
      <c r="V309" s="92" t="n"/>
      <c r="W309" s="92" t="n"/>
      <c r="X309" s="92" t="n"/>
      <c r="Y309" s="93" t="n"/>
      <c r="Z309" s="93" t="n"/>
      <c r="AA309" s="93" t="n"/>
      <c r="AB309" s="93" t="n"/>
      <c r="AC309" s="93" t="n"/>
      <c r="AD309" s="93" t="n"/>
      <c r="AE309" s="93" t="n"/>
      <c r="AF309" s="93" t="n"/>
      <c r="AG309" s="93" t="n"/>
      <c r="AH309" s="92" t="n"/>
      <c r="AI309" s="92" t="n"/>
    </row>
    <row r="310">
      <c r="A310" s="27" t="n"/>
      <c r="B310" s="28" t="n"/>
      <c r="C310" s="27" t="n"/>
      <c r="D310" s="39" t="n"/>
      <c r="E310" s="29" t="n"/>
      <c r="F310" s="90" t="n"/>
      <c r="G310" s="91" t="n"/>
      <c r="H310" s="57" t="n"/>
      <c r="I310" s="92" t="n"/>
      <c r="J310" s="92" t="n"/>
      <c r="K310" s="92" t="n"/>
      <c r="L310" s="92" t="n"/>
      <c r="M310" s="92" t="n"/>
      <c r="N310" s="92" t="n"/>
      <c r="O310" s="92" t="n"/>
      <c r="P310" s="92" t="n"/>
      <c r="Q310" s="92" t="n"/>
      <c r="R310" s="92" t="n"/>
      <c r="S310" s="92" t="n"/>
      <c r="T310" s="92" t="n"/>
      <c r="U310" s="92" t="n"/>
      <c r="V310" s="92" t="n"/>
      <c r="W310" s="92" t="n"/>
      <c r="X310" s="92" t="n"/>
      <c r="Y310" s="93" t="n"/>
      <c r="Z310" s="93" t="n"/>
      <c r="AA310" s="93" t="n"/>
      <c r="AB310" s="93" t="n"/>
      <c r="AC310" s="93" t="n"/>
      <c r="AD310" s="93" t="n"/>
      <c r="AE310" s="93" t="n"/>
      <c r="AF310" s="93" t="n"/>
      <c r="AG310" s="93" t="n"/>
      <c r="AH310" s="92" t="n"/>
      <c r="AI310" s="92" t="n"/>
    </row>
    <row r="311">
      <c r="A311" s="27" t="n"/>
      <c r="B311" s="28" t="n"/>
      <c r="C311" s="27" t="n"/>
      <c r="D311" s="39" t="n"/>
      <c r="E311" s="29" t="n"/>
      <c r="F311" s="90" t="n"/>
      <c r="G311" s="91" t="n"/>
      <c r="H311" s="57" t="n"/>
      <c r="I311" s="92" t="n"/>
      <c r="J311" s="92" t="n"/>
      <c r="K311" s="92" t="n"/>
      <c r="L311" s="92" t="n"/>
      <c r="M311" s="92" t="n"/>
      <c r="N311" s="92" t="n"/>
      <c r="O311" s="92" t="n"/>
      <c r="P311" s="92" t="n"/>
      <c r="Q311" s="92" t="n"/>
      <c r="R311" s="92" t="n"/>
      <c r="S311" s="92" t="n"/>
      <c r="T311" s="92" t="n"/>
      <c r="U311" s="92" t="n"/>
      <c r="V311" s="92" t="n"/>
      <c r="W311" s="92" t="n"/>
      <c r="X311" s="92" t="n"/>
      <c r="Y311" s="93" t="n"/>
      <c r="Z311" s="93" t="n"/>
      <c r="AA311" s="93" t="n"/>
      <c r="AB311" s="93" t="n"/>
      <c r="AC311" s="93" t="n"/>
      <c r="AD311" s="93" t="n"/>
      <c r="AE311" s="93" t="n"/>
      <c r="AF311" s="93" t="n"/>
      <c r="AG311" s="93" t="n"/>
      <c r="AH311" s="92" t="n"/>
      <c r="AI311" s="92" t="n"/>
    </row>
    <row r="312">
      <c r="A312" s="27" t="n"/>
      <c r="B312" s="28" t="n"/>
      <c r="C312" s="27" t="n"/>
      <c r="D312" s="39" t="n"/>
      <c r="E312" s="29" t="n"/>
      <c r="F312" s="90" t="n"/>
      <c r="G312" s="91" t="n"/>
      <c r="H312" s="57" t="n"/>
      <c r="I312" s="92" t="n"/>
      <c r="J312" s="92" t="n"/>
      <c r="K312" s="92" t="n"/>
      <c r="L312" s="92" t="n"/>
      <c r="M312" s="92" t="n"/>
      <c r="N312" s="92" t="n"/>
      <c r="O312" s="92" t="n"/>
      <c r="P312" s="92" t="n"/>
      <c r="Q312" s="92" t="n"/>
      <c r="R312" s="92" t="n"/>
      <c r="S312" s="92" t="n"/>
      <c r="T312" s="92" t="n"/>
      <c r="U312" s="92" t="n"/>
      <c r="V312" s="92" t="n"/>
      <c r="W312" s="92" t="n"/>
      <c r="X312" s="92" t="n"/>
      <c r="Y312" s="93" t="n"/>
      <c r="Z312" s="93" t="n"/>
      <c r="AA312" s="93" t="n"/>
      <c r="AB312" s="93" t="n"/>
      <c r="AC312" s="93" t="n"/>
      <c r="AD312" s="93" t="n"/>
      <c r="AE312" s="93" t="n"/>
      <c r="AF312" s="93" t="n"/>
      <c r="AG312" s="93" t="n"/>
      <c r="AH312" s="92" t="n"/>
      <c r="AI312" s="92" t="n"/>
    </row>
    <row r="313">
      <c r="A313" s="27" t="n"/>
      <c r="B313" s="28" t="n"/>
      <c r="C313" s="27" t="n"/>
      <c r="D313" s="39" t="n"/>
      <c r="E313" s="29" t="n"/>
      <c r="F313" s="90" t="n"/>
      <c r="G313" s="91" t="n"/>
      <c r="H313" s="57" t="n"/>
      <c r="I313" s="92" t="n"/>
      <c r="J313" s="92" t="n"/>
      <c r="K313" s="92" t="n"/>
      <c r="L313" s="92" t="n"/>
      <c r="M313" s="92" t="n"/>
      <c r="N313" s="92" t="n"/>
      <c r="O313" s="92" t="n"/>
      <c r="P313" s="92" t="n"/>
      <c r="Q313" s="92" t="n"/>
      <c r="R313" s="92" t="n"/>
      <c r="S313" s="92" t="n"/>
      <c r="T313" s="92" t="n"/>
      <c r="U313" s="92" t="n"/>
      <c r="V313" s="92" t="n"/>
      <c r="W313" s="92" t="n"/>
      <c r="X313" s="92" t="n"/>
      <c r="Y313" s="93" t="n"/>
      <c r="Z313" s="93" t="n"/>
      <c r="AA313" s="93" t="n"/>
      <c r="AB313" s="93" t="n"/>
      <c r="AC313" s="93" t="n"/>
      <c r="AD313" s="93" t="n"/>
      <c r="AE313" s="93" t="n"/>
      <c r="AF313" s="93" t="n"/>
      <c r="AG313" s="93" t="n"/>
      <c r="AH313" s="92" t="n"/>
      <c r="AI313" s="92" t="n"/>
    </row>
    <row r="314">
      <c r="A314" s="27" t="n"/>
      <c r="B314" s="28" t="n"/>
      <c r="C314" s="27" t="n"/>
      <c r="D314" s="39" t="n"/>
      <c r="E314" s="29" t="n"/>
      <c r="F314" s="90" t="n"/>
      <c r="G314" s="91" t="n"/>
      <c r="H314" s="57" t="n"/>
      <c r="I314" s="92" t="n"/>
      <c r="J314" s="92" t="n"/>
      <c r="K314" s="92" t="n"/>
      <c r="L314" s="92" t="n"/>
      <c r="M314" s="92" t="n"/>
      <c r="N314" s="92" t="n"/>
      <c r="O314" s="92" t="n"/>
      <c r="P314" s="92" t="n"/>
      <c r="Q314" s="92" t="n"/>
      <c r="R314" s="92" t="n"/>
      <c r="S314" s="92" t="n"/>
      <c r="T314" s="92" t="n"/>
      <c r="U314" s="92" t="n"/>
      <c r="V314" s="92" t="n"/>
      <c r="W314" s="92" t="n"/>
      <c r="X314" s="92" t="n"/>
      <c r="Y314" s="93" t="n"/>
      <c r="Z314" s="93" t="n"/>
      <c r="AA314" s="93" t="n"/>
      <c r="AB314" s="93" t="n"/>
      <c r="AC314" s="93" t="n"/>
      <c r="AD314" s="93" t="n"/>
      <c r="AE314" s="93" t="n"/>
      <c r="AF314" s="93" t="n"/>
      <c r="AG314" s="93" t="n"/>
      <c r="AH314" s="92" t="n"/>
      <c r="AI314" s="92" t="n"/>
    </row>
    <row r="315">
      <c r="A315" s="27" t="n"/>
      <c r="B315" s="28" t="n"/>
      <c r="C315" s="27" t="n"/>
      <c r="D315" s="39" t="n"/>
      <c r="E315" s="29" t="n"/>
      <c r="F315" s="90" t="n"/>
      <c r="G315" s="91" t="n"/>
      <c r="H315" s="57" t="n"/>
      <c r="I315" s="92" t="n"/>
      <c r="J315" s="92" t="n"/>
      <c r="K315" s="92" t="n"/>
      <c r="L315" s="92" t="n"/>
      <c r="M315" s="92" t="n"/>
      <c r="N315" s="92" t="n"/>
      <c r="O315" s="92" t="n"/>
      <c r="P315" s="92" t="n"/>
      <c r="Q315" s="92" t="n"/>
      <c r="R315" s="92" t="n"/>
      <c r="S315" s="92" t="n"/>
      <c r="T315" s="92" t="n"/>
      <c r="U315" s="92" t="n"/>
      <c r="V315" s="92" t="n"/>
      <c r="W315" s="92" t="n"/>
      <c r="X315" s="92" t="n"/>
      <c r="Y315" s="93" t="n"/>
      <c r="Z315" s="93" t="n"/>
      <c r="AA315" s="93" t="n"/>
      <c r="AB315" s="93" t="n"/>
      <c r="AC315" s="93" t="n"/>
      <c r="AD315" s="93" t="n"/>
      <c r="AE315" s="93" t="n"/>
      <c r="AF315" s="93" t="n"/>
      <c r="AG315" s="93" t="n"/>
      <c r="AH315" s="92" t="n"/>
      <c r="AI315" s="92" t="n"/>
    </row>
    <row r="316">
      <c r="A316" s="27" t="n"/>
      <c r="B316" s="28" t="n"/>
      <c r="C316" s="27" t="n"/>
      <c r="D316" s="39" t="n"/>
      <c r="E316" s="29" t="n"/>
      <c r="F316" s="90" t="n"/>
      <c r="G316" s="91" t="n"/>
      <c r="H316" s="57" t="n"/>
      <c r="I316" s="92" t="n"/>
      <c r="J316" s="92" t="n"/>
      <c r="K316" s="92" t="n"/>
      <c r="L316" s="92" t="n"/>
      <c r="M316" s="92" t="n"/>
      <c r="N316" s="92" t="n"/>
      <c r="O316" s="92" t="n"/>
      <c r="P316" s="92" t="n"/>
      <c r="Q316" s="92" t="n"/>
      <c r="R316" s="92" t="n"/>
      <c r="S316" s="92" t="n"/>
      <c r="T316" s="92" t="n"/>
      <c r="U316" s="92" t="n"/>
      <c r="V316" s="92" t="n"/>
      <c r="W316" s="92" t="n"/>
      <c r="X316" s="92" t="n"/>
      <c r="Y316" s="93" t="n"/>
      <c r="Z316" s="93" t="n"/>
      <c r="AA316" s="93" t="n"/>
      <c r="AB316" s="93" t="n"/>
      <c r="AC316" s="93" t="n"/>
      <c r="AD316" s="93" t="n"/>
      <c r="AE316" s="93" t="n"/>
      <c r="AF316" s="93" t="n"/>
      <c r="AG316" s="93" t="n"/>
      <c r="AH316" s="92" t="n"/>
      <c r="AI316" s="92" t="n"/>
    </row>
    <row r="317">
      <c r="A317" s="27" t="n"/>
      <c r="B317" s="28" t="n"/>
      <c r="C317" s="27" t="n"/>
      <c r="D317" s="39" t="n"/>
      <c r="E317" s="29" t="n"/>
      <c r="F317" s="90" t="n"/>
      <c r="G317" s="91" t="n"/>
      <c r="H317" s="57" t="n"/>
      <c r="I317" s="92" t="n"/>
      <c r="J317" s="92" t="n"/>
      <c r="K317" s="92" t="n"/>
      <c r="L317" s="92" t="n"/>
      <c r="M317" s="92" t="n"/>
      <c r="N317" s="92" t="n"/>
      <c r="O317" s="92" t="n"/>
      <c r="P317" s="92" t="n"/>
      <c r="Q317" s="92" t="n"/>
      <c r="R317" s="92" t="n"/>
      <c r="S317" s="92" t="n"/>
      <c r="T317" s="92" t="n"/>
      <c r="U317" s="92" t="n"/>
      <c r="V317" s="92" t="n"/>
      <c r="W317" s="92" t="n"/>
      <c r="X317" s="92" t="n"/>
      <c r="Y317" s="93" t="n"/>
      <c r="Z317" s="93" t="n"/>
      <c r="AA317" s="93" t="n"/>
      <c r="AB317" s="93" t="n"/>
      <c r="AC317" s="93" t="n"/>
      <c r="AD317" s="93" t="n"/>
      <c r="AE317" s="93" t="n"/>
      <c r="AF317" s="93" t="n"/>
      <c r="AG317" s="93" t="n"/>
      <c r="AH317" s="92" t="n"/>
      <c r="AI317" s="92" t="n"/>
    </row>
    <row r="318">
      <c r="A318" s="27" t="n"/>
      <c r="B318" s="28" t="n"/>
      <c r="C318" s="27" t="n"/>
      <c r="D318" s="39" t="n"/>
      <c r="E318" s="29" t="n"/>
      <c r="F318" s="90" t="n"/>
      <c r="G318" s="91" t="n"/>
      <c r="H318" s="57" t="n"/>
      <c r="I318" s="92" t="n"/>
      <c r="J318" s="92" t="n"/>
      <c r="K318" s="92" t="n"/>
      <c r="L318" s="92" t="n"/>
      <c r="M318" s="92" t="n"/>
      <c r="N318" s="92" t="n"/>
      <c r="O318" s="92" t="n"/>
      <c r="P318" s="92" t="n"/>
      <c r="Q318" s="92" t="n"/>
      <c r="R318" s="92" t="n"/>
      <c r="S318" s="92" t="n"/>
      <c r="T318" s="92" t="n"/>
      <c r="U318" s="92" t="n"/>
      <c r="V318" s="92" t="n"/>
      <c r="W318" s="92" t="n"/>
      <c r="X318" s="92" t="n"/>
      <c r="Y318" s="93" t="n"/>
      <c r="Z318" s="93" t="n"/>
      <c r="AA318" s="93" t="n"/>
      <c r="AB318" s="93" t="n"/>
      <c r="AC318" s="93" t="n"/>
      <c r="AD318" s="93" t="n"/>
      <c r="AE318" s="93" t="n"/>
      <c r="AF318" s="93" t="n"/>
      <c r="AG318" s="93" t="n"/>
      <c r="AH318" s="92" t="n"/>
      <c r="AI318" s="92" t="n"/>
    </row>
    <row r="319">
      <c r="A319" s="27" t="n"/>
      <c r="B319" s="28" t="n"/>
      <c r="C319" s="27" t="n"/>
      <c r="D319" s="39" t="n"/>
      <c r="E319" s="29" t="n"/>
      <c r="F319" s="90" t="n"/>
      <c r="G319" s="91" t="n"/>
      <c r="H319" s="57" t="n"/>
      <c r="I319" s="92" t="n"/>
      <c r="J319" s="92" t="n"/>
      <c r="K319" s="92" t="n"/>
      <c r="L319" s="92" t="n"/>
      <c r="M319" s="92" t="n"/>
      <c r="N319" s="92" t="n"/>
      <c r="O319" s="92" t="n"/>
      <c r="P319" s="92" t="n"/>
      <c r="Q319" s="92" t="n"/>
      <c r="R319" s="92" t="n"/>
      <c r="S319" s="92" t="n"/>
      <c r="T319" s="92" t="n"/>
      <c r="U319" s="92" t="n"/>
      <c r="V319" s="92" t="n"/>
      <c r="W319" s="92" t="n"/>
      <c r="X319" s="92" t="n"/>
      <c r="Y319" s="93" t="n"/>
      <c r="Z319" s="93" t="n"/>
      <c r="AA319" s="93" t="n"/>
      <c r="AB319" s="93" t="n"/>
      <c r="AC319" s="93" t="n"/>
      <c r="AD319" s="93" t="n"/>
      <c r="AE319" s="93" t="n"/>
      <c r="AF319" s="93" t="n"/>
      <c r="AG319" s="93" t="n"/>
      <c r="AH319" s="92" t="n"/>
      <c r="AI319" s="92" t="n"/>
    </row>
    <row r="320">
      <c r="A320" s="27" t="n"/>
      <c r="B320" s="28" t="n"/>
      <c r="C320" s="27" t="n"/>
      <c r="D320" s="39" t="n"/>
      <c r="E320" s="29" t="n"/>
      <c r="F320" s="90" t="n"/>
      <c r="G320" s="91" t="n"/>
      <c r="H320" s="57" t="n"/>
      <c r="I320" s="92" t="n"/>
      <c r="J320" s="92" t="n"/>
      <c r="K320" s="92" t="n"/>
      <c r="L320" s="92" t="n"/>
      <c r="M320" s="92" t="n"/>
      <c r="N320" s="92" t="n"/>
      <c r="O320" s="92" t="n"/>
      <c r="P320" s="92" t="n"/>
      <c r="Q320" s="92" t="n"/>
      <c r="R320" s="92" t="n"/>
      <c r="S320" s="92" t="n"/>
      <c r="T320" s="92" t="n"/>
      <c r="U320" s="92" t="n"/>
      <c r="V320" s="92" t="n"/>
      <c r="W320" s="92" t="n"/>
      <c r="X320" s="92" t="n"/>
      <c r="Y320" s="93" t="n"/>
      <c r="Z320" s="93" t="n"/>
      <c r="AA320" s="93" t="n"/>
      <c r="AB320" s="93" t="n"/>
      <c r="AC320" s="93" t="n"/>
      <c r="AD320" s="93" t="n"/>
      <c r="AE320" s="93" t="n"/>
      <c r="AF320" s="93" t="n"/>
      <c r="AG320" s="93" t="n"/>
      <c r="AH320" s="92" t="n"/>
      <c r="AI320" s="92" t="n"/>
    </row>
    <row r="321">
      <c r="A321" s="27" t="n"/>
      <c r="B321" s="28" t="n"/>
      <c r="C321" s="27" t="n"/>
      <c r="D321" s="39" t="n"/>
      <c r="E321" s="29" t="n"/>
      <c r="F321" s="90" t="n"/>
      <c r="G321" s="91" t="n"/>
      <c r="H321" s="57" t="n"/>
      <c r="I321" s="92" t="n"/>
      <c r="J321" s="92" t="n"/>
      <c r="K321" s="92" t="n"/>
      <c r="L321" s="92" t="n"/>
      <c r="M321" s="92" t="n"/>
      <c r="N321" s="92" t="n"/>
      <c r="O321" s="92" t="n"/>
      <c r="P321" s="92" t="n"/>
      <c r="Q321" s="92" t="n"/>
      <c r="R321" s="92" t="n"/>
      <c r="S321" s="92" t="n"/>
      <c r="T321" s="92" t="n"/>
      <c r="U321" s="92" t="n"/>
      <c r="V321" s="92" t="n"/>
      <c r="W321" s="92" t="n"/>
      <c r="X321" s="92" t="n"/>
      <c r="Y321" s="93" t="n"/>
      <c r="Z321" s="93" t="n"/>
      <c r="AA321" s="93" t="n"/>
      <c r="AB321" s="93" t="n"/>
      <c r="AC321" s="93" t="n"/>
      <c r="AD321" s="93" t="n"/>
      <c r="AE321" s="93" t="n"/>
      <c r="AF321" s="93" t="n"/>
      <c r="AG321" s="93" t="n"/>
      <c r="AH321" s="92" t="n"/>
      <c r="AI321" s="92" t="n"/>
    </row>
    <row r="322">
      <c r="A322" s="27" t="n"/>
      <c r="B322" s="28" t="n"/>
      <c r="C322" s="27" t="n"/>
      <c r="D322" s="39" t="n"/>
      <c r="E322" s="29" t="n"/>
      <c r="F322" s="90" t="n"/>
      <c r="G322" s="91" t="n"/>
      <c r="H322" s="57" t="n"/>
      <c r="I322" s="92" t="n"/>
      <c r="J322" s="92" t="n"/>
      <c r="K322" s="92" t="n"/>
      <c r="L322" s="92" t="n"/>
      <c r="M322" s="92" t="n"/>
      <c r="N322" s="92" t="n"/>
      <c r="O322" s="92" t="n"/>
      <c r="P322" s="92" t="n"/>
      <c r="Q322" s="92" t="n"/>
      <c r="R322" s="92" t="n"/>
      <c r="S322" s="92" t="n"/>
      <c r="T322" s="92" t="n"/>
      <c r="U322" s="92" t="n"/>
      <c r="V322" s="92" t="n"/>
      <c r="W322" s="92" t="n"/>
      <c r="X322" s="92" t="n"/>
      <c r="Y322" s="93" t="n"/>
      <c r="Z322" s="93" t="n"/>
      <c r="AA322" s="93" t="n"/>
      <c r="AB322" s="93" t="n"/>
      <c r="AC322" s="93" t="n"/>
      <c r="AD322" s="93" t="n"/>
      <c r="AE322" s="93" t="n"/>
      <c r="AF322" s="93" t="n"/>
      <c r="AG322" s="93" t="n"/>
      <c r="AH322" s="92" t="n"/>
      <c r="AI322" s="92" t="n"/>
    </row>
    <row r="323">
      <c r="A323" s="27" t="n"/>
      <c r="B323" s="28" t="n"/>
      <c r="C323" s="27" t="n"/>
      <c r="D323" s="39" t="n"/>
      <c r="E323" s="29" t="n"/>
      <c r="F323" s="90" t="n"/>
      <c r="G323" s="91" t="n"/>
      <c r="H323" s="57" t="n"/>
      <c r="I323" s="92" t="n"/>
      <c r="J323" s="92" t="n"/>
      <c r="K323" s="92" t="n"/>
      <c r="L323" s="92" t="n"/>
      <c r="M323" s="92" t="n"/>
      <c r="N323" s="92" t="n"/>
      <c r="O323" s="92" t="n"/>
      <c r="P323" s="92" t="n"/>
      <c r="Q323" s="92" t="n"/>
      <c r="R323" s="92" t="n"/>
      <c r="S323" s="92" t="n"/>
      <c r="T323" s="92" t="n"/>
      <c r="U323" s="92" t="n"/>
      <c r="V323" s="92" t="n"/>
      <c r="W323" s="92" t="n"/>
      <c r="X323" s="92" t="n"/>
      <c r="Y323" s="93" t="n"/>
      <c r="Z323" s="93" t="n"/>
      <c r="AA323" s="93" t="n"/>
      <c r="AB323" s="93" t="n"/>
      <c r="AC323" s="93" t="n"/>
      <c r="AD323" s="93" t="n"/>
      <c r="AE323" s="93" t="n"/>
      <c r="AF323" s="93" t="n"/>
      <c r="AG323" s="93" t="n"/>
      <c r="AH323" s="92" t="n"/>
      <c r="AI323" s="92" t="n"/>
    </row>
    <row r="324">
      <c r="A324" s="27" t="n"/>
      <c r="B324" s="28" t="n"/>
      <c r="C324" s="27" t="n"/>
      <c r="D324" s="39" t="n"/>
      <c r="E324" s="29" t="n"/>
      <c r="F324" s="90" t="n"/>
      <c r="G324" s="91" t="n"/>
      <c r="H324" s="57" t="n"/>
      <c r="I324" s="92" t="n"/>
      <c r="J324" s="92" t="n"/>
      <c r="K324" s="92" t="n"/>
      <c r="L324" s="92" t="n"/>
      <c r="M324" s="92" t="n"/>
      <c r="N324" s="92" t="n"/>
      <c r="O324" s="92" t="n"/>
      <c r="P324" s="92" t="n"/>
      <c r="Q324" s="92" t="n"/>
      <c r="R324" s="92" t="n"/>
      <c r="S324" s="92" t="n"/>
      <c r="T324" s="92" t="n"/>
      <c r="U324" s="92" t="n"/>
      <c r="V324" s="92" t="n"/>
      <c r="W324" s="92" t="n"/>
      <c r="X324" s="92" t="n"/>
      <c r="Y324" s="93" t="n"/>
      <c r="Z324" s="93" t="n"/>
      <c r="AA324" s="93" t="n"/>
      <c r="AB324" s="93" t="n"/>
      <c r="AC324" s="93" t="n"/>
      <c r="AD324" s="93" t="n"/>
      <c r="AE324" s="93" t="n"/>
      <c r="AF324" s="93" t="n"/>
      <c r="AG324" s="93" t="n"/>
      <c r="AH324" s="92" t="n"/>
      <c r="AI324" s="92" t="n"/>
    </row>
    <row r="325">
      <c r="A325" s="27" t="n"/>
      <c r="B325" s="28" t="n"/>
      <c r="C325" s="27" t="n"/>
      <c r="D325" s="39" t="n"/>
      <c r="E325" s="29" t="n"/>
      <c r="F325" s="90" t="n"/>
      <c r="G325" s="91" t="n"/>
      <c r="H325" s="57" t="n"/>
      <c r="I325" s="92" t="n"/>
      <c r="J325" s="92" t="n"/>
      <c r="K325" s="92" t="n"/>
      <c r="L325" s="92" t="n"/>
      <c r="M325" s="92" t="n"/>
      <c r="N325" s="92" t="n"/>
      <c r="O325" s="92" t="n"/>
      <c r="P325" s="92" t="n"/>
      <c r="Q325" s="92" t="n"/>
      <c r="R325" s="92" t="n"/>
      <c r="S325" s="92" t="n"/>
      <c r="T325" s="92" t="n"/>
      <c r="U325" s="92" t="n"/>
      <c r="V325" s="92" t="n"/>
      <c r="W325" s="92" t="n"/>
      <c r="X325" s="92" t="n"/>
      <c r="Y325" s="93" t="n"/>
      <c r="Z325" s="93" t="n"/>
      <c r="AA325" s="93" t="n"/>
      <c r="AB325" s="93" t="n"/>
      <c r="AC325" s="93" t="n"/>
      <c r="AD325" s="93" t="n"/>
      <c r="AE325" s="93" t="n"/>
      <c r="AF325" s="93" t="n"/>
      <c r="AG325" s="93" t="n"/>
      <c r="AH325" s="92" t="n"/>
      <c r="AI325" s="92" t="n"/>
    </row>
    <row r="326">
      <c r="A326" s="27" t="n"/>
      <c r="B326" s="28" t="n"/>
      <c r="C326" s="27" t="n"/>
      <c r="D326" s="39" t="n"/>
      <c r="E326" s="29" t="n"/>
      <c r="F326" s="90" t="n"/>
      <c r="G326" s="91" t="n"/>
      <c r="H326" s="57" t="n"/>
      <c r="I326" s="92" t="n"/>
      <c r="J326" s="92" t="n"/>
      <c r="K326" s="92" t="n"/>
      <c r="L326" s="92" t="n"/>
      <c r="M326" s="92" t="n"/>
      <c r="N326" s="92" t="n"/>
      <c r="O326" s="92" t="n"/>
      <c r="P326" s="92" t="n"/>
      <c r="Q326" s="92" t="n"/>
      <c r="R326" s="92" t="n"/>
      <c r="S326" s="92" t="n"/>
      <c r="T326" s="92" t="n"/>
      <c r="U326" s="92" t="n"/>
      <c r="V326" s="92" t="n"/>
      <c r="W326" s="92" t="n"/>
      <c r="X326" s="92" t="n"/>
      <c r="Y326" s="93" t="n"/>
      <c r="Z326" s="93" t="n"/>
      <c r="AA326" s="93" t="n"/>
      <c r="AB326" s="93" t="n"/>
      <c r="AC326" s="93" t="n"/>
      <c r="AD326" s="93" t="n"/>
      <c r="AE326" s="93" t="n"/>
      <c r="AF326" s="93" t="n"/>
      <c r="AG326" s="93" t="n"/>
      <c r="AH326" s="92" t="n"/>
      <c r="AI326" s="92" t="n"/>
    </row>
    <row r="327">
      <c r="A327" s="27" t="n"/>
      <c r="B327" s="28" t="n"/>
      <c r="C327" s="27" t="n"/>
      <c r="D327" s="39" t="n"/>
      <c r="E327" s="29" t="n"/>
      <c r="F327" s="90" t="n"/>
      <c r="G327" s="91" t="n"/>
      <c r="H327" s="57" t="n"/>
      <c r="I327" s="92" t="n"/>
      <c r="J327" s="92" t="n"/>
      <c r="K327" s="92" t="n"/>
      <c r="L327" s="92" t="n"/>
      <c r="M327" s="92" t="n"/>
      <c r="N327" s="92" t="n"/>
      <c r="O327" s="92" t="n"/>
      <c r="P327" s="92" t="n"/>
      <c r="Q327" s="92" t="n"/>
      <c r="R327" s="92" t="n"/>
      <c r="S327" s="92" t="n"/>
      <c r="T327" s="92" t="n"/>
      <c r="U327" s="92" t="n"/>
      <c r="V327" s="92" t="n"/>
      <c r="W327" s="92" t="n"/>
      <c r="X327" s="92" t="n"/>
      <c r="Y327" s="93" t="n"/>
      <c r="Z327" s="93" t="n"/>
      <c r="AA327" s="93" t="n"/>
      <c r="AB327" s="93" t="n"/>
      <c r="AC327" s="93" t="n"/>
      <c r="AD327" s="93" t="n"/>
      <c r="AE327" s="93" t="n"/>
      <c r="AF327" s="93" t="n"/>
      <c r="AG327" s="93" t="n"/>
      <c r="AH327" s="92" t="n"/>
      <c r="AI327" s="92" t="n"/>
    </row>
    <row r="328">
      <c r="A328" s="27" t="n"/>
      <c r="B328" s="28" t="n"/>
      <c r="C328" s="27" t="n"/>
      <c r="D328" s="39" t="n"/>
      <c r="E328" s="29" t="n"/>
      <c r="F328" s="90" t="n"/>
      <c r="G328" s="91" t="n"/>
      <c r="H328" s="57" t="n"/>
      <c r="I328" s="92" t="n"/>
      <c r="J328" s="92" t="n"/>
      <c r="K328" s="92" t="n"/>
      <c r="L328" s="92" t="n"/>
      <c r="M328" s="92" t="n"/>
      <c r="N328" s="92" t="n"/>
      <c r="O328" s="92" t="n"/>
      <c r="P328" s="92" t="n"/>
      <c r="Q328" s="92" t="n"/>
      <c r="R328" s="92" t="n"/>
      <c r="S328" s="92" t="n"/>
      <c r="T328" s="92" t="n"/>
      <c r="U328" s="92" t="n"/>
      <c r="V328" s="92" t="n"/>
      <c r="W328" s="92" t="n"/>
      <c r="X328" s="92" t="n"/>
      <c r="Y328" s="93" t="n"/>
      <c r="Z328" s="93" t="n"/>
      <c r="AA328" s="93" t="n"/>
      <c r="AB328" s="93" t="n"/>
      <c r="AC328" s="93" t="n"/>
      <c r="AD328" s="93" t="n"/>
      <c r="AE328" s="93" t="n"/>
      <c r="AF328" s="93" t="n"/>
      <c r="AG328" s="93" t="n"/>
      <c r="AH328" s="92" t="n"/>
      <c r="AI328" s="92" t="n"/>
    </row>
    <row r="329">
      <c r="A329" s="27" t="n"/>
      <c r="B329" s="28" t="n"/>
      <c r="C329" s="27" t="n"/>
      <c r="D329" s="39" t="n"/>
      <c r="E329" s="29" t="n"/>
      <c r="F329" s="90" t="n"/>
      <c r="G329" s="91" t="n"/>
      <c r="H329" s="57" t="n"/>
      <c r="I329" s="92" t="n"/>
      <c r="J329" s="92" t="n"/>
      <c r="K329" s="92" t="n"/>
      <c r="L329" s="92" t="n"/>
      <c r="M329" s="92" t="n"/>
      <c r="N329" s="92" t="n"/>
      <c r="O329" s="92" t="n"/>
      <c r="P329" s="92" t="n"/>
      <c r="Q329" s="92" t="n"/>
      <c r="R329" s="92" t="n"/>
      <c r="S329" s="92" t="n"/>
      <c r="T329" s="92" t="n"/>
      <c r="U329" s="92" t="n"/>
      <c r="V329" s="92" t="n"/>
      <c r="W329" s="92" t="n"/>
      <c r="X329" s="92" t="n"/>
      <c r="Y329" s="93" t="n"/>
      <c r="Z329" s="93" t="n"/>
      <c r="AA329" s="93" t="n"/>
      <c r="AB329" s="93" t="n"/>
      <c r="AC329" s="93" t="n"/>
      <c r="AD329" s="93" t="n"/>
      <c r="AE329" s="93" t="n"/>
      <c r="AF329" s="93" t="n"/>
      <c r="AG329" s="93" t="n"/>
      <c r="AH329" s="92" t="n"/>
      <c r="AI329" s="92" t="n"/>
    </row>
    <row r="330">
      <c r="A330" s="27" t="n"/>
      <c r="B330" s="28" t="n"/>
      <c r="C330" s="27" t="n"/>
      <c r="D330" s="39" t="n"/>
      <c r="E330" s="29" t="n"/>
      <c r="F330" s="90" t="n"/>
      <c r="G330" s="91" t="n"/>
      <c r="H330" s="57" t="n"/>
      <c r="I330" s="92" t="n"/>
      <c r="J330" s="92" t="n"/>
      <c r="K330" s="92" t="n"/>
      <c r="L330" s="92" t="n"/>
      <c r="M330" s="92" t="n"/>
      <c r="N330" s="92" t="n"/>
      <c r="O330" s="92" t="n"/>
      <c r="P330" s="92" t="n"/>
      <c r="Q330" s="92" t="n"/>
      <c r="R330" s="92" t="n"/>
      <c r="S330" s="92" t="n"/>
      <c r="T330" s="92" t="n"/>
      <c r="U330" s="92" t="n"/>
      <c r="V330" s="92" t="n"/>
      <c r="W330" s="92" t="n"/>
      <c r="X330" s="92" t="n"/>
      <c r="Y330" s="93" t="n"/>
      <c r="Z330" s="93" t="n"/>
      <c r="AA330" s="93" t="n"/>
      <c r="AB330" s="93" t="n"/>
      <c r="AC330" s="93" t="n"/>
      <c r="AD330" s="93" t="n"/>
      <c r="AE330" s="93" t="n"/>
      <c r="AF330" s="93" t="n"/>
      <c r="AG330" s="93" t="n"/>
      <c r="AH330" s="92" t="n"/>
      <c r="AI330" s="92" t="n"/>
    </row>
    <row r="331">
      <c r="A331" s="27" t="n"/>
      <c r="B331" s="28" t="n"/>
      <c r="C331" s="27" t="n"/>
      <c r="D331" s="39" t="n"/>
      <c r="E331" s="29" t="n"/>
      <c r="F331" s="90" t="n"/>
      <c r="G331" s="91" t="n"/>
      <c r="H331" s="57" t="n"/>
      <c r="I331" s="92" t="n"/>
      <c r="J331" s="92" t="n"/>
      <c r="K331" s="92" t="n"/>
      <c r="L331" s="92" t="n"/>
      <c r="M331" s="92" t="n"/>
      <c r="N331" s="92" t="n"/>
      <c r="O331" s="92" t="n"/>
      <c r="P331" s="92" t="n"/>
      <c r="Q331" s="92" t="n"/>
      <c r="R331" s="92" t="n"/>
      <c r="S331" s="92" t="n"/>
      <c r="T331" s="92" t="n"/>
      <c r="U331" s="92" t="n"/>
      <c r="V331" s="92" t="n"/>
      <c r="W331" s="92" t="n"/>
      <c r="X331" s="92" t="n"/>
      <c r="Y331" s="93" t="n"/>
      <c r="Z331" s="93" t="n"/>
      <c r="AA331" s="93" t="n"/>
      <c r="AB331" s="93" t="n"/>
      <c r="AC331" s="93" t="n"/>
      <c r="AD331" s="93" t="n"/>
      <c r="AE331" s="93" t="n"/>
      <c r="AF331" s="93" t="n"/>
      <c r="AG331" s="93" t="n"/>
      <c r="AH331" s="92" t="n"/>
      <c r="AI331" s="92" t="n"/>
    </row>
    <row r="332">
      <c r="A332" s="27" t="n"/>
      <c r="B332" s="28" t="n"/>
      <c r="C332" s="27" t="n"/>
      <c r="D332" s="39" t="n"/>
      <c r="E332" s="29" t="n"/>
      <c r="F332" s="90" t="n"/>
      <c r="G332" s="91" t="n"/>
      <c r="H332" s="57" t="n"/>
      <c r="I332" s="92" t="n"/>
      <c r="J332" s="92" t="n"/>
      <c r="K332" s="92" t="n"/>
      <c r="L332" s="92" t="n"/>
      <c r="M332" s="92" t="n"/>
      <c r="N332" s="92" t="n"/>
      <c r="O332" s="92" t="n"/>
      <c r="P332" s="92" t="n"/>
      <c r="Q332" s="92" t="n"/>
      <c r="R332" s="92" t="n"/>
      <c r="S332" s="92" t="n"/>
      <c r="T332" s="92" t="n"/>
      <c r="U332" s="92" t="n"/>
      <c r="V332" s="92" t="n"/>
      <c r="W332" s="92" t="n"/>
      <c r="X332" s="92" t="n"/>
      <c r="Y332" s="93" t="n"/>
      <c r="Z332" s="93" t="n"/>
      <c r="AA332" s="93" t="n"/>
      <c r="AB332" s="93" t="n"/>
      <c r="AC332" s="93" t="n"/>
      <c r="AD332" s="93" t="n"/>
      <c r="AE332" s="93" t="n"/>
      <c r="AF332" s="93" t="n"/>
      <c r="AG332" s="93" t="n"/>
      <c r="AH332" s="92" t="n"/>
      <c r="AI332" s="92" t="n"/>
    </row>
    <row r="333">
      <c r="A333" s="27" t="n"/>
      <c r="B333" s="28" t="n"/>
      <c r="C333" s="27" t="n"/>
      <c r="D333" s="39" t="n"/>
      <c r="E333" s="29" t="n"/>
      <c r="F333" s="90" t="n"/>
      <c r="G333" s="91" t="n"/>
      <c r="H333" s="57" t="n"/>
      <c r="I333" s="92" t="n"/>
      <c r="J333" s="92" t="n"/>
      <c r="K333" s="92" t="n"/>
      <c r="L333" s="92" t="n"/>
      <c r="M333" s="92" t="n"/>
      <c r="N333" s="92" t="n"/>
      <c r="O333" s="92" t="n"/>
      <c r="P333" s="92" t="n"/>
      <c r="Q333" s="92" t="n"/>
      <c r="R333" s="92" t="n"/>
      <c r="S333" s="92" t="n"/>
      <c r="T333" s="92" t="n"/>
      <c r="U333" s="92" t="n"/>
      <c r="V333" s="92" t="n"/>
      <c r="W333" s="92" t="n"/>
      <c r="X333" s="92" t="n"/>
      <c r="Y333" s="93" t="n"/>
      <c r="Z333" s="93" t="n"/>
      <c r="AA333" s="93" t="n"/>
      <c r="AB333" s="93" t="n"/>
      <c r="AC333" s="93" t="n"/>
      <c r="AD333" s="93" t="n"/>
      <c r="AE333" s="93" t="n"/>
      <c r="AF333" s="93" t="n"/>
      <c r="AG333" s="93" t="n"/>
      <c r="AH333" s="92" t="n"/>
      <c r="AI333" s="92" t="n"/>
    </row>
    <row r="334">
      <c r="A334" s="27" t="n"/>
      <c r="B334" s="28" t="n"/>
      <c r="C334" s="27" t="n"/>
      <c r="D334" s="39" t="n"/>
      <c r="E334" s="29" t="n"/>
      <c r="F334" s="90" t="n"/>
      <c r="G334" s="91" t="n"/>
      <c r="H334" s="57" t="n"/>
      <c r="I334" s="92" t="n"/>
      <c r="J334" s="92" t="n"/>
      <c r="K334" s="92" t="n"/>
      <c r="L334" s="92" t="n"/>
      <c r="M334" s="92" t="n"/>
      <c r="N334" s="92" t="n"/>
      <c r="O334" s="92" t="n"/>
      <c r="P334" s="92" t="n"/>
      <c r="Q334" s="92" t="n"/>
      <c r="R334" s="92" t="n"/>
      <c r="S334" s="92" t="n"/>
      <c r="T334" s="92" t="n"/>
      <c r="U334" s="92" t="n"/>
      <c r="V334" s="92" t="n"/>
      <c r="W334" s="92" t="n"/>
      <c r="X334" s="92" t="n"/>
      <c r="Y334" s="93" t="n"/>
      <c r="Z334" s="93" t="n"/>
      <c r="AA334" s="93" t="n"/>
      <c r="AB334" s="93" t="n"/>
      <c r="AC334" s="93" t="n"/>
      <c r="AD334" s="93" t="n"/>
      <c r="AE334" s="93" t="n"/>
      <c r="AF334" s="93" t="n"/>
      <c r="AG334" s="93" t="n"/>
      <c r="AH334" s="92" t="n"/>
      <c r="AI334" s="92" t="n"/>
    </row>
    <row r="335">
      <c r="A335" s="27" t="n"/>
      <c r="B335" s="28" t="n"/>
      <c r="C335" s="27" t="n"/>
      <c r="D335" s="39" t="n"/>
      <c r="E335" s="29" t="n"/>
      <c r="F335" s="90" t="n"/>
      <c r="G335" s="91" t="n"/>
      <c r="H335" s="57" t="n"/>
      <c r="I335" s="92" t="n"/>
      <c r="J335" s="92" t="n"/>
      <c r="K335" s="92" t="n"/>
      <c r="L335" s="92" t="n"/>
      <c r="M335" s="92" t="n"/>
      <c r="N335" s="92" t="n"/>
      <c r="O335" s="92" t="n"/>
      <c r="P335" s="92" t="n"/>
      <c r="Q335" s="92" t="n"/>
      <c r="R335" s="92" t="n"/>
      <c r="S335" s="92" t="n"/>
      <c r="T335" s="92" t="n"/>
      <c r="U335" s="92" t="n"/>
      <c r="V335" s="92" t="n"/>
      <c r="W335" s="92" t="n"/>
      <c r="X335" s="92" t="n"/>
      <c r="Y335" s="93" t="n"/>
      <c r="Z335" s="93" t="n"/>
      <c r="AA335" s="93" t="n"/>
      <c r="AB335" s="93" t="n"/>
      <c r="AC335" s="93" t="n"/>
      <c r="AD335" s="93" t="n"/>
      <c r="AE335" s="93" t="n"/>
      <c r="AF335" s="93" t="n"/>
      <c r="AG335" s="93" t="n"/>
      <c r="AH335" s="92" t="n"/>
      <c r="AI335" s="92" t="n"/>
    </row>
    <row r="336">
      <c r="A336" s="27" t="n"/>
      <c r="B336" s="28" t="n"/>
      <c r="C336" s="27" t="n"/>
      <c r="D336" s="39" t="n"/>
      <c r="E336" s="29" t="n"/>
      <c r="F336" s="90" t="n"/>
      <c r="G336" s="91" t="n"/>
      <c r="H336" s="57" t="n"/>
      <c r="I336" s="92" t="n"/>
      <c r="J336" s="92" t="n"/>
      <c r="K336" s="92" t="n"/>
      <c r="L336" s="92" t="n"/>
      <c r="M336" s="92" t="n"/>
      <c r="N336" s="92" t="n"/>
      <c r="O336" s="92" t="n"/>
      <c r="P336" s="92" t="n"/>
      <c r="Q336" s="92" t="n"/>
      <c r="R336" s="92" t="n"/>
      <c r="S336" s="92" t="n"/>
      <c r="T336" s="92" t="n"/>
      <c r="U336" s="92" t="n"/>
      <c r="V336" s="92" t="n"/>
      <c r="W336" s="92" t="n"/>
      <c r="X336" s="92" t="n"/>
      <c r="Y336" s="93" t="n"/>
      <c r="Z336" s="93" t="n"/>
      <c r="AA336" s="93" t="n"/>
      <c r="AB336" s="93" t="n"/>
      <c r="AC336" s="93" t="n"/>
      <c r="AD336" s="93" t="n"/>
      <c r="AE336" s="93" t="n"/>
      <c r="AF336" s="93" t="n"/>
      <c r="AG336" s="93" t="n"/>
      <c r="AH336" s="92" t="n"/>
      <c r="AI336" s="92" t="n"/>
    </row>
    <row r="337">
      <c r="A337" s="27" t="n"/>
      <c r="B337" s="28" t="n"/>
      <c r="C337" s="27" t="n"/>
      <c r="D337" s="39" t="n"/>
      <c r="E337" s="29" t="n"/>
      <c r="F337" s="90" t="n"/>
      <c r="G337" s="91" t="n"/>
      <c r="H337" s="57" t="n"/>
      <c r="I337" s="92" t="n"/>
      <c r="J337" s="92" t="n"/>
      <c r="K337" s="92" t="n"/>
      <c r="L337" s="92" t="n"/>
      <c r="M337" s="92" t="n"/>
      <c r="N337" s="92" t="n"/>
      <c r="O337" s="92" t="n"/>
      <c r="P337" s="92" t="n"/>
      <c r="Q337" s="92" t="n"/>
      <c r="R337" s="92" t="n"/>
      <c r="S337" s="92" t="n"/>
      <c r="T337" s="92" t="n"/>
      <c r="U337" s="92" t="n"/>
      <c r="V337" s="92" t="n"/>
      <c r="W337" s="92" t="n"/>
      <c r="X337" s="92" t="n"/>
      <c r="Y337" s="93" t="n"/>
      <c r="Z337" s="93" t="n"/>
      <c r="AA337" s="93" t="n"/>
      <c r="AB337" s="93" t="n"/>
      <c r="AC337" s="93" t="n"/>
      <c r="AD337" s="93" t="n"/>
      <c r="AE337" s="93" t="n"/>
      <c r="AF337" s="93" t="n"/>
      <c r="AG337" s="93" t="n"/>
      <c r="AH337" s="92" t="n"/>
      <c r="AI337" s="92" t="n"/>
    </row>
    <row r="338">
      <c r="A338" s="27" t="n"/>
      <c r="B338" s="28" t="n"/>
      <c r="C338" s="27" t="n"/>
      <c r="D338" s="39" t="n"/>
      <c r="E338" s="29" t="n"/>
      <c r="F338" s="90" t="n"/>
      <c r="G338" s="91" t="n"/>
      <c r="H338" s="57" t="n"/>
      <c r="I338" s="92" t="n"/>
      <c r="J338" s="92" t="n"/>
      <c r="K338" s="92" t="n"/>
      <c r="L338" s="92" t="n"/>
      <c r="M338" s="92" t="n"/>
      <c r="N338" s="92" t="n"/>
      <c r="O338" s="92" t="n"/>
      <c r="P338" s="92" t="n"/>
      <c r="Q338" s="92" t="n"/>
      <c r="R338" s="92" t="n"/>
      <c r="S338" s="92" t="n"/>
      <c r="T338" s="92" t="n"/>
      <c r="U338" s="92" t="n"/>
      <c r="V338" s="92" t="n"/>
      <c r="W338" s="92" t="n"/>
      <c r="X338" s="92" t="n"/>
      <c r="Y338" s="93" t="n"/>
      <c r="Z338" s="93" t="n"/>
      <c r="AA338" s="93" t="n"/>
      <c r="AB338" s="93" t="n"/>
      <c r="AC338" s="93" t="n"/>
      <c r="AD338" s="93" t="n"/>
      <c r="AE338" s="93" t="n"/>
      <c r="AF338" s="93" t="n"/>
      <c r="AG338" s="93" t="n"/>
      <c r="AH338" s="92" t="n"/>
      <c r="AI338" s="92" t="n"/>
    </row>
    <row r="339">
      <c r="A339" s="27" t="n"/>
      <c r="B339" s="28" t="n"/>
      <c r="C339" s="27" t="n"/>
      <c r="D339" s="39" t="n"/>
      <c r="E339" s="29" t="n"/>
      <c r="F339" s="90" t="n"/>
      <c r="G339" s="91" t="n"/>
      <c r="H339" s="57" t="n"/>
      <c r="I339" s="92" t="n"/>
      <c r="J339" s="92" t="n"/>
      <c r="K339" s="92" t="n"/>
      <c r="L339" s="92" t="n"/>
      <c r="M339" s="92" t="n"/>
      <c r="N339" s="92" t="n"/>
      <c r="O339" s="92" t="n"/>
      <c r="P339" s="92" t="n"/>
      <c r="Q339" s="92" t="n"/>
      <c r="R339" s="92" t="n"/>
      <c r="S339" s="92" t="n"/>
      <c r="T339" s="92" t="n"/>
      <c r="U339" s="92" t="n"/>
      <c r="V339" s="92" t="n"/>
      <c r="W339" s="92" t="n"/>
      <c r="X339" s="92" t="n"/>
      <c r="Y339" s="93" t="n"/>
      <c r="Z339" s="93" t="n"/>
      <c r="AA339" s="93" t="n"/>
      <c r="AB339" s="93" t="n"/>
      <c r="AC339" s="93" t="n"/>
      <c r="AD339" s="93" t="n"/>
      <c r="AE339" s="93" t="n"/>
      <c r="AF339" s="93" t="n"/>
      <c r="AG339" s="93" t="n"/>
      <c r="AH339" s="92" t="n"/>
      <c r="AI339" s="92" t="n"/>
    </row>
    <row r="340">
      <c r="A340" s="27" t="n"/>
      <c r="B340" s="28" t="n"/>
      <c r="C340" s="27" t="n"/>
      <c r="D340" s="39" t="n"/>
      <c r="E340" s="29" t="n"/>
      <c r="F340" s="90" t="n"/>
      <c r="G340" s="91" t="n"/>
      <c r="H340" s="57" t="n"/>
      <c r="I340" s="92" t="n"/>
      <c r="J340" s="92" t="n"/>
      <c r="K340" s="92" t="n"/>
      <c r="L340" s="92" t="n"/>
      <c r="M340" s="92" t="n"/>
      <c r="N340" s="92" t="n"/>
      <c r="O340" s="92" t="n"/>
      <c r="P340" s="92" t="n"/>
      <c r="Q340" s="92" t="n"/>
      <c r="R340" s="92" t="n"/>
      <c r="S340" s="92" t="n"/>
      <c r="T340" s="92" t="n"/>
      <c r="U340" s="92" t="n"/>
      <c r="V340" s="92" t="n"/>
      <c r="W340" s="92" t="n"/>
      <c r="X340" s="92" t="n"/>
      <c r="Y340" s="93" t="n"/>
      <c r="Z340" s="93" t="n"/>
      <c r="AA340" s="93" t="n"/>
      <c r="AB340" s="93" t="n"/>
      <c r="AC340" s="93" t="n"/>
      <c r="AD340" s="93" t="n"/>
      <c r="AE340" s="93" t="n"/>
      <c r="AF340" s="93" t="n"/>
      <c r="AG340" s="93" t="n"/>
      <c r="AH340" s="92" t="n"/>
      <c r="AI340" s="92" t="n"/>
    </row>
    <row r="341">
      <c r="A341" s="27" t="n"/>
      <c r="B341" s="28" t="n"/>
      <c r="C341" s="27" t="n"/>
      <c r="D341" s="39" t="n"/>
      <c r="E341" s="29" t="n"/>
      <c r="F341" s="90" t="n"/>
      <c r="G341" s="91" t="n"/>
      <c r="H341" s="57" t="n"/>
      <c r="I341" s="92" t="n"/>
      <c r="J341" s="92" t="n"/>
      <c r="K341" s="92" t="n"/>
      <c r="L341" s="92" t="n"/>
      <c r="M341" s="92" t="n"/>
      <c r="N341" s="92" t="n"/>
      <c r="O341" s="92" t="n"/>
      <c r="P341" s="92" t="n"/>
      <c r="Q341" s="92" t="n"/>
      <c r="R341" s="92" t="n"/>
      <c r="S341" s="92" t="n"/>
      <c r="T341" s="92" t="n"/>
      <c r="U341" s="92" t="n"/>
      <c r="V341" s="92" t="n"/>
      <c r="W341" s="92" t="n"/>
      <c r="X341" s="92" t="n"/>
      <c r="Y341" s="93" t="n"/>
      <c r="Z341" s="93" t="n"/>
      <c r="AA341" s="93" t="n"/>
      <c r="AB341" s="93" t="n"/>
      <c r="AC341" s="93" t="n"/>
      <c r="AD341" s="93" t="n"/>
      <c r="AE341" s="93" t="n"/>
      <c r="AF341" s="93" t="n"/>
      <c r="AG341" s="93" t="n"/>
      <c r="AH341" s="92" t="n"/>
      <c r="AI341" s="92" t="n"/>
    </row>
    <row r="342">
      <c r="A342" s="27" t="n"/>
      <c r="B342" s="28" t="n"/>
      <c r="C342" s="27" t="n"/>
      <c r="D342" s="39" t="n"/>
      <c r="E342" s="29" t="n"/>
      <c r="F342" s="90" t="n"/>
      <c r="G342" s="91" t="n"/>
      <c r="H342" s="57" t="n"/>
      <c r="I342" s="92" t="n"/>
      <c r="J342" s="92" t="n"/>
      <c r="K342" s="92" t="n"/>
      <c r="L342" s="92" t="n"/>
      <c r="M342" s="92" t="n"/>
      <c r="N342" s="92" t="n"/>
      <c r="O342" s="92" t="n"/>
      <c r="P342" s="92" t="n"/>
      <c r="Q342" s="92" t="n"/>
      <c r="R342" s="92" t="n"/>
      <c r="S342" s="92" t="n"/>
      <c r="T342" s="92" t="n"/>
      <c r="U342" s="92" t="n"/>
      <c r="V342" s="92" t="n"/>
      <c r="W342" s="92" t="n"/>
      <c r="X342" s="92" t="n"/>
      <c r="Y342" s="93" t="n"/>
      <c r="Z342" s="93" t="n"/>
      <c r="AA342" s="93" t="n"/>
      <c r="AB342" s="93" t="n"/>
      <c r="AC342" s="93" t="n"/>
      <c r="AD342" s="93" t="n"/>
      <c r="AE342" s="93" t="n"/>
      <c r="AF342" s="93" t="n"/>
      <c r="AG342" s="93" t="n"/>
      <c r="AH342" s="92" t="n"/>
      <c r="AI342" s="92" t="n"/>
    </row>
    <row r="343">
      <c r="A343" s="27" t="n"/>
      <c r="B343" s="28" t="n"/>
      <c r="C343" s="27" t="n"/>
      <c r="D343" s="39" t="n"/>
      <c r="E343" s="29" t="n"/>
      <c r="F343" s="90" t="n"/>
      <c r="G343" s="91" t="n"/>
      <c r="H343" s="57" t="n"/>
      <c r="I343" s="92" t="n"/>
      <c r="J343" s="92" t="n"/>
      <c r="K343" s="92" t="n"/>
      <c r="L343" s="92" t="n"/>
      <c r="M343" s="92" t="n"/>
      <c r="N343" s="92" t="n"/>
      <c r="O343" s="92" t="n"/>
      <c r="P343" s="92" t="n"/>
      <c r="Q343" s="92" t="n"/>
      <c r="R343" s="92" t="n"/>
      <c r="S343" s="92" t="n"/>
      <c r="T343" s="92" t="n"/>
      <c r="U343" s="92" t="n"/>
      <c r="V343" s="92" t="n"/>
      <c r="W343" s="92" t="n"/>
      <c r="X343" s="92" t="n"/>
      <c r="Y343" s="93" t="n"/>
      <c r="Z343" s="93" t="n"/>
      <c r="AA343" s="93" t="n"/>
      <c r="AB343" s="93" t="n"/>
      <c r="AC343" s="93" t="n"/>
      <c r="AD343" s="93" t="n"/>
      <c r="AE343" s="93" t="n"/>
      <c r="AF343" s="93" t="n"/>
      <c r="AG343" s="93" t="n"/>
      <c r="AH343" s="92" t="n"/>
      <c r="AI343" s="92" t="n"/>
    </row>
    <row r="344">
      <c r="A344" s="27" t="n"/>
      <c r="B344" s="28" t="n"/>
      <c r="C344" s="27" t="n"/>
      <c r="D344" s="39" t="n"/>
      <c r="E344" s="29" t="n"/>
      <c r="F344" s="90" t="n"/>
      <c r="G344" s="91" t="n"/>
      <c r="H344" s="57" t="n"/>
      <c r="I344" s="92" t="n"/>
      <c r="J344" s="92" t="n"/>
      <c r="K344" s="92" t="n"/>
      <c r="L344" s="92" t="n"/>
      <c r="M344" s="92" t="n"/>
      <c r="N344" s="92" t="n"/>
      <c r="O344" s="92" t="n"/>
      <c r="P344" s="92" t="n"/>
      <c r="Q344" s="92" t="n"/>
      <c r="R344" s="92" t="n"/>
      <c r="S344" s="92" t="n"/>
      <c r="T344" s="92" t="n"/>
      <c r="U344" s="92" t="n"/>
      <c r="V344" s="92" t="n"/>
      <c r="W344" s="92" t="n"/>
      <c r="X344" s="92" t="n"/>
      <c r="Y344" s="93" t="n"/>
      <c r="Z344" s="93" t="n"/>
      <c r="AA344" s="93" t="n"/>
      <c r="AB344" s="93" t="n"/>
      <c r="AC344" s="93" t="n"/>
      <c r="AD344" s="93" t="n"/>
      <c r="AE344" s="93" t="n"/>
      <c r="AF344" s="93" t="n"/>
      <c r="AG344" s="93" t="n"/>
      <c r="AH344" s="92" t="n"/>
      <c r="AI344" s="92" t="n"/>
    </row>
    <row r="345">
      <c r="A345" s="27" t="n"/>
      <c r="B345" s="28" t="n"/>
      <c r="C345" s="27" t="n"/>
      <c r="D345" s="39" t="n"/>
      <c r="E345" s="29" t="n"/>
      <c r="F345" s="90" t="n"/>
      <c r="G345" s="91" t="n"/>
      <c r="H345" s="57" t="n"/>
      <c r="I345" s="92" t="n"/>
      <c r="J345" s="92" t="n"/>
      <c r="K345" s="92" t="n"/>
      <c r="L345" s="92" t="n"/>
      <c r="M345" s="92" t="n"/>
      <c r="N345" s="92" t="n"/>
      <c r="O345" s="92" t="n"/>
      <c r="P345" s="92" t="n"/>
      <c r="Q345" s="92" t="n"/>
      <c r="R345" s="92" t="n"/>
      <c r="S345" s="92" t="n"/>
      <c r="T345" s="92" t="n"/>
      <c r="U345" s="92" t="n"/>
      <c r="V345" s="92" t="n"/>
      <c r="W345" s="92" t="n"/>
      <c r="X345" s="92" t="n"/>
      <c r="Y345" s="93" t="n"/>
      <c r="Z345" s="93" t="n"/>
      <c r="AA345" s="93" t="n"/>
      <c r="AB345" s="93" t="n"/>
      <c r="AC345" s="93" t="n"/>
      <c r="AD345" s="93" t="n"/>
      <c r="AE345" s="93" t="n"/>
      <c r="AF345" s="93" t="n"/>
      <c r="AG345" s="93" t="n"/>
      <c r="AH345" s="92" t="n"/>
      <c r="AI345" s="92" t="n"/>
    </row>
    <row r="346">
      <c r="A346" s="27" t="n"/>
      <c r="B346" s="28" t="n"/>
      <c r="C346" s="27" t="n"/>
      <c r="D346" s="39" t="n"/>
      <c r="E346" s="29" t="n"/>
      <c r="F346" s="90" t="n"/>
      <c r="G346" s="91" t="n"/>
      <c r="H346" s="57" t="n"/>
      <c r="I346" s="92" t="n"/>
      <c r="J346" s="92" t="n"/>
      <c r="K346" s="92" t="n"/>
      <c r="L346" s="92" t="n"/>
      <c r="M346" s="92" t="n"/>
      <c r="N346" s="92" t="n"/>
      <c r="O346" s="92" t="n"/>
      <c r="P346" s="92" t="n"/>
      <c r="Q346" s="92" t="n"/>
      <c r="R346" s="92" t="n"/>
      <c r="S346" s="92" t="n"/>
      <c r="T346" s="92" t="n"/>
      <c r="U346" s="92" t="n"/>
      <c r="V346" s="92" t="n"/>
      <c r="W346" s="92" t="n"/>
      <c r="X346" s="92" t="n"/>
      <c r="Y346" s="93" t="n"/>
      <c r="Z346" s="93" t="n"/>
      <c r="AA346" s="93" t="n"/>
      <c r="AB346" s="93" t="n"/>
      <c r="AC346" s="93" t="n"/>
      <c r="AD346" s="93" t="n"/>
      <c r="AE346" s="93" t="n"/>
      <c r="AF346" s="93" t="n"/>
      <c r="AG346" s="93" t="n"/>
      <c r="AH346" s="92" t="n"/>
      <c r="AI346" s="92" t="n"/>
    </row>
    <row r="347">
      <c r="A347" s="27" t="n"/>
      <c r="B347" s="28" t="n"/>
      <c r="C347" s="27" t="n"/>
      <c r="D347" s="39" t="n"/>
      <c r="E347" s="29" t="n"/>
      <c r="F347" s="90" t="n"/>
      <c r="G347" s="91" t="n"/>
      <c r="H347" s="57" t="n"/>
      <c r="I347" s="92" t="n"/>
      <c r="J347" s="92" t="n"/>
      <c r="K347" s="92" t="n"/>
      <c r="L347" s="92" t="n"/>
      <c r="M347" s="92" t="n"/>
      <c r="N347" s="92" t="n"/>
      <c r="O347" s="92" t="n"/>
      <c r="P347" s="92" t="n"/>
      <c r="Q347" s="92" t="n"/>
      <c r="R347" s="92" t="n"/>
      <c r="S347" s="92" t="n"/>
      <c r="T347" s="92" t="n"/>
      <c r="U347" s="92" t="n"/>
      <c r="V347" s="92" t="n"/>
      <c r="W347" s="92" t="n"/>
      <c r="X347" s="92" t="n"/>
      <c r="Y347" s="93" t="n"/>
      <c r="Z347" s="93" t="n"/>
      <c r="AA347" s="93" t="n"/>
      <c r="AB347" s="93" t="n"/>
      <c r="AC347" s="93" t="n"/>
      <c r="AD347" s="93" t="n"/>
      <c r="AE347" s="93" t="n"/>
      <c r="AF347" s="93" t="n"/>
      <c r="AG347" s="93" t="n"/>
      <c r="AH347" s="92" t="n"/>
      <c r="AI347" s="92" t="n"/>
    </row>
    <row r="348">
      <c r="A348" s="27" t="n"/>
      <c r="B348" s="28" t="n"/>
      <c r="C348" s="27" t="n"/>
      <c r="D348" s="39" t="n"/>
      <c r="E348" s="29" t="n"/>
      <c r="F348" s="90" t="n"/>
      <c r="G348" s="91" t="n"/>
      <c r="H348" s="57" t="n"/>
      <c r="I348" s="92" t="n"/>
      <c r="J348" s="92" t="n"/>
      <c r="K348" s="92" t="n"/>
      <c r="L348" s="92" t="n"/>
      <c r="M348" s="92" t="n"/>
      <c r="N348" s="92" t="n"/>
      <c r="O348" s="92" t="n"/>
      <c r="P348" s="92" t="n"/>
      <c r="Q348" s="92" t="n"/>
      <c r="R348" s="92" t="n"/>
      <c r="S348" s="92" t="n"/>
      <c r="T348" s="92" t="n"/>
      <c r="U348" s="92" t="n"/>
      <c r="V348" s="92" t="n"/>
      <c r="W348" s="92" t="n"/>
      <c r="X348" s="92" t="n"/>
      <c r="Y348" s="93" t="n"/>
      <c r="Z348" s="93" t="n"/>
      <c r="AA348" s="93" t="n"/>
      <c r="AB348" s="93" t="n"/>
      <c r="AC348" s="93" t="n"/>
      <c r="AD348" s="93" t="n"/>
      <c r="AE348" s="93" t="n"/>
      <c r="AF348" s="93" t="n"/>
      <c r="AG348" s="93" t="n"/>
      <c r="AH348" s="92" t="n"/>
      <c r="AI348" s="92" t="n"/>
    </row>
    <row r="349">
      <c r="A349" s="27" t="n"/>
      <c r="B349" s="28" t="n"/>
      <c r="C349" s="27" t="n"/>
      <c r="D349" s="39" t="n"/>
      <c r="E349" s="29" t="n"/>
      <c r="F349" s="90" t="n"/>
      <c r="G349" s="91" t="n"/>
      <c r="H349" s="57" t="n"/>
      <c r="I349" s="92" t="n"/>
      <c r="J349" s="92" t="n"/>
      <c r="K349" s="92" t="n"/>
      <c r="L349" s="92" t="n"/>
      <c r="M349" s="92" t="n"/>
      <c r="N349" s="92" t="n"/>
      <c r="O349" s="92" t="n"/>
      <c r="P349" s="92" t="n"/>
      <c r="Q349" s="92" t="n"/>
      <c r="R349" s="92" t="n"/>
      <c r="S349" s="92" t="n"/>
      <c r="T349" s="92" t="n"/>
      <c r="U349" s="92" t="n"/>
      <c r="V349" s="92" t="n"/>
      <c r="W349" s="92" t="n"/>
      <c r="X349" s="92" t="n"/>
      <c r="Y349" s="93" t="n"/>
      <c r="Z349" s="93" t="n"/>
      <c r="AA349" s="93" t="n"/>
      <c r="AB349" s="93" t="n"/>
      <c r="AC349" s="93" t="n"/>
      <c r="AD349" s="93" t="n"/>
      <c r="AE349" s="93" t="n"/>
      <c r="AF349" s="93" t="n"/>
      <c r="AG349" s="93" t="n"/>
      <c r="AH349" s="92" t="n"/>
      <c r="AI349" s="92" t="n"/>
    </row>
    <row r="350">
      <c r="A350" s="27" t="n"/>
      <c r="B350" s="28" t="n"/>
      <c r="C350" s="27" t="n"/>
      <c r="D350" s="39" t="n"/>
      <c r="E350" s="29" t="n"/>
      <c r="F350" s="90" t="n"/>
      <c r="G350" s="91" t="n"/>
      <c r="H350" s="57" t="n"/>
      <c r="I350" s="92" t="n"/>
      <c r="J350" s="92" t="n"/>
      <c r="K350" s="92" t="n"/>
      <c r="L350" s="92" t="n"/>
      <c r="M350" s="92" t="n"/>
      <c r="N350" s="92" t="n"/>
      <c r="O350" s="92" t="n"/>
      <c r="P350" s="92" t="n"/>
      <c r="Q350" s="92" t="n"/>
      <c r="R350" s="92" t="n"/>
      <c r="S350" s="92" t="n"/>
      <c r="T350" s="92" t="n"/>
      <c r="U350" s="92" t="n"/>
      <c r="V350" s="92" t="n"/>
      <c r="W350" s="92" t="n"/>
      <c r="X350" s="92" t="n"/>
      <c r="Y350" s="93" t="n"/>
      <c r="Z350" s="93" t="n"/>
      <c r="AA350" s="93" t="n"/>
      <c r="AB350" s="93" t="n"/>
      <c r="AC350" s="93" t="n"/>
      <c r="AD350" s="93" t="n"/>
      <c r="AE350" s="93" t="n"/>
      <c r="AF350" s="93" t="n"/>
      <c r="AG350" s="93" t="n"/>
      <c r="AH350" s="92" t="n"/>
      <c r="AI350" s="92" t="n"/>
    </row>
    <row r="351">
      <c r="A351" s="27" t="n"/>
      <c r="B351" s="28" t="n"/>
      <c r="C351" s="27" t="n"/>
      <c r="D351" s="39" t="n"/>
      <c r="E351" s="29" t="n"/>
      <c r="F351" s="90" t="n"/>
      <c r="G351" s="91" t="n"/>
      <c r="H351" s="57" t="n"/>
      <c r="I351" s="92" t="n"/>
      <c r="J351" s="92" t="n"/>
      <c r="K351" s="92" t="n"/>
      <c r="L351" s="92" t="n"/>
      <c r="M351" s="92" t="n"/>
      <c r="N351" s="92" t="n"/>
      <c r="O351" s="92" t="n"/>
      <c r="P351" s="92" t="n"/>
      <c r="Q351" s="92" t="n"/>
      <c r="R351" s="92" t="n"/>
      <c r="S351" s="92" t="n"/>
      <c r="T351" s="92" t="n"/>
      <c r="U351" s="92" t="n"/>
      <c r="V351" s="92" t="n"/>
      <c r="W351" s="92" t="n"/>
      <c r="X351" s="92" t="n"/>
      <c r="Y351" s="93" t="n"/>
      <c r="Z351" s="93" t="n"/>
      <c r="AA351" s="93" t="n"/>
      <c r="AB351" s="93" t="n"/>
      <c r="AC351" s="93" t="n"/>
      <c r="AD351" s="93" t="n"/>
      <c r="AE351" s="93" t="n"/>
      <c r="AF351" s="93" t="n"/>
      <c r="AG351" s="93" t="n"/>
      <c r="AH351" s="92" t="n"/>
      <c r="AI351" s="92" t="n"/>
    </row>
    <row r="352">
      <c r="A352" s="27" t="n"/>
      <c r="B352" s="28" t="n"/>
      <c r="C352" s="27" t="n"/>
      <c r="D352" s="39" t="n"/>
      <c r="E352" s="29" t="n"/>
      <c r="F352" s="90" t="n"/>
      <c r="G352" s="91" t="n"/>
      <c r="H352" s="57" t="n"/>
      <c r="I352" s="92" t="n"/>
      <c r="J352" s="92" t="n"/>
      <c r="K352" s="92" t="n"/>
      <c r="L352" s="92" t="n"/>
      <c r="M352" s="92" t="n"/>
      <c r="N352" s="92" t="n"/>
      <c r="O352" s="92" t="n"/>
      <c r="P352" s="92" t="n"/>
      <c r="Q352" s="92" t="n"/>
      <c r="R352" s="92" t="n"/>
      <c r="S352" s="92" t="n"/>
      <c r="T352" s="92" t="n"/>
      <c r="U352" s="92" t="n"/>
      <c r="V352" s="92" t="n"/>
      <c r="W352" s="92" t="n"/>
      <c r="X352" s="92" t="n"/>
      <c r="Y352" s="93" t="n"/>
      <c r="Z352" s="93" t="n"/>
      <c r="AA352" s="93" t="n"/>
      <c r="AB352" s="93" t="n"/>
      <c r="AC352" s="93" t="n"/>
      <c r="AD352" s="93" t="n"/>
      <c r="AE352" s="93" t="n"/>
      <c r="AF352" s="93" t="n"/>
      <c r="AG352" s="93" t="n"/>
      <c r="AH352" s="92" t="n"/>
      <c r="AI352" s="92" t="n"/>
    </row>
    <row r="353">
      <c r="A353" s="27" t="n"/>
      <c r="B353" s="28" t="n"/>
      <c r="C353" s="27" t="n"/>
      <c r="D353" s="39" t="n"/>
      <c r="E353" s="29" t="n"/>
      <c r="F353" s="90" t="n"/>
      <c r="G353" s="91" t="n"/>
      <c r="H353" s="57" t="n"/>
      <c r="I353" s="92" t="n"/>
      <c r="J353" s="92" t="n"/>
      <c r="K353" s="92" t="n"/>
      <c r="L353" s="92" t="n"/>
      <c r="M353" s="92" t="n"/>
      <c r="N353" s="92" t="n"/>
      <c r="O353" s="92" t="n"/>
      <c r="P353" s="92" t="n"/>
      <c r="Q353" s="92" t="n"/>
      <c r="R353" s="92" t="n"/>
      <c r="S353" s="92" t="n"/>
      <c r="T353" s="92" t="n"/>
      <c r="U353" s="92" t="n"/>
      <c r="V353" s="92" t="n"/>
      <c r="W353" s="92" t="n"/>
      <c r="X353" s="92" t="n"/>
      <c r="Y353" s="93" t="n"/>
      <c r="Z353" s="93" t="n"/>
      <c r="AA353" s="93" t="n"/>
      <c r="AB353" s="93" t="n"/>
      <c r="AC353" s="93" t="n"/>
      <c r="AD353" s="93" t="n"/>
      <c r="AE353" s="93" t="n"/>
      <c r="AF353" s="93" t="n"/>
      <c r="AG353" s="93" t="n"/>
      <c r="AH353" s="92" t="n"/>
      <c r="AI353" s="92" t="n"/>
    </row>
    <row r="354">
      <c r="A354" s="27" t="n"/>
      <c r="B354" s="28" t="n"/>
      <c r="C354" s="27" t="n"/>
      <c r="D354" s="39" t="n"/>
      <c r="E354" s="29" t="n"/>
      <c r="F354" s="90" t="n"/>
      <c r="G354" s="91" t="n"/>
      <c r="H354" s="57" t="n"/>
      <c r="I354" s="92" t="n"/>
      <c r="J354" s="92" t="n"/>
      <c r="K354" s="92" t="n"/>
      <c r="L354" s="92" t="n"/>
      <c r="M354" s="92" t="n"/>
      <c r="N354" s="92" t="n"/>
      <c r="O354" s="92" t="n"/>
      <c r="P354" s="92" t="n"/>
      <c r="Q354" s="92" t="n"/>
      <c r="R354" s="92" t="n"/>
      <c r="S354" s="92" t="n"/>
      <c r="T354" s="92" t="n"/>
      <c r="U354" s="92" t="n"/>
      <c r="V354" s="92" t="n"/>
      <c r="W354" s="92" t="n"/>
      <c r="X354" s="92" t="n"/>
      <c r="Y354" s="93" t="n"/>
      <c r="Z354" s="93" t="n"/>
      <c r="AA354" s="93" t="n"/>
      <c r="AB354" s="93" t="n"/>
      <c r="AC354" s="93" t="n"/>
      <c r="AD354" s="93" t="n"/>
      <c r="AE354" s="93" t="n"/>
      <c r="AF354" s="93" t="n"/>
      <c r="AG354" s="93" t="n"/>
      <c r="AH354" s="92" t="n"/>
      <c r="AI354" s="92" t="n"/>
    </row>
    <row r="355">
      <c r="A355" s="27" t="n"/>
      <c r="B355" s="28" t="n"/>
      <c r="C355" s="27" t="n"/>
      <c r="D355" s="39" t="n"/>
      <c r="E355" s="29" t="n"/>
      <c r="F355" s="90" t="n"/>
      <c r="G355" s="91" t="n"/>
      <c r="H355" s="57" t="n"/>
      <c r="I355" s="92" t="n"/>
      <c r="J355" s="92" t="n"/>
      <c r="K355" s="92" t="n"/>
      <c r="L355" s="92" t="n"/>
      <c r="M355" s="92" t="n"/>
      <c r="N355" s="92" t="n"/>
      <c r="O355" s="92" t="n"/>
      <c r="P355" s="92" t="n"/>
      <c r="Q355" s="92" t="n"/>
      <c r="R355" s="92" t="n"/>
      <c r="S355" s="92" t="n"/>
      <c r="T355" s="92" t="n"/>
      <c r="U355" s="92" t="n"/>
      <c r="V355" s="92" t="n"/>
      <c r="W355" s="92" t="n"/>
      <c r="X355" s="92" t="n"/>
      <c r="Y355" s="93" t="n"/>
      <c r="Z355" s="93" t="n"/>
      <c r="AA355" s="93" t="n"/>
      <c r="AB355" s="93" t="n"/>
      <c r="AC355" s="93" t="n"/>
      <c r="AD355" s="93" t="n"/>
      <c r="AE355" s="93" t="n"/>
      <c r="AF355" s="93" t="n"/>
      <c r="AG355" s="93" t="n"/>
      <c r="AH355" s="92" t="n"/>
      <c r="AI355" s="92" t="n"/>
    </row>
    <row r="356">
      <c r="A356" s="27" t="n"/>
      <c r="B356" s="28" t="n"/>
      <c r="C356" s="27" t="n"/>
      <c r="D356" s="39" t="n"/>
      <c r="E356" s="29" t="n"/>
      <c r="F356" s="90" t="n"/>
      <c r="G356" s="91" t="n"/>
      <c r="H356" s="57" t="n"/>
      <c r="I356" s="92" t="n"/>
      <c r="J356" s="92" t="n"/>
      <c r="K356" s="92" t="n"/>
      <c r="L356" s="92" t="n"/>
      <c r="M356" s="92" t="n"/>
      <c r="N356" s="92" t="n"/>
      <c r="O356" s="92" t="n"/>
      <c r="P356" s="92" t="n"/>
      <c r="Q356" s="92" t="n"/>
      <c r="R356" s="92" t="n"/>
      <c r="S356" s="92" t="n"/>
      <c r="T356" s="92" t="n"/>
      <c r="U356" s="92" t="n"/>
      <c r="V356" s="92" t="n"/>
      <c r="W356" s="92" t="n"/>
      <c r="X356" s="92" t="n"/>
      <c r="Y356" s="93" t="n"/>
      <c r="Z356" s="93" t="n"/>
      <c r="AA356" s="93" t="n"/>
      <c r="AB356" s="93" t="n"/>
      <c r="AC356" s="93" t="n"/>
      <c r="AD356" s="93" t="n"/>
      <c r="AE356" s="93" t="n"/>
      <c r="AF356" s="93" t="n"/>
      <c r="AG356" s="93" t="n"/>
      <c r="AH356" s="92" t="n"/>
      <c r="AI356" s="92" t="n"/>
    </row>
    <row r="357">
      <c r="A357" s="27" t="n"/>
      <c r="B357" s="28" t="n"/>
      <c r="C357" s="27" t="n"/>
      <c r="D357" s="39" t="n"/>
      <c r="E357" s="29" t="n"/>
      <c r="F357" s="90" t="n"/>
      <c r="G357" s="91" t="n"/>
      <c r="H357" s="57" t="n"/>
      <c r="I357" s="92" t="n"/>
      <c r="J357" s="92" t="n"/>
      <c r="K357" s="92" t="n"/>
      <c r="L357" s="92" t="n"/>
      <c r="M357" s="92" t="n"/>
      <c r="N357" s="92" t="n"/>
      <c r="O357" s="92" t="n"/>
      <c r="P357" s="92" t="n"/>
      <c r="Q357" s="92" t="n"/>
      <c r="R357" s="92" t="n"/>
      <c r="S357" s="92" t="n"/>
      <c r="T357" s="92" t="n"/>
      <c r="U357" s="92" t="n"/>
      <c r="V357" s="92" t="n"/>
      <c r="W357" s="92" t="n"/>
      <c r="X357" s="92" t="n"/>
      <c r="Y357" s="93" t="n"/>
      <c r="Z357" s="93" t="n"/>
      <c r="AA357" s="93" t="n"/>
      <c r="AB357" s="93" t="n"/>
      <c r="AC357" s="93" t="n"/>
      <c r="AD357" s="93" t="n"/>
      <c r="AE357" s="93" t="n"/>
      <c r="AF357" s="93" t="n"/>
      <c r="AG357" s="93" t="n"/>
      <c r="AH357" s="92" t="n"/>
      <c r="AI357" s="92" t="n"/>
    </row>
    <row r="358">
      <c r="A358" s="27" t="n"/>
      <c r="B358" s="28" t="n"/>
      <c r="C358" s="27" t="n"/>
      <c r="D358" s="39" t="n"/>
      <c r="E358" s="29" t="n"/>
      <c r="F358" s="90" t="n"/>
      <c r="G358" s="91" t="n"/>
      <c r="H358" s="57" t="n"/>
      <c r="I358" s="92" t="n"/>
      <c r="J358" s="92" t="n"/>
      <c r="K358" s="92" t="n"/>
      <c r="L358" s="92" t="n"/>
      <c r="M358" s="92" t="n"/>
      <c r="N358" s="92" t="n"/>
      <c r="O358" s="92" t="n"/>
      <c r="P358" s="92" t="n"/>
      <c r="Q358" s="92" t="n"/>
      <c r="R358" s="92" t="n"/>
      <c r="S358" s="92" t="n"/>
      <c r="T358" s="92" t="n"/>
      <c r="U358" s="92" t="n"/>
      <c r="V358" s="92" t="n"/>
      <c r="W358" s="92" t="n"/>
      <c r="X358" s="92" t="n"/>
      <c r="Y358" s="93" t="n"/>
      <c r="Z358" s="93" t="n"/>
      <c r="AA358" s="93" t="n"/>
      <c r="AB358" s="93" t="n"/>
      <c r="AC358" s="93" t="n"/>
      <c r="AD358" s="93" t="n"/>
      <c r="AE358" s="93" t="n"/>
      <c r="AF358" s="93" t="n"/>
      <c r="AG358" s="93" t="n"/>
      <c r="AH358" s="92" t="n"/>
      <c r="AI358" s="92" t="n"/>
    </row>
    <row r="359">
      <c r="A359" s="27" t="n"/>
      <c r="B359" s="28" t="n"/>
      <c r="C359" s="27" t="n"/>
      <c r="D359" s="39" t="n"/>
      <c r="E359" s="29" t="n"/>
      <c r="F359" s="90" t="n"/>
      <c r="G359" s="91" t="n"/>
      <c r="H359" s="57" t="n"/>
      <c r="I359" s="92" t="n"/>
      <c r="J359" s="92" t="n"/>
      <c r="K359" s="92" t="n"/>
      <c r="L359" s="92" t="n"/>
      <c r="M359" s="92" t="n"/>
      <c r="N359" s="92" t="n"/>
      <c r="O359" s="92" t="n"/>
      <c r="P359" s="92" t="n"/>
      <c r="Q359" s="92" t="n"/>
      <c r="R359" s="92" t="n"/>
      <c r="S359" s="92" t="n"/>
      <c r="T359" s="92" t="n"/>
      <c r="U359" s="92" t="n"/>
      <c r="V359" s="92" t="n"/>
      <c r="W359" s="92" t="n"/>
      <c r="X359" s="92" t="n"/>
      <c r="Y359" s="93" t="n"/>
      <c r="Z359" s="93" t="n"/>
      <c r="AA359" s="93" t="n"/>
      <c r="AB359" s="93" t="n"/>
      <c r="AC359" s="93" t="n"/>
      <c r="AD359" s="93" t="n"/>
      <c r="AE359" s="93" t="n"/>
      <c r="AF359" s="93" t="n"/>
      <c r="AG359" s="93" t="n"/>
      <c r="AH359" s="92" t="n"/>
      <c r="AI359" s="92" t="n"/>
    </row>
    <row r="360">
      <c r="A360" s="27" t="n"/>
      <c r="B360" s="28" t="n"/>
      <c r="C360" s="27" t="n"/>
      <c r="D360" s="39" t="n"/>
      <c r="E360" s="29" t="n"/>
      <c r="F360" s="90" t="n"/>
      <c r="G360" s="91" t="n"/>
      <c r="H360" s="57" t="n"/>
      <c r="I360" s="92" t="n"/>
      <c r="J360" s="92" t="n"/>
      <c r="K360" s="92" t="n"/>
      <c r="L360" s="92" t="n"/>
      <c r="M360" s="92" t="n"/>
      <c r="N360" s="92" t="n"/>
      <c r="O360" s="92" t="n"/>
      <c r="P360" s="92" t="n"/>
      <c r="Q360" s="92" t="n"/>
      <c r="R360" s="92" t="n"/>
      <c r="S360" s="92" t="n"/>
      <c r="T360" s="92" t="n"/>
      <c r="U360" s="92" t="n"/>
      <c r="V360" s="92" t="n"/>
      <c r="W360" s="92" t="n"/>
      <c r="X360" s="92" t="n"/>
      <c r="Y360" s="93" t="n"/>
      <c r="Z360" s="93" t="n"/>
      <c r="AA360" s="93" t="n"/>
      <c r="AB360" s="93" t="n"/>
      <c r="AC360" s="93" t="n"/>
      <c r="AD360" s="93" t="n"/>
      <c r="AE360" s="93" t="n"/>
      <c r="AF360" s="93" t="n"/>
      <c r="AG360" s="93" t="n"/>
      <c r="AH360" s="92" t="n"/>
      <c r="AI360" s="92" t="n"/>
    </row>
    <row r="361">
      <c r="A361" s="27" t="n"/>
      <c r="B361" s="28" t="n"/>
      <c r="C361" s="27" t="n"/>
      <c r="D361" s="39" t="n"/>
      <c r="E361" s="29" t="n"/>
      <c r="F361" s="90" t="n"/>
      <c r="G361" s="91" t="n"/>
      <c r="H361" s="57" t="n"/>
      <c r="I361" s="92" t="n"/>
      <c r="J361" s="92" t="n"/>
      <c r="K361" s="92" t="n"/>
      <c r="L361" s="92" t="n"/>
      <c r="M361" s="92" t="n"/>
      <c r="N361" s="92" t="n"/>
      <c r="O361" s="92" t="n"/>
      <c r="P361" s="92" t="n"/>
      <c r="Q361" s="92" t="n"/>
      <c r="R361" s="92" t="n"/>
      <c r="S361" s="92" t="n"/>
      <c r="T361" s="92" t="n"/>
      <c r="U361" s="92" t="n"/>
      <c r="V361" s="92" t="n"/>
      <c r="W361" s="92" t="n"/>
      <c r="X361" s="92" t="n"/>
      <c r="Y361" s="93" t="n"/>
      <c r="Z361" s="93" t="n"/>
      <c r="AA361" s="93" t="n"/>
      <c r="AB361" s="93" t="n"/>
      <c r="AC361" s="93" t="n"/>
      <c r="AD361" s="93" t="n"/>
      <c r="AE361" s="93" t="n"/>
      <c r="AF361" s="93" t="n"/>
      <c r="AG361" s="93" t="n"/>
      <c r="AH361" s="92" t="n"/>
      <c r="AI361" s="92" t="n"/>
    </row>
    <row r="362">
      <c r="A362" s="27" t="n"/>
      <c r="B362" s="28" t="n"/>
      <c r="C362" s="27" t="n"/>
      <c r="D362" s="39" t="n"/>
      <c r="E362" s="29" t="n"/>
      <c r="F362" s="90" t="n"/>
      <c r="G362" s="91" t="n"/>
      <c r="H362" s="57" t="n"/>
      <c r="I362" s="92" t="n"/>
      <c r="J362" s="92" t="n"/>
      <c r="K362" s="92" t="n"/>
      <c r="L362" s="92" t="n"/>
      <c r="M362" s="92" t="n"/>
      <c r="N362" s="92" t="n"/>
      <c r="O362" s="92" t="n"/>
      <c r="P362" s="92" t="n"/>
      <c r="Q362" s="92" t="n"/>
      <c r="R362" s="92" t="n"/>
      <c r="S362" s="92" t="n"/>
      <c r="T362" s="92" t="n"/>
      <c r="U362" s="92" t="n"/>
      <c r="V362" s="92" t="n"/>
      <c r="W362" s="92" t="n"/>
      <c r="X362" s="92" t="n"/>
      <c r="Y362" s="93" t="n"/>
      <c r="Z362" s="93" t="n"/>
      <c r="AA362" s="93" t="n"/>
      <c r="AB362" s="93" t="n"/>
      <c r="AC362" s="93" t="n"/>
      <c r="AD362" s="93" t="n"/>
      <c r="AE362" s="93" t="n"/>
      <c r="AF362" s="93" t="n"/>
      <c r="AG362" s="93" t="n"/>
      <c r="AH362" s="92" t="n"/>
      <c r="AI362" s="92" t="n"/>
    </row>
    <row r="363">
      <c r="A363" s="27" t="n"/>
      <c r="B363" s="28" t="n"/>
      <c r="C363" s="27" t="n"/>
      <c r="D363" s="39" t="n"/>
      <c r="E363" s="29" t="n"/>
      <c r="F363" s="90" t="n"/>
      <c r="G363" s="91" t="n"/>
      <c r="H363" s="57" t="n"/>
      <c r="I363" s="92" t="n"/>
      <c r="J363" s="92" t="n"/>
      <c r="K363" s="92" t="n"/>
      <c r="L363" s="92" t="n"/>
      <c r="M363" s="92" t="n"/>
      <c r="N363" s="92" t="n"/>
      <c r="O363" s="92" t="n"/>
      <c r="P363" s="92" t="n"/>
      <c r="Q363" s="92" t="n"/>
      <c r="R363" s="92" t="n"/>
      <c r="S363" s="92" t="n"/>
      <c r="T363" s="92" t="n"/>
      <c r="U363" s="92" t="n"/>
      <c r="V363" s="92" t="n"/>
      <c r="W363" s="92" t="n"/>
      <c r="X363" s="92" t="n"/>
      <c r="Y363" s="93" t="n"/>
      <c r="Z363" s="93" t="n"/>
      <c r="AA363" s="93" t="n"/>
      <c r="AB363" s="93" t="n"/>
      <c r="AC363" s="93" t="n"/>
      <c r="AD363" s="93" t="n"/>
      <c r="AE363" s="93" t="n"/>
      <c r="AF363" s="93" t="n"/>
      <c r="AG363" s="93" t="n"/>
      <c r="AH363" s="92" t="n"/>
      <c r="AI363" s="92" t="n"/>
    </row>
    <row r="364">
      <c r="A364" s="27" t="n"/>
      <c r="B364" s="28" t="n"/>
      <c r="C364" s="27" t="n"/>
      <c r="D364" s="39" t="n"/>
      <c r="E364" s="29" t="n"/>
      <c r="F364" s="90" t="n"/>
      <c r="G364" s="91" t="n"/>
      <c r="H364" s="57" t="n"/>
      <c r="I364" s="92" t="n"/>
      <c r="J364" s="92" t="n"/>
      <c r="K364" s="92" t="n"/>
      <c r="L364" s="92" t="n"/>
      <c r="M364" s="92" t="n"/>
      <c r="N364" s="92" t="n"/>
      <c r="O364" s="92" t="n"/>
      <c r="P364" s="92" t="n"/>
      <c r="Q364" s="92" t="n"/>
      <c r="R364" s="92" t="n"/>
      <c r="S364" s="92" t="n"/>
      <c r="T364" s="92" t="n"/>
      <c r="U364" s="92" t="n"/>
      <c r="V364" s="92" t="n"/>
      <c r="W364" s="92" t="n"/>
      <c r="X364" s="92" t="n"/>
      <c r="Y364" s="93" t="n"/>
      <c r="Z364" s="93" t="n"/>
      <c r="AA364" s="93" t="n"/>
      <c r="AB364" s="93" t="n"/>
      <c r="AC364" s="93" t="n"/>
      <c r="AD364" s="93" t="n"/>
      <c r="AE364" s="93" t="n"/>
      <c r="AF364" s="93" t="n"/>
      <c r="AG364" s="93" t="n"/>
      <c r="AH364" s="92" t="n"/>
      <c r="AI364" s="92" t="n"/>
    </row>
    <row r="365">
      <c r="A365" s="27" t="n"/>
      <c r="B365" s="28" t="n"/>
      <c r="C365" s="27" t="n"/>
      <c r="D365" s="39" t="n"/>
      <c r="E365" s="29" t="n"/>
      <c r="F365" s="90" t="n"/>
      <c r="G365" s="91" t="n"/>
      <c r="H365" s="57" t="n"/>
      <c r="I365" s="92" t="n"/>
      <c r="J365" s="92" t="n"/>
      <c r="K365" s="92" t="n"/>
      <c r="L365" s="92" t="n"/>
      <c r="M365" s="92" t="n"/>
      <c r="N365" s="92" t="n"/>
      <c r="O365" s="92" t="n"/>
      <c r="P365" s="92" t="n"/>
      <c r="Q365" s="92" t="n"/>
      <c r="R365" s="92" t="n"/>
      <c r="S365" s="92" t="n"/>
      <c r="T365" s="92" t="n"/>
      <c r="U365" s="92" t="n"/>
      <c r="V365" s="92" t="n"/>
      <c r="W365" s="92" t="n"/>
      <c r="X365" s="92" t="n"/>
      <c r="Y365" s="93" t="n"/>
      <c r="Z365" s="93" t="n"/>
      <c r="AA365" s="93" t="n"/>
      <c r="AB365" s="93" t="n"/>
      <c r="AC365" s="93" t="n"/>
      <c r="AD365" s="93" t="n"/>
      <c r="AE365" s="93" t="n"/>
      <c r="AF365" s="93" t="n"/>
      <c r="AG365" s="93" t="n"/>
      <c r="AH365" s="92" t="n"/>
      <c r="AI365" s="92" t="n"/>
    </row>
    <row r="366">
      <c r="A366" s="27" t="n"/>
      <c r="B366" s="28" t="n"/>
      <c r="C366" s="27" t="n"/>
      <c r="D366" s="39" t="n"/>
      <c r="E366" s="29" t="n"/>
      <c r="F366" s="90" t="n"/>
      <c r="G366" s="91" t="n"/>
      <c r="H366" s="57" t="n"/>
      <c r="I366" s="92" t="n"/>
      <c r="J366" s="92" t="n"/>
      <c r="K366" s="92" t="n"/>
      <c r="L366" s="92" t="n"/>
      <c r="M366" s="92" t="n"/>
      <c r="N366" s="92" t="n"/>
      <c r="O366" s="92" t="n"/>
      <c r="P366" s="92" t="n"/>
      <c r="Q366" s="92" t="n"/>
      <c r="R366" s="92" t="n"/>
      <c r="S366" s="92" t="n"/>
      <c r="T366" s="92" t="n"/>
      <c r="U366" s="92" t="n"/>
      <c r="V366" s="92" t="n"/>
      <c r="W366" s="92" t="n"/>
      <c r="X366" s="92" t="n"/>
      <c r="Y366" s="93" t="n"/>
      <c r="Z366" s="93" t="n"/>
      <c r="AA366" s="93" t="n"/>
      <c r="AB366" s="93" t="n"/>
      <c r="AC366" s="93" t="n"/>
      <c r="AD366" s="93" t="n"/>
      <c r="AE366" s="93" t="n"/>
      <c r="AF366" s="93" t="n"/>
      <c r="AG366" s="93" t="n"/>
      <c r="AH366" s="92" t="n"/>
      <c r="AI366" s="92" t="n"/>
    </row>
    <row r="367">
      <c r="A367" s="27" t="n"/>
      <c r="B367" s="28" t="n"/>
      <c r="C367" s="27" t="n"/>
      <c r="D367" s="39" t="n"/>
      <c r="E367" s="29" t="n"/>
      <c r="F367" s="90" t="n"/>
      <c r="G367" s="91" t="n"/>
      <c r="H367" s="57" t="n"/>
      <c r="I367" s="92" t="n"/>
      <c r="J367" s="92" t="n"/>
      <c r="K367" s="92" t="n"/>
      <c r="L367" s="92" t="n"/>
      <c r="M367" s="92" t="n"/>
      <c r="N367" s="92" t="n"/>
      <c r="O367" s="92" t="n"/>
      <c r="P367" s="92" t="n"/>
      <c r="Q367" s="92" t="n"/>
      <c r="R367" s="92" t="n"/>
      <c r="S367" s="92" t="n"/>
      <c r="T367" s="92" t="n"/>
      <c r="U367" s="92" t="n"/>
      <c r="V367" s="92" t="n"/>
      <c r="W367" s="92" t="n"/>
      <c r="X367" s="92" t="n"/>
      <c r="Y367" s="93" t="n"/>
      <c r="Z367" s="93" t="n"/>
      <c r="AA367" s="93" t="n"/>
      <c r="AB367" s="93" t="n"/>
      <c r="AC367" s="93" t="n"/>
      <c r="AD367" s="93" t="n"/>
      <c r="AE367" s="93" t="n"/>
      <c r="AF367" s="93" t="n"/>
      <c r="AG367" s="93" t="n"/>
      <c r="AH367" s="92" t="n"/>
      <c r="AI367" s="92" t="n"/>
    </row>
    <row r="368">
      <c r="A368" s="27" t="n"/>
      <c r="B368" s="28" t="n"/>
      <c r="C368" s="27" t="n"/>
      <c r="D368" s="39" t="n"/>
      <c r="E368" s="29" t="n"/>
      <c r="F368" s="90" t="n"/>
      <c r="G368" s="91" t="n"/>
      <c r="H368" s="57" t="n"/>
      <c r="I368" s="92" t="n"/>
      <c r="J368" s="92" t="n"/>
      <c r="K368" s="92" t="n"/>
      <c r="L368" s="92" t="n"/>
      <c r="M368" s="92" t="n"/>
      <c r="N368" s="92" t="n"/>
      <c r="O368" s="92" t="n"/>
      <c r="P368" s="92" t="n"/>
      <c r="Q368" s="92" t="n"/>
      <c r="R368" s="92" t="n"/>
      <c r="S368" s="92" t="n"/>
      <c r="T368" s="92" t="n"/>
      <c r="U368" s="92" t="n"/>
      <c r="V368" s="92" t="n"/>
      <c r="W368" s="92" t="n"/>
      <c r="X368" s="92" t="n"/>
      <c r="Y368" s="93" t="n"/>
      <c r="Z368" s="93" t="n"/>
      <c r="AA368" s="93" t="n"/>
      <c r="AB368" s="93" t="n"/>
      <c r="AC368" s="93" t="n"/>
      <c r="AD368" s="93" t="n"/>
      <c r="AE368" s="93" t="n"/>
      <c r="AF368" s="93" t="n"/>
      <c r="AG368" s="93" t="n"/>
      <c r="AH368" s="92" t="n"/>
      <c r="AI368" s="92" t="n"/>
    </row>
    <row r="369">
      <c r="A369" s="27" t="n"/>
      <c r="B369" s="28" t="n"/>
      <c r="C369" s="27" t="n"/>
      <c r="D369" s="39" t="n"/>
      <c r="E369" s="29" t="n"/>
      <c r="F369" s="90" t="n"/>
      <c r="G369" s="91" t="n"/>
      <c r="H369" s="57" t="n"/>
      <c r="I369" s="92" t="n"/>
      <c r="J369" s="92" t="n"/>
      <c r="K369" s="92" t="n"/>
      <c r="L369" s="92" t="n"/>
      <c r="M369" s="92" t="n"/>
      <c r="N369" s="92" t="n"/>
      <c r="O369" s="92" t="n"/>
      <c r="P369" s="92" t="n"/>
      <c r="Q369" s="92" t="n"/>
      <c r="R369" s="92" t="n"/>
      <c r="S369" s="92" t="n"/>
      <c r="T369" s="92" t="n"/>
      <c r="U369" s="92" t="n"/>
      <c r="V369" s="92" t="n"/>
      <c r="W369" s="92" t="n"/>
      <c r="X369" s="92" t="n"/>
      <c r="Y369" s="93" t="n"/>
      <c r="Z369" s="93" t="n"/>
      <c r="AA369" s="93" t="n"/>
      <c r="AB369" s="93" t="n"/>
      <c r="AC369" s="93" t="n"/>
      <c r="AD369" s="93" t="n"/>
      <c r="AE369" s="93" t="n"/>
      <c r="AF369" s="93" t="n"/>
      <c r="AG369" s="93" t="n"/>
      <c r="AH369" s="92" t="n"/>
      <c r="AI369" s="92" t="n"/>
    </row>
    <row r="370">
      <c r="A370" s="27" t="n"/>
      <c r="B370" s="28" t="n"/>
      <c r="C370" s="27" t="n"/>
      <c r="D370" s="39" t="n"/>
      <c r="E370" s="29" t="n"/>
      <c r="F370" s="90" t="n"/>
      <c r="G370" s="91" t="n"/>
      <c r="H370" s="57" t="n"/>
      <c r="I370" s="92" t="n"/>
      <c r="J370" s="92" t="n"/>
      <c r="K370" s="92" t="n"/>
      <c r="L370" s="92" t="n"/>
      <c r="M370" s="92" t="n"/>
      <c r="N370" s="92" t="n"/>
      <c r="O370" s="92" t="n"/>
      <c r="P370" s="92" t="n"/>
      <c r="Q370" s="92" t="n"/>
      <c r="R370" s="92" t="n"/>
      <c r="S370" s="92" t="n"/>
      <c r="T370" s="92" t="n"/>
      <c r="U370" s="92" t="n"/>
      <c r="V370" s="92" t="n"/>
      <c r="W370" s="92" t="n"/>
      <c r="X370" s="92" t="n"/>
      <c r="Y370" s="93" t="n"/>
      <c r="Z370" s="93" t="n"/>
      <c r="AA370" s="93" t="n"/>
      <c r="AB370" s="93" t="n"/>
      <c r="AC370" s="93" t="n"/>
      <c r="AD370" s="93" t="n"/>
      <c r="AE370" s="93" t="n"/>
      <c r="AF370" s="93" t="n"/>
      <c r="AG370" s="93" t="n"/>
      <c r="AH370" s="92" t="n"/>
      <c r="AI370" s="92" t="n"/>
    </row>
    <row r="371">
      <c r="A371" s="27" t="n"/>
      <c r="B371" s="28" t="n"/>
      <c r="C371" s="27" t="n"/>
      <c r="D371" s="39" t="n"/>
      <c r="E371" s="29" t="n"/>
      <c r="F371" s="90" t="n"/>
      <c r="G371" s="91" t="n"/>
      <c r="H371" s="57" t="n"/>
      <c r="I371" s="92" t="n"/>
      <c r="J371" s="92" t="n"/>
      <c r="K371" s="92" t="n"/>
      <c r="L371" s="92" t="n"/>
      <c r="M371" s="92" t="n"/>
      <c r="N371" s="92" t="n"/>
      <c r="O371" s="92" t="n"/>
      <c r="P371" s="92" t="n"/>
      <c r="Q371" s="92" t="n"/>
      <c r="R371" s="92" t="n"/>
      <c r="S371" s="92" t="n"/>
      <c r="T371" s="92" t="n"/>
      <c r="U371" s="92" t="n"/>
      <c r="V371" s="92" t="n"/>
      <c r="W371" s="92" t="n"/>
      <c r="X371" s="92" t="n"/>
      <c r="Y371" s="93" t="n"/>
      <c r="Z371" s="93" t="n"/>
      <c r="AA371" s="93" t="n"/>
      <c r="AB371" s="93" t="n"/>
      <c r="AC371" s="93" t="n"/>
      <c r="AD371" s="93" t="n"/>
      <c r="AE371" s="93" t="n"/>
      <c r="AF371" s="93" t="n"/>
      <c r="AG371" s="93" t="n"/>
      <c r="AH371" s="92" t="n"/>
      <c r="AI371" s="92" t="n"/>
    </row>
    <row r="372">
      <c r="A372" s="27" t="n"/>
      <c r="B372" s="28" t="n"/>
      <c r="C372" s="27" t="n"/>
      <c r="D372" s="39" t="n"/>
      <c r="E372" s="29" t="n"/>
      <c r="F372" s="90" t="n"/>
      <c r="G372" s="91" t="n"/>
      <c r="H372" s="57" t="n"/>
      <c r="I372" s="92" t="n"/>
      <c r="J372" s="92" t="n"/>
      <c r="K372" s="92" t="n"/>
      <c r="L372" s="92" t="n"/>
      <c r="M372" s="92" t="n"/>
      <c r="N372" s="92" t="n"/>
      <c r="O372" s="92" t="n"/>
      <c r="P372" s="92" t="n"/>
      <c r="Q372" s="92" t="n"/>
      <c r="R372" s="92" t="n"/>
      <c r="S372" s="92" t="n"/>
      <c r="T372" s="92" t="n"/>
      <c r="U372" s="92" t="n"/>
      <c r="V372" s="92" t="n"/>
      <c r="W372" s="92" t="n"/>
      <c r="X372" s="92" t="n"/>
      <c r="Y372" s="93" t="n"/>
      <c r="Z372" s="93" t="n"/>
      <c r="AA372" s="93" t="n"/>
      <c r="AB372" s="93" t="n"/>
      <c r="AC372" s="93" t="n"/>
      <c r="AD372" s="93" t="n"/>
      <c r="AE372" s="93" t="n"/>
      <c r="AF372" s="93" t="n"/>
      <c r="AG372" s="93" t="n"/>
      <c r="AH372" s="92" t="n"/>
      <c r="AI372" s="92" t="n"/>
    </row>
    <row r="373">
      <c r="A373" s="27" t="n"/>
      <c r="B373" s="28" t="n"/>
      <c r="C373" s="27" t="n"/>
      <c r="D373" s="39" t="n"/>
      <c r="E373" s="29" t="n"/>
      <c r="F373" s="90" t="n"/>
      <c r="G373" s="91" t="n"/>
      <c r="H373" s="57" t="n"/>
      <c r="I373" s="92" t="n"/>
      <c r="J373" s="92" t="n"/>
      <c r="K373" s="92" t="n"/>
      <c r="L373" s="92" t="n"/>
      <c r="M373" s="92" t="n"/>
      <c r="N373" s="92" t="n"/>
      <c r="O373" s="92" t="n"/>
      <c r="P373" s="92" t="n"/>
      <c r="Q373" s="92" t="n"/>
      <c r="R373" s="92" t="n"/>
      <c r="S373" s="92" t="n"/>
      <c r="T373" s="92" t="n"/>
      <c r="U373" s="92" t="n"/>
      <c r="V373" s="92" t="n"/>
      <c r="W373" s="92" t="n"/>
      <c r="X373" s="92" t="n"/>
      <c r="Y373" s="93" t="n"/>
      <c r="Z373" s="93" t="n"/>
      <c r="AA373" s="93" t="n"/>
      <c r="AB373" s="93" t="n"/>
      <c r="AC373" s="93" t="n"/>
      <c r="AD373" s="93" t="n"/>
      <c r="AE373" s="93" t="n"/>
      <c r="AF373" s="93" t="n"/>
      <c r="AG373" s="93" t="n"/>
      <c r="AH373" s="92" t="n"/>
      <c r="AI373" s="92" t="n"/>
    </row>
    <row r="374">
      <c r="A374" s="27" t="n"/>
      <c r="B374" s="28" t="n"/>
      <c r="C374" s="27" t="n"/>
      <c r="D374" s="39" t="n"/>
      <c r="E374" s="29" t="n"/>
      <c r="F374" s="90" t="n"/>
      <c r="G374" s="91" t="n"/>
      <c r="H374" s="57" t="n"/>
      <c r="I374" s="92" t="n"/>
      <c r="J374" s="92" t="n"/>
      <c r="K374" s="92" t="n"/>
      <c r="L374" s="92" t="n"/>
      <c r="M374" s="92" t="n"/>
      <c r="N374" s="92" t="n"/>
      <c r="O374" s="92" t="n"/>
      <c r="P374" s="92" t="n"/>
      <c r="Q374" s="92" t="n"/>
      <c r="R374" s="92" t="n"/>
      <c r="S374" s="92" t="n"/>
      <c r="T374" s="92" t="n"/>
      <c r="U374" s="92" t="n"/>
      <c r="V374" s="92" t="n"/>
      <c r="W374" s="92" t="n"/>
      <c r="X374" s="92" t="n"/>
      <c r="Y374" s="93" t="n"/>
      <c r="Z374" s="93" t="n"/>
      <c r="AA374" s="93" t="n"/>
      <c r="AB374" s="93" t="n"/>
      <c r="AC374" s="93" t="n"/>
      <c r="AD374" s="93" t="n"/>
      <c r="AE374" s="93" t="n"/>
      <c r="AF374" s="93" t="n"/>
      <c r="AG374" s="93" t="n"/>
      <c r="AH374" s="92" t="n"/>
      <c r="AI374" s="92" t="n"/>
    </row>
    <row r="375">
      <c r="A375" s="27" t="n"/>
      <c r="B375" s="28" t="n"/>
      <c r="C375" s="27" t="n"/>
      <c r="D375" s="39" t="n"/>
      <c r="E375" s="29" t="n"/>
      <c r="F375" s="90" t="n"/>
      <c r="G375" s="91" t="n"/>
      <c r="H375" s="57" t="n"/>
      <c r="I375" s="92" t="n"/>
      <c r="J375" s="92" t="n"/>
      <c r="K375" s="92" t="n"/>
      <c r="L375" s="92" t="n"/>
      <c r="M375" s="92" t="n"/>
      <c r="N375" s="92" t="n"/>
      <c r="O375" s="92" t="n"/>
      <c r="P375" s="92" t="n"/>
      <c r="Q375" s="92" t="n"/>
      <c r="R375" s="92" t="n"/>
      <c r="S375" s="92" t="n"/>
      <c r="T375" s="92" t="n"/>
      <c r="U375" s="92" t="n"/>
      <c r="V375" s="92" t="n"/>
      <c r="W375" s="92" t="n"/>
      <c r="X375" s="92" t="n"/>
      <c r="Y375" s="93" t="n"/>
      <c r="Z375" s="93" t="n"/>
      <c r="AA375" s="93" t="n"/>
      <c r="AB375" s="93" t="n"/>
      <c r="AC375" s="93" t="n"/>
      <c r="AD375" s="93" t="n"/>
      <c r="AE375" s="93" t="n"/>
      <c r="AF375" s="93" t="n"/>
      <c r="AG375" s="93" t="n"/>
      <c r="AH375" s="92" t="n"/>
      <c r="AI375" s="92" t="n"/>
    </row>
    <row r="376">
      <c r="A376" s="27" t="n"/>
      <c r="B376" s="28" t="n"/>
      <c r="C376" s="27" t="n"/>
      <c r="D376" s="39" t="n"/>
      <c r="E376" s="29" t="n"/>
      <c r="F376" s="90" t="n"/>
      <c r="G376" s="91" t="n"/>
      <c r="H376" s="57" t="n"/>
      <c r="I376" s="92" t="n"/>
      <c r="J376" s="92" t="n"/>
      <c r="K376" s="92" t="n"/>
      <c r="L376" s="92" t="n"/>
      <c r="M376" s="92" t="n"/>
      <c r="N376" s="92" t="n"/>
      <c r="O376" s="92" t="n"/>
      <c r="P376" s="92" t="n"/>
      <c r="Q376" s="92" t="n"/>
      <c r="R376" s="92" t="n"/>
      <c r="S376" s="92" t="n"/>
      <c r="T376" s="92" t="n"/>
      <c r="U376" s="92" t="n"/>
      <c r="V376" s="92" t="n"/>
      <c r="W376" s="92" t="n"/>
      <c r="X376" s="92" t="n"/>
      <c r="Y376" s="93" t="n"/>
      <c r="Z376" s="93" t="n"/>
      <c r="AA376" s="93" t="n"/>
      <c r="AB376" s="93" t="n"/>
      <c r="AC376" s="93" t="n"/>
      <c r="AD376" s="93" t="n"/>
      <c r="AE376" s="93" t="n"/>
      <c r="AF376" s="93" t="n"/>
      <c r="AG376" s="93" t="n"/>
      <c r="AH376" s="92" t="n"/>
      <c r="AI376" s="92" t="n"/>
    </row>
    <row r="377">
      <c r="A377" s="27" t="n"/>
      <c r="B377" s="28" t="n"/>
      <c r="C377" s="27" t="n"/>
      <c r="D377" s="39" t="n"/>
      <c r="E377" s="29" t="n"/>
      <c r="F377" s="90" t="n"/>
      <c r="G377" s="91" t="n"/>
      <c r="H377" s="57" t="n"/>
      <c r="I377" s="92" t="n"/>
      <c r="J377" s="92" t="n"/>
      <c r="K377" s="92" t="n"/>
      <c r="L377" s="92" t="n"/>
      <c r="M377" s="92" t="n"/>
      <c r="N377" s="92" t="n"/>
      <c r="O377" s="92" t="n"/>
      <c r="P377" s="92" t="n"/>
      <c r="Q377" s="92" t="n"/>
      <c r="R377" s="92" t="n"/>
      <c r="S377" s="92" t="n"/>
      <c r="T377" s="92" t="n"/>
      <c r="U377" s="92" t="n"/>
      <c r="V377" s="92" t="n"/>
      <c r="W377" s="92" t="n"/>
      <c r="X377" s="92" t="n"/>
      <c r="Y377" s="93" t="n"/>
      <c r="Z377" s="93" t="n"/>
      <c r="AA377" s="93" t="n"/>
      <c r="AB377" s="93" t="n"/>
      <c r="AC377" s="93" t="n"/>
      <c r="AD377" s="93" t="n"/>
      <c r="AE377" s="93" t="n"/>
      <c r="AF377" s="93" t="n"/>
      <c r="AG377" s="93" t="n"/>
      <c r="AH377" s="92" t="n"/>
      <c r="AI377" s="92" t="n"/>
    </row>
    <row r="378">
      <c r="A378" s="27" t="n"/>
      <c r="B378" s="28" t="n"/>
      <c r="C378" s="27" t="n"/>
      <c r="D378" s="39" t="n"/>
      <c r="E378" s="29" t="n"/>
      <c r="F378" s="90" t="n"/>
      <c r="G378" s="91" t="n"/>
      <c r="H378" s="57" t="n"/>
      <c r="I378" s="92" t="n"/>
      <c r="J378" s="92" t="n"/>
      <c r="K378" s="92" t="n"/>
      <c r="L378" s="92" t="n"/>
      <c r="M378" s="92" t="n"/>
      <c r="N378" s="92" t="n"/>
      <c r="O378" s="92" t="n"/>
      <c r="P378" s="92" t="n"/>
      <c r="Q378" s="92" t="n"/>
      <c r="R378" s="92" t="n"/>
      <c r="S378" s="92" t="n"/>
      <c r="T378" s="92" t="n"/>
      <c r="U378" s="92" t="n"/>
      <c r="V378" s="92" t="n"/>
      <c r="W378" s="92" t="n"/>
      <c r="X378" s="92" t="n"/>
      <c r="Y378" s="93" t="n"/>
      <c r="Z378" s="93" t="n"/>
      <c r="AA378" s="93" t="n"/>
      <c r="AB378" s="93" t="n"/>
      <c r="AC378" s="93" t="n"/>
      <c r="AD378" s="93" t="n"/>
      <c r="AE378" s="93" t="n"/>
      <c r="AF378" s="93" t="n"/>
      <c r="AG378" s="93" t="n"/>
      <c r="AH378" s="92" t="n"/>
      <c r="AI378" s="92" t="n"/>
    </row>
    <row r="379">
      <c r="A379" s="27" t="n"/>
      <c r="B379" s="28" t="n"/>
      <c r="C379" s="27" t="n"/>
      <c r="D379" s="39" t="n"/>
      <c r="E379" s="29" t="n"/>
      <c r="F379" s="90" t="n"/>
      <c r="G379" s="91" t="n"/>
      <c r="H379" s="57" t="n"/>
      <c r="I379" s="92" t="n"/>
      <c r="J379" s="92" t="n"/>
      <c r="K379" s="92" t="n"/>
      <c r="L379" s="92" t="n"/>
      <c r="M379" s="92" t="n"/>
      <c r="N379" s="92" t="n"/>
      <c r="O379" s="92" t="n"/>
      <c r="P379" s="92" t="n"/>
      <c r="Q379" s="92" t="n"/>
      <c r="R379" s="92" t="n"/>
      <c r="S379" s="92" t="n"/>
      <c r="T379" s="92" t="n"/>
      <c r="U379" s="92" t="n"/>
      <c r="V379" s="92" t="n"/>
      <c r="W379" s="92" t="n"/>
      <c r="X379" s="92" t="n"/>
      <c r="Y379" s="93" t="n"/>
      <c r="Z379" s="93" t="n"/>
      <c r="AA379" s="93" t="n"/>
      <c r="AB379" s="93" t="n"/>
      <c r="AC379" s="93" t="n"/>
      <c r="AD379" s="93" t="n"/>
      <c r="AE379" s="93" t="n"/>
      <c r="AF379" s="93" t="n"/>
      <c r="AG379" s="93" t="n"/>
      <c r="AH379" s="92" t="n"/>
      <c r="AI379" s="92" t="n"/>
    </row>
    <row r="380">
      <c r="A380" s="27" t="n"/>
      <c r="B380" s="28" t="n"/>
      <c r="C380" s="27" t="n"/>
      <c r="D380" s="39" t="n"/>
      <c r="E380" s="29" t="n"/>
      <c r="F380" s="90" t="n"/>
      <c r="G380" s="91" t="n"/>
      <c r="H380" s="57" t="n"/>
      <c r="I380" s="92" t="n"/>
      <c r="J380" s="92" t="n"/>
      <c r="K380" s="92" t="n"/>
      <c r="L380" s="92" t="n"/>
      <c r="M380" s="92" t="n"/>
      <c r="N380" s="92" t="n"/>
      <c r="O380" s="92" t="n"/>
      <c r="P380" s="92" t="n"/>
      <c r="Q380" s="92" t="n"/>
      <c r="R380" s="92" t="n"/>
      <c r="S380" s="92" t="n"/>
      <c r="T380" s="92" t="n"/>
      <c r="U380" s="92" t="n"/>
      <c r="V380" s="92" t="n"/>
      <c r="W380" s="92" t="n"/>
      <c r="X380" s="92" t="n"/>
      <c r="Y380" s="93" t="n"/>
      <c r="Z380" s="93" t="n"/>
      <c r="AA380" s="93" t="n"/>
      <c r="AB380" s="93" t="n"/>
      <c r="AC380" s="93" t="n"/>
      <c r="AD380" s="93" t="n"/>
      <c r="AE380" s="93" t="n"/>
      <c r="AF380" s="93" t="n"/>
      <c r="AG380" s="93" t="n"/>
      <c r="AH380" s="92" t="n"/>
      <c r="AI380" s="92" t="n"/>
    </row>
    <row r="381">
      <c r="A381" s="27" t="n"/>
      <c r="B381" s="28" t="n"/>
      <c r="C381" s="27" t="n"/>
      <c r="D381" s="39" t="n"/>
      <c r="E381" s="29" t="n"/>
      <c r="F381" s="90" t="n"/>
      <c r="G381" s="91" t="n"/>
      <c r="H381" s="57" t="n"/>
      <c r="I381" s="92" t="n"/>
      <c r="J381" s="92" t="n"/>
      <c r="K381" s="92" t="n"/>
      <c r="L381" s="92" t="n"/>
      <c r="M381" s="92" t="n"/>
      <c r="N381" s="92" t="n"/>
      <c r="O381" s="92" t="n"/>
      <c r="P381" s="92" t="n"/>
      <c r="Q381" s="92" t="n"/>
      <c r="R381" s="92" t="n"/>
      <c r="S381" s="92" t="n"/>
      <c r="T381" s="92" t="n"/>
      <c r="U381" s="92" t="n"/>
      <c r="V381" s="92" t="n"/>
      <c r="W381" s="92" t="n"/>
      <c r="X381" s="92" t="n"/>
      <c r="Y381" s="93" t="n"/>
      <c r="Z381" s="93" t="n"/>
      <c r="AA381" s="93" t="n"/>
      <c r="AB381" s="93" t="n"/>
      <c r="AC381" s="93" t="n"/>
      <c r="AD381" s="93" t="n"/>
      <c r="AE381" s="93" t="n"/>
      <c r="AF381" s="93" t="n"/>
      <c r="AG381" s="93" t="n"/>
      <c r="AH381" s="92" t="n"/>
      <c r="AI381" s="92" t="n"/>
    </row>
    <row r="382">
      <c r="A382" s="27" t="n"/>
      <c r="B382" s="28" t="n"/>
      <c r="C382" s="27" t="n"/>
      <c r="D382" s="39" t="n"/>
      <c r="E382" s="29" t="n"/>
      <c r="F382" s="90" t="n"/>
      <c r="G382" s="91" t="n"/>
      <c r="H382" s="57" t="n"/>
      <c r="I382" s="92" t="n"/>
      <c r="J382" s="92" t="n"/>
      <c r="K382" s="92" t="n"/>
      <c r="L382" s="92" t="n"/>
      <c r="M382" s="92" t="n"/>
      <c r="N382" s="92" t="n"/>
      <c r="O382" s="92" t="n"/>
      <c r="P382" s="92" t="n"/>
      <c r="Q382" s="92" t="n"/>
      <c r="R382" s="92" t="n"/>
      <c r="S382" s="92" t="n"/>
      <c r="T382" s="92" t="n"/>
      <c r="U382" s="92" t="n"/>
      <c r="V382" s="92" t="n"/>
      <c r="W382" s="92" t="n"/>
      <c r="X382" s="92" t="n"/>
      <c r="Y382" s="93" t="n"/>
      <c r="Z382" s="93" t="n"/>
      <c r="AA382" s="93" t="n"/>
      <c r="AB382" s="93" t="n"/>
      <c r="AC382" s="93" t="n"/>
      <c r="AD382" s="93" t="n"/>
      <c r="AE382" s="93" t="n"/>
      <c r="AF382" s="93" t="n"/>
      <c r="AG382" s="93" t="n"/>
      <c r="AH382" s="92" t="n"/>
      <c r="AI382" s="92" t="n"/>
    </row>
    <row r="383">
      <c r="A383" s="27" t="n"/>
      <c r="B383" s="28" t="n"/>
      <c r="C383" s="27" t="n"/>
      <c r="D383" s="39" t="n"/>
      <c r="E383" s="29" t="n"/>
      <c r="F383" s="90" t="n"/>
      <c r="G383" s="91" t="n"/>
      <c r="H383" s="57" t="n"/>
      <c r="I383" s="92" t="n"/>
      <c r="J383" s="92" t="n"/>
      <c r="K383" s="92" t="n"/>
      <c r="L383" s="92" t="n"/>
      <c r="M383" s="92" t="n"/>
      <c r="N383" s="92" t="n"/>
      <c r="O383" s="92" t="n"/>
      <c r="P383" s="92" t="n"/>
      <c r="Q383" s="92" t="n"/>
      <c r="R383" s="92" t="n"/>
      <c r="S383" s="92" t="n"/>
      <c r="T383" s="92" t="n"/>
      <c r="U383" s="92" t="n"/>
      <c r="V383" s="92" t="n"/>
      <c r="W383" s="92" t="n"/>
      <c r="X383" s="92" t="n"/>
      <c r="Y383" s="93" t="n"/>
      <c r="Z383" s="93" t="n"/>
      <c r="AA383" s="93" t="n"/>
      <c r="AB383" s="93" t="n"/>
      <c r="AC383" s="93" t="n"/>
      <c r="AD383" s="93" t="n"/>
      <c r="AE383" s="93" t="n"/>
      <c r="AF383" s="93" t="n"/>
      <c r="AG383" s="93" t="n"/>
      <c r="AH383" s="92" t="n"/>
      <c r="AI383" s="92" t="n"/>
    </row>
    <row r="384">
      <c r="A384" s="27" t="n"/>
      <c r="B384" s="28" t="n"/>
      <c r="C384" s="27" t="n"/>
      <c r="D384" s="39" t="n"/>
      <c r="E384" s="29" t="n"/>
      <c r="F384" s="90" t="n"/>
      <c r="G384" s="91" t="n"/>
      <c r="H384" s="57" t="n"/>
      <c r="I384" s="92" t="n"/>
      <c r="J384" s="92" t="n"/>
      <c r="K384" s="92" t="n"/>
      <c r="L384" s="92" t="n"/>
      <c r="M384" s="92" t="n"/>
      <c r="N384" s="92" t="n"/>
      <c r="O384" s="92" t="n"/>
      <c r="P384" s="92" t="n"/>
      <c r="Q384" s="92" t="n"/>
      <c r="R384" s="92" t="n"/>
      <c r="S384" s="92" t="n"/>
      <c r="T384" s="92" t="n"/>
      <c r="U384" s="92" t="n"/>
      <c r="V384" s="92" t="n"/>
      <c r="W384" s="92" t="n"/>
      <c r="X384" s="92" t="n"/>
      <c r="Y384" s="93" t="n"/>
      <c r="Z384" s="93" t="n"/>
      <c r="AA384" s="93" t="n"/>
      <c r="AB384" s="93" t="n"/>
      <c r="AC384" s="93" t="n"/>
      <c r="AD384" s="93" t="n"/>
      <c r="AE384" s="93" t="n"/>
      <c r="AF384" s="93" t="n"/>
      <c r="AG384" s="93" t="n"/>
      <c r="AH384" s="92" t="n"/>
      <c r="AI384" s="92" t="n"/>
    </row>
    <row r="385">
      <c r="A385" s="27" t="n"/>
      <c r="B385" s="28" t="n"/>
      <c r="C385" s="27" t="n"/>
      <c r="D385" s="39" t="n"/>
      <c r="E385" s="29" t="n"/>
      <c r="F385" s="90" t="n"/>
      <c r="G385" s="91" t="n"/>
      <c r="H385" s="57" t="n"/>
      <c r="I385" s="92" t="n"/>
      <c r="J385" s="92" t="n"/>
      <c r="K385" s="92" t="n"/>
      <c r="L385" s="92" t="n"/>
      <c r="M385" s="92" t="n"/>
      <c r="N385" s="92" t="n"/>
      <c r="O385" s="92" t="n"/>
      <c r="P385" s="92" t="n"/>
      <c r="Q385" s="92" t="n"/>
      <c r="R385" s="92" t="n"/>
      <c r="S385" s="92" t="n"/>
      <c r="T385" s="92" t="n"/>
      <c r="U385" s="92" t="n"/>
      <c r="V385" s="92" t="n"/>
      <c r="W385" s="92" t="n"/>
      <c r="X385" s="92" t="n"/>
      <c r="Y385" s="93" t="n"/>
      <c r="Z385" s="93" t="n"/>
      <c r="AA385" s="93" t="n"/>
      <c r="AB385" s="93" t="n"/>
      <c r="AC385" s="93" t="n"/>
      <c r="AD385" s="93" t="n"/>
      <c r="AE385" s="93" t="n"/>
      <c r="AF385" s="93" t="n"/>
      <c r="AG385" s="93" t="n"/>
      <c r="AH385" s="92" t="n"/>
      <c r="AI385" s="92" t="n"/>
    </row>
    <row r="386">
      <c r="A386" s="27" t="n"/>
      <c r="B386" s="28" t="n"/>
      <c r="C386" s="27" t="n"/>
      <c r="D386" s="39" t="n"/>
      <c r="E386" s="29" t="n"/>
      <c r="F386" s="90" t="n"/>
      <c r="G386" s="91" t="n"/>
      <c r="H386" s="57" t="n"/>
      <c r="I386" s="92" t="n"/>
      <c r="J386" s="92" t="n"/>
      <c r="K386" s="92" t="n"/>
      <c r="L386" s="92" t="n"/>
      <c r="M386" s="92" t="n"/>
      <c r="N386" s="92" t="n"/>
      <c r="O386" s="92" t="n"/>
      <c r="P386" s="92" t="n"/>
      <c r="Q386" s="92" t="n"/>
      <c r="R386" s="92" t="n"/>
      <c r="S386" s="92" t="n"/>
      <c r="T386" s="92" t="n"/>
      <c r="U386" s="92" t="n"/>
      <c r="V386" s="92" t="n"/>
      <c r="W386" s="92" t="n"/>
      <c r="X386" s="92" t="n"/>
      <c r="Y386" s="93" t="n"/>
      <c r="Z386" s="93" t="n"/>
      <c r="AA386" s="93" t="n"/>
      <c r="AB386" s="93" t="n"/>
      <c r="AC386" s="93" t="n"/>
      <c r="AD386" s="93" t="n"/>
      <c r="AE386" s="93" t="n"/>
      <c r="AF386" s="93" t="n"/>
      <c r="AG386" s="93" t="n"/>
      <c r="AH386" s="92" t="n"/>
      <c r="AI386" s="92" t="n"/>
    </row>
    <row r="387">
      <c r="A387" s="27" t="n"/>
      <c r="B387" s="28" t="n"/>
      <c r="C387" s="27" t="n"/>
      <c r="D387" s="39" t="n"/>
      <c r="E387" s="29" t="n"/>
      <c r="F387" s="90" t="n"/>
      <c r="G387" s="91" t="n"/>
      <c r="H387" s="57" t="n"/>
      <c r="I387" s="92" t="n"/>
      <c r="J387" s="92" t="n"/>
      <c r="K387" s="92" t="n"/>
      <c r="L387" s="92" t="n"/>
      <c r="M387" s="92" t="n"/>
      <c r="N387" s="92" t="n"/>
      <c r="O387" s="92" t="n"/>
      <c r="P387" s="92" t="n"/>
      <c r="Q387" s="92" t="n"/>
      <c r="R387" s="92" t="n"/>
      <c r="S387" s="92" t="n"/>
      <c r="T387" s="92" t="n"/>
      <c r="U387" s="92" t="n"/>
      <c r="V387" s="92" t="n"/>
      <c r="W387" s="92" t="n"/>
      <c r="X387" s="92" t="n"/>
      <c r="Y387" s="93" t="n"/>
      <c r="Z387" s="93" t="n"/>
      <c r="AA387" s="93" t="n"/>
      <c r="AB387" s="93" t="n"/>
      <c r="AC387" s="93" t="n"/>
      <c r="AD387" s="93" t="n"/>
      <c r="AE387" s="93" t="n"/>
      <c r="AF387" s="93" t="n"/>
      <c r="AG387" s="93" t="n"/>
      <c r="AH387" s="92" t="n"/>
      <c r="AI387" s="92" t="n"/>
    </row>
    <row r="388">
      <c r="A388" s="27" t="n"/>
      <c r="B388" s="28" t="n"/>
      <c r="C388" s="27" t="n"/>
      <c r="D388" s="39" t="n"/>
      <c r="E388" s="29" t="n"/>
      <c r="F388" s="90" t="n"/>
      <c r="G388" s="91" t="n"/>
      <c r="H388" s="57" t="n"/>
      <c r="I388" s="92" t="n"/>
      <c r="J388" s="92" t="n"/>
      <c r="K388" s="92" t="n"/>
      <c r="L388" s="92" t="n"/>
      <c r="M388" s="92" t="n"/>
      <c r="N388" s="92" t="n"/>
      <c r="O388" s="92" t="n"/>
      <c r="P388" s="92" t="n"/>
      <c r="Q388" s="92" t="n"/>
      <c r="R388" s="92" t="n"/>
      <c r="S388" s="92" t="n"/>
      <c r="T388" s="92" t="n"/>
      <c r="U388" s="92" t="n"/>
      <c r="V388" s="92" t="n"/>
      <c r="W388" s="92" t="n"/>
      <c r="X388" s="92" t="n"/>
      <c r="Y388" s="93" t="n"/>
      <c r="Z388" s="93" t="n"/>
      <c r="AA388" s="93" t="n"/>
      <c r="AB388" s="93" t="n"/>
      <c r="AC388" s="93" t="n"/>
      <c r="AD388" s="93" t="n"/>
      <c r="AE388" s="93" t="n"/>
      <c r="AF388" s="93" t="n"/>
      <c r="AG388" s="93" t="n"/>
      <c r="AH388" s="92" t="n"/>
      <c r="AI388" s="92" t="n"/>
    </row>
    <row r="389">
      <c r="A389" s="27" t="n"/>
      <c r="B389" s="28" t="n"/>
      <c r="C389" s="27" t="n"/>
      <c r="D389" s="39" t="n"/>
      <c r="E389" s="29" t="n"/>
      <c r="F389" s="90" t="n"/>
      <c r="G389" s="91" t="n"/>
      <c r="H389" s="57" t="n"/>
      <c r="I389" s="92" t="n"/>
      <c r="J389" s="92" t="n"/>
      <c r="K389" s="92" t="n"/>
      <c r="L389" s="92" t="n"/>
      <c r="M389" s="92" t="n"/>
      <c r="N389" s="92" t="n"/>
      <c r="O389" s="92" t="n"/>
      <c r="P389" s="92" t="n"/>
      <c r="Q389" s="92" t="n"/>
      <c r="R389" s="92" t="n"/>
      <c r="S389" s="92" t="n"/>
      <c r="T389" s="92" t="n"/>
      <c r="U389" s="92" t="n"/>
      <c r="V389" s="92" t="n"/>
      <c r="W389" s="92" t="n"/>
      <c r="X389" s="92" t="n"/>
      <c r="Y389" s="93" t="n"/>
      <c r="Z389" s="93" t="n"/>
      <c r="AA389" s="93" t="n"/>
      <c r="AB389" s="93" t="n"/>
      <c r="AC389" s="93" t="n"/>
      <c r="AD389" s="93" t="n"/>
      <c r="AE389" s="93" t="n"/>
      <c r="AF389" s="93" t="n"/>
      <c r="AG389" s="93" t="n"/>
      <c r="AH389" s="92" t="n"/>
      <c r="AI389" s="92" t="n"/>
    </row>
    <row r="390">
      <c r="A390" s="27" t="n"/>
      <c r="B390" s="28" t="n"/>
      <c r="C390" s="27" t="n"/>
      <c r="D390" s="39" t="n"/>
      <c r="E390" s="29" t="n"/>
      <c r="F390" s="90" t="n"/>
      <c r="G390" s="91" t="n"/>
      <c r="H390" s="57" t="n"/>
      <c r="I390" s="92" t="n"/>
      <c r="J390" s="92" t="n"/>
      <c r="K390" s="92" t="n"/>
      <c r="L390" s="92" t="n"/>
      <c r="M390" s="92" t="n"/>
      <c r="N390" s="92" t="n"/>
      <c r="O390" s="92" t="n"/>
      <c r="P390" s="92" t="n"/>
      <c r="Q390" s="92" t="n"/>
      <c r="R390" s="92" t="n"/>
      <c r="S390" s="92" t="n"/>
      <c r="T390" s="92" t="n"/>
      <c r="U390" s="92" t="n"/>
      <c r="V390" s="92" t="n"/>
      <c r="W390" s="92" t="n"/>
      <c r="X390" s="92" t="n"/>
      <c r="Y390" s="93" t="n"/>
      <c r="Z390" s="93" t="n"/>
      <c r="AA390" s="93" t="n"/>
      <c r="AB390" s="93" t="n"/>
      <c r="AC390" s="93" t="n"/>
      <c r="AD390" s="93" t="n"/>
      <c r="AE390" s="93" t="n"/>
      <c r="AF390" s="93" t="n"/>
      <c r="AG390" s="93" t="n"/>
      <c r="AH390" s="92" t="n"/>
      <c r="AI390" s="92" t="n"/>
    </row>
    <row r="391">
      <c r="A391" s="27" t="n"/>
      <c r="B391" s="28" t="n"/>
      <c r="C391" s="27" t="n"/>
      <c r="D391" s="39" t="n"/>
      <c r="E391" s="29" t="n"/>
      <c r="F391" s="90" t="n"/>
      <c r="G391" s="91" t="n"/>
      <c r="H391" s="57" t="n"/>
      <c r="I391" s="92" t="n"/>
      <c r="J391" s="92" t="n"/>
      <c r="K391" s="92" t="n"/>
      <c r="L391" s="92" t="n"/>
      <c r="M391" s="92" t="n"/>
      <c r="N391" s="92" t="n"/>
      <c r="O391" s="92" t="n"/>
      <c r="P391" s="92" t="n"/>
      <c r="Q391" s="92" t="n"/>
      <c r="R391" s="92" t="n"/>
      <c r="S391" s="92" t="n"/>
      <c r="T391" s="92" t="n"/>
      <c r="U391" s="92" t="n"/>
      <c r="V391" s="92" t="n"/>
      <c r="W391" s="92" t="n"/>
      <c r="X391" s="92" t="n"/>
      <c r="Y391" s="93" t="n"/>
      <c r="Z391" s="93" t="n"/>
      <c r="AA391" s="93" t="n"/>
      <c r="AB391" s="93" t="n"/>
      <c r="AC391" s="93" t="n"/>
      <c r="AD391" s="93" t="n"/>
      <c r="AE391" s="93" t="n"/>
      <c r="AF391" s="93" t="n"/>
      <c r="AG391" s="93" t="n"/>
      <c r="AH391" s="92" t="n"/>
      <c r="AI391" s="92" t="n"/>
    </row>
    <row r="392">
      <c r="A392" s="27" t="n"/>
      <c r="B392" s="28" t="n"/>
      <c r="C392" s="27" t="n"/>
      <c r="D392" s="39" t="n"/>
      <c r="E392" s="29" t="n"/>
      <c r="F392" s="90" t="n"/>
      <c r="G392" s="91" t="n"/>
      <c r="H392" s="57" t="n"/>
      <c r="I392" s="92" t="n"/>
      <c r="J392" s="92" t="n"/>
      <c r="K392" s="92" t="n"/>
      <c r="L392" s="92" t="n"/>
      <c r="M392" s="92" t="n"/>
      <c r="N392" s="92" t="n"/>
      <c r="O392" s="92" t="n"/>
      <c r="P392" s="92" t="n"/>
      <c r="Q392" s="92" t="n"/>
      <c r="R392" s="92" t="n"/>
      <c r="S392" s="92" t="n"/>
      <c r="T392" s="92" t="n"/>
      <c r="U392" s="92" t="n"/>
      <c r="V392" s="92" t="n"/>
      <c r="W392" s="92" t="n"/>
      <c r="X392" s="92" t="n"/>
      <c r="Y392" s="93" t="n"/>
      <c r="Z392" s="93" t="n"/>
      <c r="AA392" s="93" t="n"/>
      <c r="AB392" s="93" t="n"/>
      <c r="AC392" s="93" t="n"/>
      <c r="AD392" s="93" t="n"/>
      <c r="AE392" s="93" t="n"/>
      <c r="AF392" s="93" t="n"/>
      <c r="AG392" s="93" t="n"/>
      <c r="AH392" s="92" t="n"/>
      <c r="AI392" s="92" t="n"/>
    </row>
    <row r="393">
      <c r="A393" s="27" t="n"/>
      <c r="B393" s="28" t="n"/>
      <c r="C393" s="27" t="n"/>
      <c r="D393" s="39" t="n"/>
      <c r="E393" s="29" t="n"/>
      <c r="F393" s="90" t="n"/>
      <c r="G393" s="91" t="n"/>
      <c r="H393" s="57" t="n"/>
      <c r="I393" s="92" t="n"/>
      <c r="J393" s="92" t="n"/>
      <c r="K393" s="92" t="n"/>
      <c r="L393" s="92" t="n"/>
      <c r="M393" s="92" t="n"/>
      <c r="N393" s="92" t="n"/>
      <c r="O393" s="92" t="n"/>
      <c r="P393" s="92" t="n"/>
      <c r="Q393" s="92" t="n"/>
      <c r="R393" s="92" t="n"/>
      <c r="S393" s="92" t="n"/>
      <c r="T393" s="92" t="n"/>
      <c r="U393" s="92" t="n"/>
      <c r="V393" s="92" t="n"/>
      <c r="W393" s="92" t="n"/>
      <c r="X393" s="92" t="n"/>
      <c r="Y393" s="93" t="n"/>
      <c r="Z393" s="93" t="n"/>
      <c r="AA393" s="93" t="n"/>
      <c r="AB393" s="93" t="n"/>
      <c r="AC393" s="93" t="n"/>
      <c r="AD393" s="93" t="n"/>
      <c r="AE393" s="93" t="n"/>
      <c r="AF393" s="93" t="n"/>
      <c r="AG393" s="93" t="n"/>
      <c r="AH393" s="92" t="n"/>
      <c r="AI393" s="92" t="n"/>
    </row>
    <row r="394">
      <c r="A394" s="27" t="n"/>
      <c r="B394" s="28" t="n"/>
      <c r="C394" s="27" t="n"/>
      <c r="D394" s="39" t="n"/>
      <c r="E394" s="29" t="n"/>
      <c r="F394" s="90" t="n"/>
      <c r="G394" s="91" t="n"/>
      <c r="H394" s="57" t="n"/>
      <c r="I394" s="92" t="n"/>
      <c r="J394" s="92" t="n"/>
      <c r="K394" s="92" t="n"/>
      <c r="L394" s="92" t="n"/>
      <c r="M394" s="92" t="n"/>
      <c r="N394" s="92" t="n"/>
      <c r="O394" s="92" t="n"/>
      <c r="P394" s="92" t="n"/>
      <c r="Q394" s="92" t="n"/>
      <c r="R394" s="92" t="n"/>
      <c r="S394" s="92" t="n"/>
      <c r="T394" s="92" t="n"/>
      <c r="U394" s="92" t="n"/>
      <c r="V394" s="92" t="n"/>
      <c r="W394" s="92" t="n"/>
      <c r="X394" s="92" t="n"/>
      <c r="Y394" s="93" t="n"/>
      <c r="Z394" s="93" t="n"/>
      <c r="AA394" s="93" t="n"/>
      <c r="AB394" s="93" t="n"/>
      <c r="AC394" s="93" t="n"/>
      <c r="AD394" s="93" t="n"/>
      <c r="AE394" s="93" t="n"/>
      <c r="AF394" s="93" t="n"/>
      <c r="AG394" s="93" t="n"/>
      <c r="AH394" s="92" t="n"/>
      <c r="AI394" s="92" t="n"/>
    </row>
    <row r="395">
      <c r="A395" s="27" t="n"/>
      <c r="B395" s="28" t="n"/>
      <c r="C395" s="27" t="n"/>
      <c r="D395" s="39" t="n"/>
      <c r="E395" s="29" t="n"/>
      <c r="F395" s="90" t="n"/>
      <c r="G395" s="91" t="n"/>
      <c r="H395" s="57" t="n"/>
      <c r="I395" s="92" t="n"/>
      <c r="J395" s="92" t="n"/>
      <c r="K395" s="92" t="n"/>
      <c r="L395" s="92" t="n"/>
      <c r="M395" s="92" t="n"/>
      <c r="N395" s="92" t="n"/>
      <c r="O395" s="92" t="n"/>
      <c r="P395" s="92" t="n"/>
      <c r="Q395" s="92" t="n"/>
      <c r="R395" s="92" t="n"/>
      <c r="S395" s="92" t="n"/>
      <c r="T395" s="92" t="n"/>
      <c r="U395" s="92" t="n"/>
      <c r="V395" s="92" t="n"/>
      <c r="W395" s="92" t="n"/>
      <c r="X395" s="92" t="n"/>
      <c r="Y395" s="93" t="n"/>
      <c r="Z395" s="93" t="n"/>
      <c r="AA395" s="93" t="n"/>
      <c r="AB395" s="93" t="n"/>
      <c r="AC395" s="93" t="n"/>
      <c r="AD395" s="93" t="n"/>
      <c r="AE395" s="93" t="n"/>
      <c r="AF395" s="93" t="n"/>
      <c r="AG395" s="93" t="n"/>
      <c r="AH395" s="92" t="n"/>
      <c r="AI395" s="92" t="n"/>
    </row>
    <row r="396">
      <c r="A396" s="27" t="n"/>
      <c r="B396" s="28" t="n"/>
      <c r="C396" s="27" t="n"/>
      <c r="D396" s="39" t="n"/>
      <c r="E396" s="29" t="n"/>
      <c r="F396" s="90" t="n"/>
      <c r="G396" s="91" t="n"/>
      <c r="H396" s="57" t="n"/>
      <c r="I396" s="92" t="n"/>
      <c r="J396" s="92" t="n"/>
      <c r="K396" s="92" t="n"/>
      <c r="L396" s="92" t="n"/>
      <c r="M396" s="92" t="n"/>
      <c r="N396" s="92" t="n"/>
      <c r="O396" s="92" t="n"/>
      <c r="P396" s="92" t="n"/>
      <c r="Q396" s="92" t="n"/>
      <c r="R396" s="92" t="n"/>
      <c r="S396" s="92" t="n"/>
      <c r="T396" s="92" t="n"/>
      <c r="U396" s="92" t="n"/>
      <c r="V396" s="92" t="n"/>
      <c r="W396" s="92" t="n"/>
      <c r="X396" s="92" t="n"/>
      <c r="Y396" s="93" t="n"/>
      <c r="Z396" s="93" t="n"/>
      <c r="AA396" s="93" t="n"/>
      <c r="AB396" s="93" t="n"/>
      <c r="AC396" s="93" t="n"/>
      <c r="AD396" s="93" t="n"/>
      <c r="AE396" s="93" t="n"/>
      <c r="AF396" s="93" t="n"/>
      <c r="AG396" s="93" t="n"/>
      <c r="AH396" s="92" t="n"/>
      <c r="AI396" s="92" t="n"/>
    </row>
    <row r="397">
      <c r="A397" s="27" t="n"/>
      <c r="B397" s="28" t="n"/>
      <c r="C397" s="27" t="n"/>
      <c r="D397" s="39" t="n"/>
      <c r="E397" s="29" t="n"/>
      <c r="F397" s="90" t="n"/>
      <c r="G397" s="91" t="n"/>
      <c r="H397" s="57" t="n"/>
      <c r="I397" s="92" t="n"/>
      <c r="J397" s="92" t="n"/>
      <c r="K397" s="92" t="n"/>
      <c r="L397" s="92" t="n"/>
      <c r="M397" s="92" t="n"/>
      <c r="N397" s="92" t="n"/>
      <c r="O397" s="92" t="n"/>
      <c r="P397" s="92" t="n"/>
      <c r="Q397" s="92" t="n"/>
      <c r="R397" s="92" t="n"/>
      <c r="S397" s="92" t="n"/>
      <c r="T397" s="92" t="n"/>
      <c r="U397" s="92" t="n"/>
      <c r="V397" s="92" t="n"/>
      <c r="W397" s="92" t="n"/>
      <c r="X397" s="92" t="n"/>
      <c r="Y397" s="93" t="n"/>
      <c r="Z397" s="93" t="n"/>
      <c r="AA397" s="93" t="n"/>
      <c r="AB397" s="93" t="n"/>
      <c r="AC397" s="93" t="n"/>
      <c r="AD397" s="93" t="n"/>
      <c r="AE397" s="93" t="n"/>
      <c r="AF397" s="93" t="n"/>
      <c r="AG397" s="93" t="n"/>
      <c r="AH397" s="92" t="n"/>
      <c r="AI397" s="92" t="n"/>
    </row>
    <row r="398">
      <c r="A398" s="27" t="n"/>
      <c r="B398" s="28" t="n"/>
      <c r="C398" s="27" t="n"/>
      <c r="D398" s="39" t="n"/>
      <c r="E398" s="29" t="n"/>
      <c r="F398" s="90" t="n"/>
      <c r="G398" s="91" t="n"/>
      <c r="H398" s="57" t="n"/>
      <c r="I398" s="92" t="n"/>
      <c r="J398" s="92" t="n"/>
      <c r="K398" s="92" t="n"/>
      <c r="L398" s="92" t="n"/>
      <c r="M398" s="92" t="n"/>
      <c r="N398" s="92" t="n"/>
      <c r="O398" s="92" t="n"/>
      <c r="P398" s="92" t="n"/>
      <c r="Q398" s="92" t="n"/>
      <c r="R398" s="92" t="n"/>
      <c r="S398" s="92" t="n"/>
      <c r="T398" s="92" t="n"/>
      <c r="U398" s="92" t="n"/>
      <c r="V398" s="92" t="n"/>
      <c r="W398" s="92" t="n"/>
      <c r="X398" s="92" t="n"/>
      <c r="Y398" s="93" t="n"/>
      <c r="Z398" s="93" t="n"/>
      <c r="AA398" s="93" t="n"/>
      <c r="AB398" s="93" t="n"/>
      <c r="AC398" s="93" t="n"/>
      <c r="AD398" s="93" t="n"/>
      <c r="AE398" s="93" t="n"/>
      <c r="AF398" s="93" t="n"/>
      <c r="AG398" s="93" t="n"/>
      <c r="AH398" s="92" t="n"/>
      <c r="AI398" s="92" t="n"/>
    </row>
    <row r="399">
      <c r="A399" s="27" t="n"/>
      <c r="B399" s="28" t="n"/>
      <c r="C399" s="27" t="n"/>
      <c r="D399" s="39" t="n"/>
      <c r="E399" s="29" t="n"/>
      <c r="F399" s="90" t="n"/>
      <c r="G399" s="91" t="n"/>
      <c r="H399" s="57" t="n"/>
      <c r="I399" s="92" t="n"/>
      <c r="J399" s="92" t="n"/>
      <c r="K399" s="92" t="n"/>
      <c r="L399" s="92" t="n"/>
      <c r="M399" s="92" t="n"/>
      <c r="N399" s="92" t="n"/>
      <c r="O399" s="92" t="n"/>
      <c r="P399" s="92" t="n"/>
      <c r="Q399" s="92" t="n"/>
      <c r="R399" s="92" t="n"/>
      <c r="S399" s="92" t="n"/>
      <c r="T399" s="92" t="n"/>
      <c r="U399" s="92" t="n"/>
      <c r="V399" s="92" t="n"/>
      <c r="W399" s="92" t="n"/>
      <c r="X399" s="92" t="n"/>
      <c r="Y399" s="93" t="n"/>
      <c r="Z399" s="93" t="n"/>
      <c r="AA399" s="93" t="n"/>
      <c r="AB399" s="93" t="n"/>
      <c r="AC399" s="93" t="n"/>
      <c r="AD399" s="93" t="n"/>
      <c r="AE399" s="93" t="n"/>
      <c r="AF399" s="93" t="n"/>
      <c r="AG399" s="93" t="n"/>
      <c r="AH399" s="92" t="n"/>
      <c r="AI399" s="92" t="n"/>
    </row>
    <row r="400">
      <c r="A400" s="27" t="n"/>
      <c r="B400" s="28" t="n"/>
      <c r="C400" s="27" t="n"/>
      <c r="D400" s="39" t="n"/>
      <c r="E400" s="29" t="n"/>
      <c r="F400" s="90" t="n"/>
      <c r="G400" s="91" t="n"/>
      <c r="H400" s="57" t="n"/>
      <c r="I400" s="92" t="n"/>
      <c r="J400" s="92" t="n"/>
      <c r="K400" s="92" t="n"/>
      <c r="L400" s="92" t="n"/>
      <c r="M400" s="92" t="n"/>
      <c r="N400" s="92" t="n"/>
      <c r="O400" s="92" t="n"/>
      <c r="P400" s="92" t="n"/>
      <c r="Q400" s="92" t="n"/>
      <c r="R400" s="92" t="n"/>
      <c r="S400" s="92" t="n"/>
      <c r="T400" s="92" t="n"/>
      <c r="U400" s="92" t="n"/>
      <c r="V400" s="92" t="n"/>
      <c r="W400" s="92" t="n"/>
      <c r="X400" s="92" t="n"/>
      <c r="Y400" s="93" t="n"/>
      <c r="Z400" s="93" t="n"/>
      <c r="AA400" s="93" t="n"/>
      <c r="AB400" s="93" t="n"/>
      <c r="AC400" s="93" t="n"/>
      <c r="AD400" s="93" t="n"/>
      <c r="AE400" s="93" t="n"/>
      <c r="AF400" s="93" t="n"/>
      <c r="AG400" s="93" t="n"/>
      <c r="AH400" s="92" t="n"/>
      <c r="AI400" s="92" t="n"/>
    </row>
    <row r="401">
      <c r="A401" s="27" t="n"/>
      <c r="B401" s="28" t="n"/>
      <c r="C401" s="27" t="n"/>
      <c r="D401" s="39" t="n"/>
      <c r="E401" s="29" t="n"/>
      <c r="F401" s="90" t="n"/>
      <c r="G401" s="91" t="n"/>
      <c r="H401" s="57" t="n"/>
      <c r="I401" s="92" t="n"/>
      <c r="J401" s="92" t="n"/>
      <c r="K401" s="92" t="n"/>
      <c r="L401" s="92" t="n"/>
      <c r="M401" s="92" t="n"/>
      <c r="N401" s="92" t="n"/>
      <c r="O401" s="92" t="n"/>
      <c r="P401" s="92" t="n"/>
      <c r="Q401" s="92" t="n"/>
      <c r="R401" s="92" t="n"/>
      <c r="S401" s="92" t="n"/>
      <c r="T401" s="92" t="n"/>
      <c r="U401" s="92" t="n"/>
      <c r="V401" s="92" t="n"/>
      <c r="W401" s="92" t="n"/>
      <c r="X401" s="92" t="n"/>
      <c r="Y401" s="93" t="n"/>
      <c r="Z401" s="93" t="n"/>
      <c r="AA401" s="93" t="n"/>
      <c r="AB401" s="93" t="n"/>
      <c r="AC401" s="93" t="n"/>
      <c r="AD401" s="93" t="n"/>
      <c r="AE401" s="93" t="n"/>
      <c r="AF401" s="93" t="n"/>
      <c r="AG401" s="93" t="n"/>
      <c r="AH401" s="92" t="n"/>
      <c r="AI401" s="92" t="n"/>
    </row>
    <row r="402">
      <c r="A402" s="27" t="n"/>
      <c r="B402" s="28" t="n"/>
      <c r="C402" s="27" t="n"/>
      <c r="D402" s="39" t="n"/>
      <c r="E402" s="29" t="n"/>
      <c r="F402" s="90" t="n"/>
      <c r="G402" s="91" t="n"/>
      <c r="H402" s="57" t="n"/>
      <c r="I402" s="92" t="n"/>
      <c r="J402" s="92" t="n"/>
      <c r="K402" s="92" t="n"/>
      <c r="L402" s="92" t="n"/>
      <c r="M402" s="92" t="n"/>
      <c r="N402" s="92" t="n"/>
      <c r="O402" s="92" t="n"/>
      <c r="P402" s="92" t="n"/>
      <c r="Q402" s="92" t="n"/>
      <c r="R402" s="92" t="n"/>
      <c r="S402" s="92" t="n"/>
      <c r="T402" s="92" t="n"/>
      <c r="U402" s="92" t="n"/>
      <c r="V402" s="92" t="n"/>
      <c r="W402" s="92" t="n"/>
      <c r="X402" s="92" t="n"/>
      <c r="Y402" s="93" t="n"/>
      <c r="Z402" s="93" t="n"/>
      <c r="AA402" s="93" t="n"/>
      <c r="AB402" s="93" t="n"/>
      <c r="AC402" s="93" t="n"/>
      <c r="AD402" s="93" t="n"/>
      <c r="AE402" s="93" t="n"/>
      <c r="AF402" s="93" t="n"/>
      <c r="AG402" s="93" t="n"/>
      <c r="AH402" s="92" t="n"/>
      <c r="AI402" s="92" t="n"/>
    </row>
    <row r="403">
      <c r="A403" s="27" t="n"/>
      <c r="B403" s="28" t="n"/>
      <c r="C403" s="27" t="n"/>
      <c r="D403" s="39" t="n"/>
      <c r="E403" s="29" t="n"/>
      <c r="F403" s="90" t="n"/>
      <c r="G403" s="91" t="n"/>
      <c r="H403" s="57" t="n"/>
      <c r="I403" s="92" t="n"/>
      <c r="J403" s="92" t="n"/>
      <c r="K403" s="92" t="n"/>
      <c r="L403" s="92" t="n"/>
      <c r="M403" s="92" t="n"/>
      <c r="N403" s="92" t="n"/>
      <c r="O403" s="92" t="n"/>
      <c r="P403" s="92" t="n"/>
      <c r="Q403" s="92" t="n"/>
      <c r="R403" s="92" t="n"/>
      <c r="S403" s="92" t="n"/>
      <c r="T403" s="92" t="n"/>
      <c r="U403" s="92" t="n"/>
      <c r="V403" s="92" t="n"/>
      <c r="W403" s="92" t="n"/>
      <c r="X403" s="92" t="n"/>
      <c r="Y403" s="93" t="n"/>
      <c r="Z403" s="93" t="n"/>
      <c r="AA403" s="93" t="n"/>
      <c r="AB403" s="93" t="n"/>
      <c r="AC403" s="93" t="n"/>
      <c r="AD403" s="93" t="n"/>
      <c r="AE403" s="93" t="n"/>
      <c r="AF403" s="93" t="n"/>
      <c r="AG403" s="93" t="n"/>
      <c r="AH403" s="92" t="n"/>
      <c r="AI403" s="92" t="n"/>
    </row>
    <row r="404">
      <c r="A404" s="27" t="n"/>
      <c r="B404" s="28" t="n"/>
      <c r="C404" s="27" t="n"/>
      <c r="D404" s="39" t="n"/>
      <c r="E404" s="29" t="n"/>
      <c r="F404" s="90" t="n"/>
      <c r="G404" s="91" t="n"/>
      <c r="H404" s="57" t="n"/>
      <c r="I404" s="92" t="n"/>
      <c r="J404" s="92" t="n"/>
      <c r="K404" s="92" t="n"/>
      <c r="L404" s="92" t="n"/>
      <c r="M404" s="92" t="n"/>
      <c r="N404" s="92" t="n"/>
      <c r="O404" s="92" t="n"/>
      <c r="P404" s="92" t="n"/>
      <c r="Q404" s="92" t="n"/>
      <c r="R404" s="92" t="n"/>
      <c r="S404" s="92" t="n"/>
      <c r="T404" s="92" t="n"/>
      <c r="U404" s="92" t="n"/>
      <c r="V404" s="92" t="n"/>
      <c r="W404" s="92" t="n"/>
      <c r="X404" s="92" t="n"/>
      <c r="Y404" s="93" t="n"/>
      <c r="Z404" s="93" t="n"/>
      <c r="AA404" s="93" t="n"/>
      <c r="AB404" s="93" t="n"/>
      <c r="AC404" s="93" t="n"/>
      <c r="AD404" s="93" t="n"/>
      <c r="AE404" s="93" t="n"/>
      <c r="AF404" s="93" t="n"/>
      <c r="AG404" s="93" t="n"/>
      <c r="AH404" s="92" t="n"/>
      <c r="AI404" s="92" t="n"/>
    </row>
    <row r="405">
      <c r="A405" s="27" t="n"/>
      <c r="B405" s="28" t="n"/>
      <c r="C405" s="27" t="n"/>
      <c r="D405" s="39" t="n"/>
      <c r="E405" s="29" t="n"/>
      <c r="F405" s="90" t="n"/>
      <c r="G405" s="91" t="n"/>
      <c r="H405" s="57" t="n"/>
      <c r="I405" s="92" t="n"/>
      <c r="J405" s="92" t="n"/>
      <c r="K405" s="92" t="n"/>
      <c r="L405" s="92" t="n"/>
      <c r="M405" s="92" t="n"/>
      <c r="N405" s="92" t="n"/>
      <c r="O405" s="92" t="n"/>
      <c r="P405" s="92" t="n"/>
      <c r="Q405" s="92" t="n"/>
      <c r="R405" s="92" t="n"/>
      <c r="S405" s="92" t="n"/>
      <c r="T405" s="92" t="n"/>
      <c r="U405" s="92" t="n"/>
      <c r="V405" s="92" t="n"/>
      <c r="W405" s="92" t="n"/>
      <c r="X405" s="92" t="n"/>
      <c r="Y405" s="93" t="n"/>
      <c r="Z405" s="93" t="n"/>
      <c r="AA405" s="93" t="n"/>
      <c r="AB405" s="93" t="n"/>
      <c r="AC405" s="93" t="n"/>
      <c r="AD405" s="93" t="n"/>
      <c r="AE405" s="93" t="n"/>
      <c r="AF405" s="93" t="n"/>
      <c r="AG405" s="93" t="n"/>
      <c r="AH405" s="92" t="n"/>
      <c r="AI405" s="92" t="n"/>
    </row>
    <row r="406">
      <c r="A406" s="27" t="n"/>
      <c r="B406" s="28" t="n"/>
      <c r="C406" s="27" t="n"/>
      <c r="D406" s="39" t="n"/>
      <c r="E406" s="29" t="n"/>
      <c r="F406" s="90" t="n"/>
      <c r="G406" s="91" t="n"/>
      <c r="H406" s="57" t="n"/>
      <c r="I406" s="92" t="n"/>
      <c r="J406" s="92" t="n"/>
      <c r="K406" s="92" t="n"/>
      <c r="L406" s="92" t="n"/>
      <c r="M406" s="92" t="n"/>
      <c r="N406" s="92" t="n"/>
      <c r="O406" s="92" t="n"/>
      <c r="P406" s="92" t="n"/>
      <c r="Q406" s="92" t="n"/>
      <c r="R406" s="92" t="n"/>
      <c r="S406" s="92" t="n"/>
      <c r="T406" s="92" t="n"/>
      <c r="U406" s="92" t="n"/>
      <c r="V406" s="92" t="n"/>
      <c r="W406" s="92" t="n"/>
      <c r="X406" s="92" t="n"/>
      <c r="Y406" s="93" t="n"/>
      <c r="Z406" s="93" t="n"/>
      <c r="AA406" s="93" t="n"/>
      <c r="AB406" s="93" t="n"/>
      <c r="AC406" s="93" t="n"/>
      <c r="AD406" s="93" t="n"/>
      <c r="AE406" s="93" t="n"/>
      <c r="AF406" s="93" t="n"/>
      <c r="AG406" s="93" t="n"/>
      <c r="AH406" s="92" t="n"/>
      <c r="AI406" s="92" t="n"/>
    </row>
    <row r="407">
      <c r="A407" s="27" t="n"/>
      <c r="B407" s="28" t="n"/>
      <c r="C407" s="27" t="n"/>
      <c r="D407" s="39" t="n"/>
      <c r="E407" s="29" t="n"/>
      <c r="F407" s="90" t="n"/>
      <c r="G407" s="91" t="n"/>
      <c r="H407" s="57" t="n"/>
      <c r="I407" s="92" t="n"/>
      <c r="J407" s="92" t="n"/>
      <c r="K407" s="92" t="n"/>
      <c r="L407" s="92" t="n"/>
      <c r="M407" s="92" t="n"/>
      <c r="N407" s="92" t="n"/>
      <c r="O407" s="92" t="n"/>
      <c r="P407" s="92" t="n"/>
      <c r="Q407" s="92" t="n"/>
      <c r="R407" s="92" t="n"/>
      <c r="S407" s="92" t="n"/>
      <c r="T407" s="92" t="n"/>
      <c r="U407" s="92" t="n"/>
      <c r="V407" s="92" t="n"/>
      <c r="W407" s="92" t="n"/>
      <c r="X407" s="92" t="n"/>
      <c r="Y407" s="93" t="n"/>
      <c r="Z407" s="93" t="n"/>
      <c r="AA407" s="93" t="n"/>
      <c r="AB407" s="93" t="n"/>
      <c r="AC407" s="93" t="n"/>
      <c r="AD407" s="93" t="n"/>
      <c r="AE407" s="93" t="n"/>
      <c r="AF407" s="93" t="n"/>
      <c r="AG407" s="93" t="n"/>
      <c r="AH407" s="92" t="n"/>
      <c r="AI407" s="92" t="n"/>
    </row>
    <row r="408">
      <c r="A408" s="27" t="n"/>
      <c r="B408" s="28" t="n"/>
      <c r="C408" s="27" t="n"/>
      <c r="D408" s="39" t="n"/>
      <c r="E408" s="29" t="n"/>
      <c r="F408" s="90" t="n"/>
      <c r="G408" s="91" t="n"/>
      <c r="H408" s="57" t="n"/>
      <c r="I408" s="92" t="n"/>
      <c r="J408" s="92" t="n"/>
      <c r="K408" s="92" t="n"/>
      <c r="L408" s="92" t="n"/>
      <c r="M408" s="92" t="n"/>
      <c r="N408" s="92" t="n"/>
      <c r="O408" s="92" t="n"/>
      <c r="P408" s="92" t="n"/>
      <c r="Q408" s="92" t="n"/>
      <c r="R408" s="92" t="n"/>
      <c r="S408" s="92" t="n"/>
      <c r="T408" s="92" t="n"/>
      <c r="U408" s="92" t="n"/>
      <c r="V408" s="92" t="n"/>
      <c r="W408" s="92" t="n"/>
      <c r="X408" s="92" t="n"/>
      <c r="Y408" s="93" t="n"/>
      <c r="Z408" s="93" t="n"/>
      <c r="AA408" s="93" t="n"/>
      <c r="AB408" s="93" t="n"/>
      <c r="AC408" s="93" t="n"/>
      <c r="AD408" s="93" t="n"/>
      <c r="AE408" s="93" t="n"/>
      <c r="AF408" s="93" t="n"/>
      <c r="AG408" s="93" t="n"/>
      <c r="AH408" s="92" t="n"/>
      <c r="AI408" s="92" t="n"/>
    </row>
    <row r="409">
      <c r="A409" s="27" t="n"/>
      <c r="B409" s="28" t="n"/>
      <c r="C409" s="27" t="n"/>
      <c r="D409" s="39" t="n"/>
      <c r="E409" s="29" t="n"/>
      <c r="F409" s="90" t="n"/>
      <c r="G409" s="91" t="n"/>
      <c r="H409" s="57" t="n"/>
      <c r="I409" s="92" t="n"/>
      <c r="J409" s="92" t="n"/>
      <c r="K409" s="92" t="n"/>
      <c r="L409" s="92" t="n"/>
      <c r="M409" s="92" t="n"/>
      <c r="N409" s="92" t="n"/>
      <c r="O409" s="92" t="n"/>
      <c r="P409" s="92" t="n"/>
      <c r="Q409" s="92" t="n"/>
      <c r="R409" s="92" t="n"/>
      <c r="S409" s="92" t="n"/>
      <c r="T409" s="92" t="n"/>
      <c r="U409" s="92" t="n"/>
      <c r="V409" s="92" t="n"/>
      <c r="W409" s="92" t="n"/>
      <c r="X409" s="92" t="n"/>
      <c r="Y409" s="93" t="n"/>
      <c r="Z409" s="93" t="n"/>
      <c r="AA409" s="93" t="n"/>
      <c r="AB409" s="93" t="n"/>
      <c r="AC409" s="93" t="n"/>
      <c r="AD409" s="93" t="n"/>
      <c r="AE409" s="93" t="n"/>
      <c r="AF409" s="93" t="n"/>
      <c r="AG409" s="93" t="n"/>
      <c r="AH409" s="92" t="n"/>
      <c r="AI409" s="92" t="n"/>
    </row>
    <row r="410">
      <c r="A410" s="27" t="n"/>
      <c r="B410" s="28" t="n"/>
      <c r="C410" s="27" t="n"/>
      <c r="D410" s="39" t="n"/>
      <c r="E410" s="29" t="n"/>
      <c r="F410" s="90" t="n"/>
      <c r="G410" s="91" t="n"/>
      <c r="H410" s="57" t="n"/>
      <c r="I410" s="92" t="n"/>
      <c r="J410" s="92" t="n"/>
      <c r="K410" s="92" t="n"/>
      <c r="L410" s="92" t="n"/>
      <c r="M410" s="92" t="n"/>
      <c r="N410" s="92" t="n"/>
      <c r="O410" s="92" t="n"/>
      <c r="P410" s="92" t="n"/>
      <c r="Q410" s="92" t="n"/>
      <c r="R410" s="92" t="n"/>
      <c r="S410" s="92" t="n"/>
      <c r="T410" s="92" t="n"/>
      <c r="U410" s="92" t="n"/>
      <c r="V410" s="92" t="n"/>
      <c r="W410" s="92" t="n"/>
      <c r="X410" s="92" t="n"/>
      <c r="Y410" s="93" t="n"/>
      <c r="Z410" s="93" t="n"/>
      <c r="AA410" s="93" t="n"/>
      <c r="AB410" s="93" t="n"/>
      <c r="AC410" s="93" t="n"/>
      <c r="AD410" s="93" t="n"/>
      <c r="AE410" s="93" t="n"/>
      <c r="AF410" s="93" t="n"/>
      <c r="AG410" s="93" t="n"/>
      <c r="AH410" s="92" t="n"/>
      <c r="AI410" s="92" t="n"/>
    </row>
    <row r="411">
      <c r="A411" s="27" t="n"/>
      <c r="B411" s="28" t="n"/>
      <c r="C411" s="27" t="n"/>
      <c r="D411" s="39" t="n"/>
      <c r="E411" s="29" t="n"/>
      <c r="F411" s="90" t="n"/>
      <c r="G411" s="91" t="n"/>
      <c r="H411" s="57" t="n"/>
      <c r="I411" s="92" t="n"/>
      <c r="J411" s="92" t="n"/>
      <c r="K411" s="92" t="n"/>
      <c r="L411" s="92" t="n"/>
      <c r="M411" s="92" t="n"/>
      <c r="N411" s="92" t="n"/>
      <c r="O411" s="92" t="n"/>
      <c r="P411" s="92" t="n"/>
      <c r="Q411" s="92" t="n"/>
      <c r="R411" s="92" t="n"/>
      <c r="S411" s="92" t="n"/>
      <c r="T411" s="92" t="n"/>
      <c r="U411" s="92" t="n"/>
      <c r="V411" s="92" t="n"/>
      <c r="W411" s="92" t="n"/>
      <c r="X411" s="92" t="n"/>
      <c r="Y411" s="93" t="n"/>
      <c r="Z411" s="93" t="n"/>
      <c r="AA411" s="93" t="n"/>
      <c r="AB411" s="93" t="n"/>
      <c r="AC411" s="93" t="n"/>
      <c r="AD411" s="93" t="n"/>
      <c r="AE411" s="93" t="n"/>
      <c r="AF411" s="93" t="n"/>
      <c r="AG411" s="93" t="n"/>
      <c r="AH411" s="92" t="n"/>
      <c r="AI411" s="92" t="n"/>
    </row>
    <row r="412">
      <c r="A412" s="27" t="n"/>
      <c r="B412" s="28" t="n"/>
      <c r="C412" s="27" t="n"/>
      <c r="D412" s="39" t="n"/>
      <c r="E412" s="29" t="n"/>
      <c r="F412" s="90" t="n"/>
      <c r="G412" s="91" t="n"/>
      <c r="H412" s="57" t="n"/>
      <c r="I412" s="92" t="n"/>
      <c r="J412" s="92" t="n"/>
      <c r="K412" s="92" t="n"/>
      <c r="L412" s="92" t="n"/>
      <c r="M412" s="92" t="n"/>
      <c r="N412" s="92" t="n"/>
      <c r="O412" s="92" t="n"/>
      <c r="P412" s="92" t="n"/>
      <c r="Q412" s="92" t="n"/>
      <c r="R412" s="92" t="n"/>
      <c r="S412" s="92" t="n"/>
      <c r="T412" s="92" t="n"/>
      <c r="U412" s="92" t="n"/>
      <c r="V412" s="92" t="n"/>
      <c r="W412" s="92" t="n"/>
      <c r="X412" s="92" t="n"/>
      <c r="Y412" s="93" t="n"/>
      <c r="Z412" s="93" t="n"/>
      <c r="AA412" s="93" t="n"/>
      <c r="AB412" s="93" t="n"/>
      <c r="AC412" s="93" t="n"/>
      <c r="AD412" s="93" t="n"/>
      <c r="AE412" s="93" t="n"/>
      <c r="AF412" s="93" t="n"/>
      <c r="AG412" s="93" t="n"/>
      <c r="AH412" s="92" t="n"/>
      <c r="AI412" s="92" t="n"/>
    </row>
    <row r="413">
      <c r="A413" s="27" t="n"/>
      <c r="B413" s="28" t="n"/>
      <c r="C413" s="27" t="n"/>
      <c r="D413" s="39" t="n"/>
      <c r="E413" s="29" t="n"/>
      <c r="F413" s="90" t="n"/>
      <c r="G413" s="91" t="n"/>
      <c r="H413" s="57" t="n"/>
      <c r="I413" s="92" t="n"/>
      <c r="J413" s="92" t="n"/>
      <c r="K413" s="92" t="n"/>
      <c r="L413" s="92" t="n"/>
      <c r="M413" s="92" t="n"/>
      <c r="N413" s="92" t="n"/>
      <c r="O413" s="92" t="n"/>
      <c r="P413" s="92" t="n"/>
      <c r="Q413" s="92" t="n"/>
      <c r="R413" s="92" t="n"/>
      <c r="S413" s="92" t="n"/>
      <c r="T413" s="92" t="n"/>
      <c r="U413" s="92" t="n"/>
      <c r="V413" s="92" t="n"/>
      <c r="W413" s="92" t="n"/>
      <c r="X413" s="92" t="n"/>
      <c r="Y413" s="93" t="n"/>
      <c r="Z413" s="93" t="n"/>
      <c r="AA413" s="93" t="n"/>
      <c r="AB413" s="93" t="n"/>
      <c r="AC413" s="93" t="n"/>
      <c r="AD413" s="93" t="n"/>
      <c r="AE413" s="93" t="n"/>
      <c r="AF413" s="93" t="n"/>
      <c r="AG413" s="93" t="n"/>
      <c r="AH413" s="92" t="n"/>
      <c r="AI413" s="92" t="n"/>
    </row>
    <row r="414">
      <c r="A414" s="27" t="n"/>
      <c r="B414" s="28" t="n"/>
      <c r="C414" s="27" t="n"/>
      <c r="D414" s="39" t="n"/>
      <c r="E414" s="29" t="n"/>
      <c r="F414" s="90" t="n"/>
      <c r="G414" s="91" t="n"/>
      <c r="H414" s="57" t="n"/>
      <c r="I414" s="92" t="n"/>
      <c r="J414" s="92" t="n"/>
      <c r="K414" s="92" t="n"/>
      <c r="L414" s="92" t="n"/>
      <c r="M414" s="92" t="n"/>
      <c r="N414" s="92" t="n"/>
      <c r="O414" s="92" t="n"/>
      <c r="P414" s="92" t="n"/>
      <c r="Q414" s="92" t="n"/>
      <c r="R414" s="92" t="n"/>
      <c r="S414" s="92" t="n"/>
      <c r="T414" s="92" t="n"/>
      <c r="U414" s="92" t="n"/>
      <c r="V414" s="92" t="n"/>
      <c r="W414" s="92" t="n"/>
      <c r="X414" s="92" t="n"/>
      <c r="Y414" s="93" t="n"/>
      <c r="Z414" s="93" t="n"/>
      <c r="AA414" s="93" t="n"/>
      <c r="AB414" s="93" t="n"/>
      <c r="AC414" s="93" t="n"/>
      <c r="AD414" s="93" t="n"/>
      <c r="AE414" s="93" t="n"/>
      <c r="AF414" s="93" t="n"/>
      <c r="AG414" s="93" t="n"/>
      <c r="AH414" s="92" t="n"/>
      <c r="AI414" s="92" t="n"/>
    </row>
    <row r="415">
      <c r="A415" s="27" t="n"/>
      <c r="B415" s="28" t="n"/>
      <c r="C415" s="27" t="n"/>
      <c r="D415" s="39" t="n"/>
      <c r="E415" s="29" t="n"/>
      <c r="F415" s="90" t="n"/>
      <c r="G415" s="91" t="n"/>
      <c r="H415" s="57" t="n"/>
      <c r="I415" s="92" t="n"/>
      <c r="J415" s="92" t="n"/>
      <c r="K415" s="92" t="n"/>
      <c r="L415" s="92" t="n"/>
      <c r="M415" s="92" t="n"/>
      <c r="N415" s="92" t="n"/>
      <c r="O415" s="92" t="n"/>
      <c r="P415" s="92" t="n"/>
      <c r="Q415" s="92" t="n"/>
      <c r="R415" s="92" t="n"/>
      <c r="S415" s="92" t="n"/>
      <c r="T415" s="92" t="n"/>
      <c r="U415" s="92" t="n"/>
      <c r="V415" s="92" t="n"/>
      <c r="W415" s="92" t="n"/>
      <c r="X415" s="92" t="n"/>
      <c r="Y415" s="93" t="n"/>
      <c r="Z415" s="93" t="n"/>
      <c r="AA415" s="93" t="n"/>
      <c r="AB415" s="93" t="n"/>
      <c r="AC415" s="93" t="n"/>
      <c r="AD415" s="93" t="n"/>
      <c r="AE415" s="93" t="n"/>
      <c r="AF415" s="93" t="n"/>
      <c r="AG415" s="93" t="n"/>
      <c r="AH415" s="92" t="n"/>
      <c r="AI415" s="92" t="n"/>
    </row>
    <row r="416">
      <c r="A416" s="27" t="n"/>
      <c r="B416" s="28" t="n"/>
      <c r="C416" s="27" t="n"/>
      <c r="D416" s="39" t="n"/>
      <c r="E416" s="29" t="n"/>
      <c r="F416" s="90" t="n"/>
      <c r="G416" s="91" t="n"/>
      <c r="H416" s="57" t="n"/>
      <c r="I416" s="92" t="n"/>
      <c r="J416" s="92" t="n"/>
      <c r="K416" s="92" t="n"/>
      <c r="L416" s="92" t="n"/>
      <c r="M416" s="92" t="n"/>
      <c r="N416" s="92" t="n"/>
      <c r="O416" s="92" t="n"/>
      <c r="P416" s="92" t="n"/>
      <c r="Q416" s="92" t="n"/>
      <c r="R416" s="92" t="n"/>
      <c r="S416" s="92" t="n"/>
      <c r="T416" s="92" t="n"/>
      <c r="U416" s="92" t="n"/>
      <c r="V416" s="92" t="n"/>
      <c r="W416" s="92" t="n"/>
      <c r="X416" s="92" t="n"/>
      <c r="Y416" s="93" t="n"/>
      <c r="Z416" s="93" t="n"/>
      <c r="AA416" s="93" t="n"/>
      <c r="AB416" s="93" t="n"/>
      <c r="AC416" s="93" t="n"/>
      <c r="AD416" s="93" t="n"/>
      <c r="AE416" s="93" t="n"/>
      <c r="AF416" s="93" t="n"/>
      <c r="AG416" s="93" t="n"/>
      <c r="AH416" s="92" t="n"/>
      <c r="AI416" s="92" t="n"/>
    </row>
    <row r="417">
      <c r="A417" s="27" t="n"/>
      <c r="B417" s="28" t="n"/>
      <c r="C417" s="27" t="n"/>
      <c r="D417" s="39" t="n"/>
      <c r="E417" s="29" t="n"/>
      <c r="F417" s="90" t="n"/>
      <c r="G417" s="91" t="n"/>
      <c r="H417" s="57" t="n"/>
      <c r="I417" s="92" t="n"/>
      <c r="J417" s="92" t="n"/>
      <c r="K417" s="92" t="n"/>
      <c r="L417" s="92" t="n"/>
      <c r="M417" s="92" t="n"/>
      <c r="N417" s="92" t="n"/>
      <c r="O417" s="92" t="n"/>
      <c r="P417" s="92" t="n"/>
      <c r="Q417" s="92" t="n"/>
      <c r="R417" s="92" t="n"/>
      <c r="S417" s="92" t="n"/>
      <c r="T417" s="92" t="n"/>
      <c r="U417" s="92" t="n"/>
      <c r="V417" s="92" t="n"/>
      <c r="W417" s="92" t="n"/>
      <c r="X417" s="92" t="n"/>
      <c r="Y417" s="93" t="n"/>
      <c r="Z417" s="93" t="n"/>
      <c r="AA417" s="93" t="n"/>
      <c r="AB417" s="93" t="n"/>
      <c r="AC417" s="93" t="n"/>
      <c r="AD417" s="93" t="n"/>
      <c r="AE417" s="93" t="n"/>
      <c r="AF417" s="93" t="n"/>
      <c r="AG417" s="93" t="n"/>
      <c r="AH417" s="92" t="n"/>
      <c r="AI417" s="92" t="n"/>
    </row>
    <row r="418">
      <c r="A418" s="27" t="n"/>
      <c r="B418" s="28" t="n"/>
      <c r="C418" s="27" t="n"/>
      <c r="D418" s="39" t="n"/>
      <c r="E418" s="29" t="n"/>
      <c r="F418" s="90" t="n"/>
      <c r="G418" s="91" t="n"/>
      <c r="H418" s="57" t="n"/>
      <c r="I418" s="92" t="n"/>
      <c r="J418" s="92" t="n"/>
      <c r="K418" s="92" t="n"/>
      <c r="L418" s="92" t="n"/>
      <c r="M418" s="92" t="n"/>
      <c r="N418" s="92" t="n"/>
      <c r="O418" s="92" t="n"/>
      <c r="P418" s="92" t="n"/>
      <c r="Q418" s="92" t="n"/>
      <c r="R418" s="92" t="n"/>
      <c r="S418" s="92" t="n"/>
      <c r="T418" s="92" t="n"/>
      <c r="U418" s="92" t="n"/>
      <c r="V418" s="92" t="n"/>
      <c r="W418" s="92" t="n"/>
      <c r="X418" s="92" t="n"/>
      <c r="Y418" s="93" t="n"/>
      <c r="Z418" s="93" t="n"/>
      <c r="AA418" s="93" t="n"/>
      <c r="AB418" s="93" t="n"/>
      <c r="AC418" s="93" t="n"/>
      <c r="AD418" s="93" t="n"/>
      <c r="AE418" s="93" t="n"/>
      <c r="AF418" s="93" t="n"/>
      <c r="AG418" s="93" t="n"/>
      <c r="AH418" s="92" t="n"/>
      <c r="AI418" s="92" t="n"/>
    </row>
    <row r="419">
      <c r="A419" s="27" t="n"/>
      <c r="B419" s="28" t="n"/>
      <c r="C419" s="27" t="n"/>
      <c r="D419" s="39" t="n"/>
      <c r="E419" s="29" t="n"/>
      <c r="F419" s="90" t="n"/>
      <c r="G419" s="91" t="n"/>
      <c r="H419" s="57" t="n"/>
      <c r="I419" s="92" t="n"/>
      <c r="J419" s="92" t="n"/>
      <c r="K419" s="92" t="n"/>
      <c r="L419" s="92" t="n"/>
      <c r="M419" s="92" t="n"/>
      <c r="N419" s="92" t="n"/>
      <c r="O419" s="92" t="n"/>
      <c r="P419" s="92" t="n"/>
      <c r="Q419" s="92" t="n"/>
      <c r="R419" s="92" t="n"/>
      <c r="S419" s="92" t="n"/>
      <c r="T419" s="92" t="n"/>
      <c r="U419" s="92" t="n"/>
      <c r="V419" s="92" t="n"/>
      <c r="W419" s="92" t="n"/>
      <c r="X419" s="92" t="n"/>
      <c r="Y419" s="93" t="n"/>
      <c r="Z419" s="93" t="n"/>
      <c r="AA419" s="93" t="n"/>
      <c r="AB419" s="93" t="n"/>
      <c r="AC419" s="93" t="n"/>
      <c r="AD419" s="93" t="n"/>
      <c r="AE419" s="93" t="n"/>
      <c r="AF419" s="93" t="n"/>
      <c r="AG419" s="93" t="n"/>
      <c r="AH419" s="92" t="n"/>
      <c r="AI419" s="92" t="n"/>
    </row>
    <row r="420">
      <c r="A420" s="27" t="n"/>
      <c r="B420" s="28" t="n"/>
      <c r="C420" s="27" t="n"/>
      <c r="D420" s="39" t="n"/>
      <c r="E420" s="29" t="n"/>
      <c r="F420" s="90" t="n"/>
      <c r="G420" s="91" t="n"/>
      <c r="H420" s="57" t="n"/>
      <c r="I420" s="92" t="n"/>
      <c r="J420" s="92" t="n"/>
      <c r="K420" s="92" t="n"/>
      <c r="L420" s="92" t="n"/>
      <c r="M420" s="92" t="n"/>
      <c r="N420" s="92" t="n"/>
      <c r="O420" s="92" t="n"/>
      <c r="P420" s="92" t="n"/>
      <c r="Q420" s="92" t="n"/>
      <c r="R420" s="92" t="n"/>
      <c r="S420" s="92" t="n"/>
      <c r="T420" s="92" t="n"/>
      <c r="U420" s="92" t="n"/>
      <c r="V420" s="92" t="n"/>
      <c r="W420" s="92" t="n"/>
      <c r="X420" s="92" t="n"/>
      <c r="Y420" s="93" t="n"/>
      <c r="Z420" s="93" t="n"/>
      <c r="AA420" s="93" t="n"/>
      <c r="AB420" s="93" t="n"/>
      <c r="AC420" s="93" t="n"/>
      <c r="AD420" s="93" t="n"/>
      <c r="AE420" s="93" t="n"/>
      <c r="AF420" s="93" t="n"/>
      <c r="AG420" s="93" t="n"/>
      <c r="AH420" s="92" t="n"/>
      <c r="AI420" s="92" t="n"/>
    </row>
    <row r="421">
      <c r="A421" s="27" t="n"/>
      <c r="B421" s="28" t="n"/>
      <c r="C421" s="27" t="n"/>
      <c r="D421" s="39" t="n"/>
      <c r="E421" s="29" t="n"/>
      <c r="F421" s="90" t="n"/>
      <c r="G421" s="91" t="n"/>
      <c r="H421" s="57" t="n"/>
      <c r="I421" s="92" t="n"/>
      <c r="J421" s="92" t="n"/>
      <c r="K421" s="92" t="n"/>
      <c r="L421" s="92" t="n"/>
      <c r="M421" s="92" t="n"/>
      <c r="N421" s="92" t="n"/>
      <c r="O421" s="92" t="n"/>
      <c r="P421" s="92" t="n"/>
      <c r="Q421" s="92" t="n"/>
      <c r="R421" s="92" t="n"/>
      <c r="S421" s="92" t="n"/>
      <c r="T421" s="92" t="n"/>
      <c r="U421" s="92" t="n"/>
      <c r="V421" s="92" t="n"/>
      <c r="W421" s="92" t="n"/>
      <c r="X421" s="92" t="n"/>
      <c r="Y421" s="93" t="n"/>
      <c r="Z421" s="93" t="n"/>
      <c r="AA421" s="93" t="n"/>
      <c r="AB421" s="93" t="n"/>
      <c r="AC421" s="93" t="n"/>
      <c r="AD421" s="93" t="n"/>
      <c r="AE421" s="93" t="n"/>
      <c r="AF421" s="93" t="n"/>
      <c r="AG421" s="93" t="n"/>
      <c r="AH421" s="92" t="n"/>
      <c r="AI421" s="92" t="n"/>
    </row>
    <row r="422">
      <c r="A422" s="27" t="n"/>
      <c r="B422" s="28" t="n"/>
      <c r="C422" s="27" t="n"/>
      <c r="D422" s="39" t="n"/>
      <c r="E422" s="29" t="n"/>
      <c r="F422" s="90" t="n"/>
      <c r="G422" s="91" t="n"/>
      <c r="H422" s="57" t="n"/>
      <c r="I422" s="92" t="n"/>
      <c r="J422" s="92" t="n"/>
      <c r="K422" s="92" t="n"/>
      <c r="L422" s="92" t="n"/>
      <c r="M422" s="92" t="n"/>
      <c r="N422" s="92" t="n"/>
      <c r="O422" s="92" t="n"/>
      <c r="P422" s="92" t="n"/>
      <c r="Q422" s="92" t="n"/>
      <c r="R422" s="92" t="n"/>
      <c r="S422" s="92" t="n"/>
      <c r="T422" s="92" t="n"/>
      <c r="U422" s="92" t="n"/>
      <c r="V422" s="92" t="n"/>
      <c r="W422" s="92" t="n"/>
      <c r="X422" s="92" t="n"/>
      <c r="Y422" s="93" t="n"/>
      <c r="Z422" s="93" t="n"/>
      <c r="AA422" s="93" t="n"/>
      <c r="AB422" s="93" t="n"/>
      <c r="AC422" s="93" t="n"/>
      <c r="AD422" s="93" t="n"/>
      <c r="AE422" s="93" t="n"/>
      <c r="AF422" s="93" t="n"/>
      <c r="AG422" s="93" t="n"/>
      <c r="AH422" s="92" t="n"/>
      <c r="AI422" s="92" t="n"/>
    </row>
    <row r="423">
      <c r="A423" s="27" t="n"/>
      <c r="B423" s="28" t="n"/>
      <c r="C423" s="27" t="n"/>
      <c r="D423" s="39" t="n"/>
      <c r="E423" s="29" t="n"/>
      <c r="F423" s="90" t="n"/>
      <c r="G423" s="91" t="n"/>
      <c r="H423" s="57" t="n"/>
      <c r="I423" s="92" t="n"/>
      <c r="J423" s="92" t="n"/>
      <c r="K423" s="92" t="n"/>
      <c r="L423" s="92" t="n"/>
      <c r="M423" s="92" t="n"/>
      <c r="N423" s="92" t="n"/>
      <c r="O423" s="92" t="n"/>
      <c r="P423" s="92" t="n"/>
      <c r="Q423" s="92" t="n"/>
      <c r="R423" s="92" t="n"/>
      <c r="S423" s="92" t="n"/>
      <c r="T423" s="92" t="n"/>
      <c r="U423" s="92" t="n"/>
      <c r="V423" s="92" t="n"/>
      <c r="W423" s="92" t="n"/>
      <c r="X423" s="92" t="n"/>
      <c r="Y423" s="93" t="n"/>
      <c r="Z423" s="93" t="n"/>
      <c r="AA423" s="93" t="n"/>
      <c r="AB423" s="93" t="n"/>
      <c r="AC423" s="93" t="n"/>
      <c r="AD423" s="93" t="n"/>
      <c r="AE423" s="93" t="n"/>
      <c r="AF423" s="93" t="n"/>
      <c r="AG423" s="93" t="n"/>
      <c r="AH423" s="92" t="n"/>
      <c r="AI423" s="92" t="n"/>
    </row>
    <row r="424">
      <c r="A424" s="27" t="n"/>
      <c r="B424" s="28" t="n"/>
      <c r="C424" s="27" t="n"/>
      <c r="D424" s="39" t="n"/>
      <c r="E424" s="29" t="n"/>
      <c r="F424" s="90" t="n"/>
      <c r="G424" s="91" t="n"/>
      <c r="H424" s="57" t="n"/>
      <c r="I424" s="92" t="n"/>
      <c r="J424" s="92" t="n"/>
      <c r="K424" s="92" t="n"/>
      <c r="L424" s="92" t="n"/>
      <c r="M424" s="92" t="n"/>
      <c r="N424" s="92" t="n"/>
      <c r="O424" s="92" t="n"/>
      <c r="P424" s="92" t="n"/>
      <c r="Q424" s="92" t="n"/>
      <c r="R424" s="92" t="n"/>
      <c r="S424" s="92" t="n"/>
      <c r="T424" s="92" t="n"/>
      <c r="U424" s="92" t="n"/>
      <c r="V424" s="92" t="n"/>
      <c r="W424" s="92" t="n"/>
      <c r="X424" s="92" t="n"/>
      <c r="Y424" s="93" t="n"/>
      <c r="Z424" s="93" t="n"/>
      <c r="AA424" s="93" t="n"/>
      <c r="AB424" s="93" t="n"/>
      <c r="AC424" s="93" t="n"/>
      <c r="AD424" s="93" t="n"/>
      <c r="AE424" s="93" t="n"/>
      <c r="AF424" s="93" t="n"/>
      <c r="AG424" s="93" t="n"/>
      <c r="AH424" s="92" t="n"/>
      <c r="AI424" s="92" t="n"/>
    </row>
    <row r="425">
      <c r="A425" s="27" t="n"/>
      <c r="B425" s="28" t="n"/>
      <c r="C425" s="27" t="n"/>
      <c r="D425" s="39" t="n"/>
      <c r="E425" s="29" t="n"/>
      <c r="F425" s="90" t="n"/>
      <c r="G425" s="91" t="n"/>
      <c r="H425" s="57" t="n"/>
      <c r="I425" s="92" t="n"/>
      <c r="J425" s="92" t="n"/>
      <c r="K425" s="92" t="n"/>
      <c r="L425" s="92" t="n"/>
      <c r="M425" s="92" t="n"/>
      <c r="N425" s="92" t="n"/>
      <c r="O425" s="92" t="n"/>
      <c r="P425" s="92" t="n"/>
      <c r="Q425" s="92" t="n"/>
      <c r="R425" s="92" t="n"/>
      <c r="S425" s="92" t="n"/>
      <c r="T425" s="92" t="n"/>
      <c r="U425" s="92" t="n"/>
      <c r="V425" s="92" t="n"/>
      <c r="W425" s="92" t="n"/>
      <c r="X425" s="92" t="n"/>
      <c r="Y425" s="93" t="n"/>
      <c r="Z425" s="93" t="n"/>
      <c r="AA425" s="93" t="n"/>
      <c r="AB425" s="93" t="n"/>
      <c r="AC425" s="93" t="n"/>
      <c r="AD425" s="93" t="n"/>
      <c r="AE425" s="93" t="n"/>
      <c r="AF425" s="93" t="n"/>
      <c r="AG425" s="93" t="n"/>
      <c r="AH425" s="92" t="n"/>
      <c r="AI425" s="92" t="n"/>
    </row>
    <row r="426">
      <c r="A426" s="27" t="n"/>
      <c r="B426" s="28" t="n"/>
      <c r="C426" s="27" t="n"/>
      <c r="D426" s="39" t="n"/>
      <c r="E426" s="29" t="n"/>
      <c r="F426" s="90" t="n"/>
      <c r="G426" s="91" t="n"/>
      <c r="H426" s="57" t="n"/>
      <c r="I426" s="92" t="n"/>
      <c r="J426" s="92" t="n"/>
      <c r="K426" s="92" t="n"/>
      <c r="L426" s="92" t="n"/>
      <c r="M426" s="92" t="n"/>
      <c r="N426" s="92" t="n"/>
      <c r="O426" s="92" t="n"/>
      <c r="P426" s="92" t="n"/>
      <c r="Q426" s="92" t="n"/>
      <c r="R426" s="92" t="n"/>
      <c r="S426" s="92" t="n"/>
      <c r="T426" s="92" t="n"/>
      <c r="U426" s="92" t="n"/>
      <c r="V426" s="92" t="n"/>
      <c r="W426" s="92" t="n"/>
      <c r="X426" s="92" t="n"/>
      <c r="Y426" s="93" t="n"/>
      <c r="Z426" s="93" t="n"/>
      <c r="AA426" s="93" t="n"/>
      <c r="AB426" s="93" t="n"/>
      <c r="AC426" s="93" t="n"/>
      <c r="AD426" s="93" t="n"/>
      <c r="AE426" s="93" t="n"/>
      <c r="AF426" s="93" t="n"/>
      <c r="AG426" s="93" t="n"/>
      <c r="AH426" s="92" t="n"/>
      <c r="AI426" s="92" t="n"/>
    </row>
    <row r="427">
      <c r="A427" s="27" t="n"/>
      <c r="B427" s="28" t="n"/>
      <c r="C427" s="27" t="n"/>
      <c r="D427" s="39" t="n"/>
      <c r="E427" s="29" t="n"/>
      <c r="F427" s="90" t="n"/>
      <c r="G427" s="91" t="n"/>
      <c r="H427" s="57" t="n"/>
      <c r="I427" s="92" t="n"/>
      <c r="J427" s="92" t="n"/>
      <c r="K427" s="92" t="n"/>
      <c r="L427" s="92" t="n"/>
      <c r="M427" s="92" t="n"/>
      <c r="N427" s="92" t="n"/>
      <c r="O427" s="92" t="n"/>
      <c r="P427" s="92" t="n"/>
      <c r="Q427" s="92" t="n"/>
      <c r="R427" s="92" t="n"/>
      <c r="S427" s="92" t="n"/>
      <c r="T427" s="92" t="n"/>
      <c r="U427" s="92" t="n"/>
      <c r="V427" s="92" t="n"/>
      <c r="W427" s="92" t="n"/>
      <c r="X427" s="92" t="n"/>
      <c r="Y427" s="93" t="n"/>
      <c r="Z427" s="93" t="n"/>
      <c r="AA427" s="93" t="n"/>
      <c r="AB427" s="93" t="n"/>
      <c r="AC427" s="93" t="n"/>
      <c r="AD427" s="93" t="n"/>
      <c r="AE427" s="93" t="n"/>
      <c r="AF427" s="93" t="n"/>
      <c r="AG427" s="93" t="n"/>
      <c r="AH427" s="92" t="n"/>
      <c r="AI427" s="92" t="n"/>
    </row>
    <row r="428">
      <c r="A428" s="27" t="n"/>
      <c r="B428" s="28" t="n"/>
      <c r="C428" s="27" t="n"/>
      <c r="D428" s="39" t="n"/>
      <c r="E428" s="29" t="n"/>
      <c r="F428" s="90" t="n"/>
      <c r="G428" s="91" t="n"/>
      <c r="H428" s="57" t="n"/>
      <c r="I428" s="92" t="n"/>
      <c r="J428" s="92" t="n"/>
      <c r="K428" s="92" t="n"/>
      <c r="L428" s="92" t="n"/>
      <c r="M428" s="92" t="n"/>
      <c r="N428" s="92" t="n"/>
      <c r="O428" s="92" t="n"/>
      <c r="P428" s="92" t="n"/>
      <c r="Q428" s="92" t="n"/>
      <c r="R428" s="92" t="n"/>
      <c r="S428" s="92" t="n"/>
      <c r="T428" s="92" t="n"/>
      <c r="U428" s="92" t="n"/>
      <c r="V428" s="92" t="n"/>
      <c r="W428" s="92" t="n"/>
      <c r="X428" s="92" t="n"/>
      <c r="Y428" s="93" t="n"/>
      <c r="Z428" s="93" t="n"/>
      <c r="AA428" s="93" t="n"/>
      <c r="AB428" s="93" t="n"/>
      <c r="AC428" s="93" t="n"/>
      <c r="AD428" s="93" t="n"/>
      <c r="AE428" s="93" t="n"/>
      <c r="AF428" s="93" t="n"/>
      <c r="AG428" s="93" t="n"/>
      <c r="AH428" s="92" t="n"/>
      <c r="AI428" s="92" t="n"/>
    </row>
    <row r="429">
      <c r="A429" s="27" t="n"/>
      <c r="B429" s="28" t="n"/>
      <c r="C429" s="27" t="n"/>
      <c r="D429" s="39" t="n"/>
      <c r="E429" s="29" t="n"/>
      <c r="F429" s="90" t="n"/>
      <c r="G429" s="91" t="n"/>
      <c r="H429" s="57" t="n"/>
      <c r="I429" s="92" t="n"/>
      <c r="J429" s="92" t="n"/>
      <c r="K429" s="92" t="n"/>
      <c r="L429" s="92" t="n"/>
      <c r="M429" s="92" t="n"/>
      <c r="N429" s="92" t="n"/>
      <c r="O429" s="92" t="n"/>
      <c r="P429" s="92" t="n"/>
      <c r="Q429" s="92" t="n"/>
      <c r="R429" s="92" t="n"/>
      <c r="S429" s="92" t="n"/>
      <c r="T429" s="92" t="n"/>
      <c r="U429" s="92" t="n"/>
      <c r="V429" s="92" t="n"/>
      <c r="W429" s="92" t="n"/>
      <c r="X429" s="92" t="n"/>
      <c r="Y429" s="93" t="n"/>
      <c r="Z429" s="93" t="n"/>
      <c r="AA429" s="93" t="n"/>
      <c r="AB429" s="93" t="n"/>
      <c r="AC429" s="93" t="n"/>
      <c r="AD429" s="93" t="n"/>
      <c r="AE429" s="93" t="n"/>
      <c r="AF429" s="93" t="n"/>
      <c r="AG429" s="93" t="n"/>
      <c r="AH429" s="92" t="n"/>
      <c r="AI429" s="92" t="n"/>
    </row>
    <row r="430">
      <c r="A430" s="27" t="n"/>
      <c r="B430" s="28" t="n"/>
      <c r="C430" s="27" t="n"/>
      <c r="D430" s="39" t="n"/>
      <c r="E430" s="29" t="n"/>
      <c r="F430" s="90" t="n"/>
      <c r="G430" s="91" t="n"/>
      <c r="H430" s="57" t="n"/>
      <c r="I430" s="92" t="n"/>
      <c r="J430" s="92" t="n"/>
      <c r="K430" s="92" t="n"/>
      <c r="L430" s="92" t="n"/>
      <c r="M430" s="92" t="n"/>
      <c r="N430" s="92" t="n"/>
      <c r="O430" s="92" t="n"/>
      <c r="P430" s="92" t="n"/>
      <c r="Q430" s="92" t="n"/>
      <c r="R430" s="92" t="n"/>
      <c r="S430" s="92" t="n"/>
      <c r="T430" s="92" t="n"/>
      <c r="U430" s="92" t="n"/>
      <c r="V430" s="92" t="n"/>
      <c r="W430" s="92" t="n"/>
      <c r="X430" s="92" t="n"/>
      <c r="Y430" s="93" t="n"/>
      <c r="Z430" s="93" t="n"/>
      <c r="AA430" s="93" t="n"/>
      <c r="AB430" s="93" t="n"/>
      <c r="AC430" s="93" t="n"/>
      <c r="AD430" s="93" t="n"/>
      <c r="AE430" s="93" t="n"/>
      <c r="AF430" s="93" t="n"/>
      <c r="AG430" s="93" t="n"/>
      <c r="AH430" s="92" t="n"/>
      <c r="AI430" s="92" t="n"/>
    </row>
    <row r="431">
      <c r="A431" s="27" t="n"/>
      <c r="B431" s="28" t="n"/>
      <c r="C431" s="27" t="n"/>
      <c r="D431" s="39" t="n"/>
      <c r="E431" s="29" t="n"/>
      <c r="F431" s="90" t="n"/>
      <c r="G431" s="91" t="n"/>
      <c r="H431" s="57" t="n"/>
      <c r="I431" s="92" t="n"/>
      <c r="J431" s="92" t="n"/>
      <c r="K431" s="92" t="n"/>
      <c r="L431" s="92" t="n"/>
      <c r="M431" s="92" t="n"/>
      <c r="N431" s="92" t="n"/>
      <c r="O431" s="92" t="n"/>
      <c r="P431" s="92" t="n"/>
      <c r="Q431" s="92" t="n"/>
      <c r="R431" s="92" t="n"/>
      <c r="S431" s="92" t="n"/>
      <c r="T431" s="92" t="n"/>
      <c r="U431" s="92" t="n"/>
      <c r="V431" s="92" t="n"/>
      <c r="W431" s="92" t="n"/>
      <c r="X431" s="92" t="n"/>
      <c r="Y431" s="93" t="n"/>
      <c r="Z431" s="93" t="n"/>
      <c r="AA431" s="93" t="n"/>
      <c r="AB431" s="93" t="n"/>
      <c r="AC431" s="93" t="n"/>
      <c r="AD431" s="93" t="n"/>
      <c r="AE431" s="93" t="n"/>
      <c r="AF431" s="93" t="n"/>
      <c r="AG431" s="93" t="n"/>
      <c r="AH431" s="92" t="n"/>
      <c r="AI431" s="92" t="n"/>
    </row>
    <row r="432">
      <c r="A432" s="27" t="n"/>
      <c r="B432" s="28" t="n"/>
      <c r="C432" s="27" t="n"/>
      <c r="D432" s="39" t="n"/>
      <c r="E432" s="29" t="n"/>
      <c r="F432" s="90" t="n"/>
      <c r="G432" s="91" t="n"/>
      <c r="H432" s="57" t="n"/>
      <c r="I432" s="92" t="n"/>
      <c r="J432" s="92" t="n"/>
      <c r="K432" s="92" t="n"/>
      <c r="L432" s="92" t="n"/>
      <c r="M432" s="92" t="n"/>
      <c r="N432" s="92" t="n"/>
      <c r="O432" s="92" t="n"/>
      <c r="P432" s="92" t="n"/>
      <c r="Q432" s="92" t="n"/>
      <c r="R432" s="92" t="n"/>
      <c r="S432" s="92" t="n"/>
      <c r="T432" s="92" t="n"/>
      <c r="U432" s="92" t="n"/>
      <c r="V432" s="92" t="n"/>
      <c r="W432" s="92" t="n"/>
      <c r="X432" s="92" t="n"/>
      <c r="Y432" s="93" t="n"/>
      <c r="Z432" s="93" t="n"/>
      <c r="AA432" s="93" t="n"/>
      <c r="AB432" s="93" t="n"/>
      <c r="AC432" s="93" t="n"/>
      <c r="AD432" s="93" t="n"/>
      <c r="AE432" s="93" t="n"/>
      <c r="AF432" s="93" t="n"/>
      <c r="AG432" s="93" t="n"/>
      <c r="AH432" s="92" t="n"/>
      <c r="AI432" s="92" t="n"/>
    </row>
    <row r="433">
      <c r="A433" s="27" t="n"/>
      <c r="B433" s="28" t="n"/>
      <c r="C433" s="27" t="n"/>
      <c r="D433" s="39" t="n"/>
      <c r="E433" s="29" t="n"/>
      <c r="F433" s="90" t="n"/>
      <c r="G433" s="91" t="n"/>
      <c r="H433" s="57" t="n"/>
      <c r="I433" s="92" t="n"/>
      <c r="J433" s="92" t="n"/>
      <c r="K433" s="92" t="n"/>
      <c r="L433" s="92" t="n"/>
      <c r="M433" s="92" t="n"/>
      <c r="N433" s="92" t="n"/>
      <c r="O433" s="92" t="n"/>
      <c r="P433" s="92" t="n"/>
      <c r="Q433" s="92" t="n"/>
      <c r="R433" s="92" t="n"/>
      <c r="S433" s="92" t="n"/>
      <c r="T433" s="92" t="n"/>
      <c r="U433" s="92" t="n"/>
      <c r="V433" s="92" t="n"/>
      <c r="W433" s="92" t="n"/>
      <c r="X433" s="92" t="n"/>
      <c r="Y433" s="93" t="n"/>
      <c r="Z433" s="93" t="n"/>
      <c r="AA433" s="93" t="n"/>
      <c r="AB433" s="93" t="n"/>
      <c r="AC433" s="93" t="n"/>
      <c r="AD433" s="93" t="n"/>
      <c r="AE433" s="93" t="n"/>
      <c r="AF433" s="93" t="n"/>
      <c r="AG433" s="93" t="n"/>
      <c r="AH433" s="92" t="n"/>
      <c r="AI433" s="92" t="n"/>
    </row>
    <row r="434">
      <c r="A434" s="27" t="n"/>
      <c r="B434" s="28" t="n"/>
      <c r="C434" s="27" t="n"/>
      <c r="D434" s="39" t="n"/>
      <c r="E434" s="29" t="n"/>
      <c r="F434" s="90" t="n"/>
      <c r="G434" s="91" t="n"/>
      <c r="H434" s="57" t="n"/>
      <c r="I434" s="92" t="n"/>
      <c r="J434" s="92" t="n"/>
      <c r="K434" s="92" t="n"/>
      <c r="L434" s="92" t="n"/>
      <c r="M434" s="92" t="n"/>
      <c r="N434" s="92" t="n"/>
      <c r="O434" s="92" t="n"/>
      <c r="P434" s="92" t="n"/>
      <c r="Q434" s="92" t="n"/>
      <c r="R434" s="92" t="n"/>
      <c r="S434" s="92" t="n"/>
      <c r="T434" s="92" t="n"/>
      <c r="U434" s="92" t="n"/>
      <c r="V434" s="92" t="n"/>
      <c r="W434" s="92" t="n"/>
      <c r="X434" s="92" t="n"/>
      <c r="Y434" s="93" t="n"/>
      <c r="Z434" s="93" t="n"/>
      <c r="AA434" s="93" t="n"/>
      <c r="AB434" s="93" t="n"/>
      <c r="AC434" s="93" t="n"/>
      <c r="AD434" s="93" t="n"/>
      <c r="AE434" s="93" t="n"/>
      <c r="AF434" s="93" t="n"/>
      <c r="AG434" s="93" t="n"/>
      <c r="AH434" s="92" t="n"/>
      <c r="AI434" s="92" t="n"/>
    </row>
    <row r="435">
      <c r="A435" s="27" t="n"/>
      <c r="B435" s="28" t="n"/>
      <c r="C435" s="27" t="n"/>
      <c r="D435" s="39" t="n"/>
      <c r="E435" s="29" t="n"/>
      <c r="F435" s="90" t="n"/>
      <c r="G435" s="91" t="n"/>
      <c r="H435" s="57" t="n"/>
      <c r="I435" s="92" t="n"/>
      <c r="J435" s="92" t="n"/>
      <c r="K435" s="92" t="n"/>
      <c r="L435" s="92" t="n"/>
      <c r="M435" s="92" t="n"/>
      <c r="N435" s="92" t="n"/>
      <c r="O435" s="92" t="n"/>
      <c r="P435" s="92" t="n"/>
      <c r="Q435" s="92" t="n"/>
      <c r="R435" s="92" t="n"/>
      <c r="S435" s="92" t="n"/>
      <c r="T435" s="92" t="n"/>
      <c r="U435" s="92" t="n"/>
      <c r="V435" s="92" t="n"/>
      <c r="W435" s="92" t="n"/>
      <c r="X435" s="92" t="n"/>
      <c r="Y435" s="93" t="n"/>
      <c r="Z435" s="93" t="n"/>
      <c r="AA435" s="93" t="n"/>
      <c r="AB435" s="93" t="n"/>
      <c r="AC435" s="93" t="n"/>
      <c r="AD435" s="93" t="n"/>
      <c r="AE435" s="93" t="n"/>
      <c r="AF435" s="93" t="n"/>
      <c r="AG435" s="93" t="n"/>
      <c r="AH435" s="92" t="n"/>
      <c r="AI435" s="92" t="n"/>
    </row>
    <row r="436">
      <c r="A436" s="27" t="n"/>
      <c r="B436" s="28" t="n"/>
      <c r="C436" s="27" t="n"/>
      <c r="D436" s="39" t="n"/>
      <c r="E436" s="29" t="n"/>
      <c r="F436" s="90" t="n"/>
      <c r="G436" s="91" t="n"/>
      <c r="H436" s="57" t="n"/>
      <c r="I436" s="92" t="n"/>
      <c r="J436" s="92" t="n"/>
      <c r="K436" s="92" t="n"/>
      <c r="L436" s="92" t="n"/>
      <c r="M436" s="92" t="n"/>
      <c r="N436" s="92" t="n"/>
      <c r="O436" s="92" t="n"/>
      <c r="P436" s="92" t="n"/>
      <c r="Q436" s="92" t="n"/>
      <c r="R436" s="92" t="n"/>
      <c r="S436" s="92" t="n"/>
      <c r="T436" s="92" t="n"/>
      <c r="U436" s="92" t="n"/>
      <c r="V436" s="92" t="n"/>
      <c r="W436" s="92" t="n"/>
      <c r="X436" s="92" t="n"/>
      <c r="Y436" s="93" t="n"/>
      <c r="Z436" s="93" t="n"/>
      <c r="AA436" s="93" t="n"/>
      <c r="AB436" s="93" t="n"/>
      <c r="AC436" s="93" t="n"/>
      <c r="AD436" s="93" t="n"/>
      <c r="AE436" s="93" t="n"/>
      <c r="AF436" s="93" t="n"/>
      <c r="AG436" s="93" t="n"/>
      <c r="AH436" s="92" t="n"/>
      <c r="AI436" s="92" t="n"/>
    </row>
    <row r="437">
      <c r="A437" s="27" t="n"/>
      <c r="B437" s="28" t="n"/>
      <c r="C437" s="27" t="n"/>
      <c r="D437" s="39" t="n"/>
      <c r="E437" s="29" t="n"/>
      <c r="F437" s="90" t="n"/>
      <c r="G437" s="91" t="n"/>
      <c r="H437" s="57" t="n"/>
      <c r="I437" s="92" t="n"/>
      <c r="J437" s="92" t="n"/>
      <c r="K437" s="92" t="n"/>
      <c r="L437" s="92" t="n"/>
      <c r="M437" s="92" t="n"/>
      <c r="N437" s="92" t="n"/>
      <c r="O437" s="92" t="n"/>
      <c r="P437" s="92" t="n"/>
      <c r="Q437" s="92" t="n"/>
      <c r="R437" s="92" t="n"/>
      <c r="S437" s="92" t="n"/>
      <c r="T437" s="92" t="n"/>
      <c r="U437" s="92" t="n"/>
      <c r="V437" s="92" t="n"/>
      <c r="W437" s="92" t="n"/>
      <c r="X437" s="92" t="n"/>
      <c r="Y437" s="93" t="n"/>
      <c r="Z437" s="93" t="n"/>
      <c r="AA437" s="93" t="n"/>
      <c r="AB437" s="93" t="n"/>
      <c r="AC437" s="93" t="n"/>
      <c r="AD437" s="93" t="n"/>
      <c r="AE437" s="93" t="n"/>
      <c r="AF437" s="93" t="n"/>
      <c r="AG437" s="93" t="n"/>
      <c r="AH437" s="92" t="n"/>
      <c r="AI437" s="92" t="n"/>
    </row>
    <row r="438">
      <c r="A438" s="27" t="n"/>
      <c r="B438" s="28" t="n"/>
      <c r="C438" s="27" t="n"/>
      <c r="D438" s="39" t="n"/>
      <c r="E438" s="29" t="n"/>
      <c r="F438" s="90" t="n"/>
      <c r="G438" s="91" t="n"/>
      <c r="H438" s="57" t="n"/>
      <c r="I438" s="92" t="n"/>
      <c r="J438" s="92" t="n"/>
      <c r="K438" s="92" t="n"/>
      <c r="L438" s="92" t="n"/>
      <c r="M438" s="92" t="n"/>
      <c r="N438" s="92" t="n"/>
      <c r="O438" s="92" t="n"/>
      <c r="P438" s="92" t="n"/>
      <c r="Q438" s="92" t="n"/>
      <c r="R438" s="92" t="n"/>
      <c r="S438" s="92" t="n"/>
      <c r="T438" s="92" t="n"/>
      <c r="U438" s="92" t="n"/>
      <c r="V438" s="92" t="n"/>
      <c r="W438" s="92" t="n"/>
      <c r="X438" s="92" t="n"/>
      <c r="Y438" s="93" t="n"/>
      <c r="Z438" s="93" t="n"/>
      <c r="AA438" s="93" t="n"/>
      <c r="AB438" s="93" t="n"/>
      <c r="AC438" s="93" t="n"/>
      <c r="AD438" s="93" t="n"/>
      <c r="AE438" s="93" t="n"/>
      <c r="AF438" s="93" t="n"/>
      <c r="AG438" s="93" t="n"/>
      <c r="AH438" s="92" t="n"/>
      <c r="AI438" s="92" t="n"/>
    </row>
    <row r="439">
      <c r="A439" s="27" t="n"/>
      <c r="B439" s="28" t="n"/>
      <c r="C439" s="27" t="n"/>
      <c r="D439" s="39" t="n"/>
      <c r="E439" s="29" t="n"/>
      <c r="F439" s="90" t="n"/>
      <c r="G439" s="91" t="n"/>
      <c r="H439" s="57" t="n"/>
      <c r="I439" s="92" t="n"/>
      <c r="J439" s="92" t="n"/>
      <c r="K439" s="92" t="n"/>
      <c r="L439" s="92" t="n"/>
      <c r="M439" s="92" t="n"/>
      <c r="N439" s="92" t="n"/>
      <c r="O439" s="92" t="n"/>
      <c r="P439" s="92" t="n"/>
      <c r="Q439" s="92" t="n"/>
      <c r="R439" s="92" t="n"/>
      <c r="S439" s="92" t="n"/>
      <c r="T439" s="92" t="n"/>
      <c r="U439" s="92" t="n"/>
      <c r="V439" s="92" t="n"/>
      <c r="W439" s="92" t="n"/>
      <c r="X439" s="92" t="n"/>
      <c r="Y439" s="93" t="n"/>
      <c r="Z439" s="93" t="n"/>
      <c r="AA439" s="93" t="n"/>
      <c r="AB439" s="93" t="n"/>
      <c r="AC439" s="93" t="n"/>
      <c r="AD439" s="93" t="n"/>
      <c r="AE439" s="93" t="n"/>
      <c r="AF439" s="93" t="n"/>
      <c r="AG439" s="93" t="n"/>
      <c r="AH439" s="92" t="n"/>
      <c r="AI439" s="92" t="n"/>
    </row>
    <row r="440">
      <c r="A440" s="27" t="n"/>
      <c r="B440" s="28" t="n"/>
      <c r="C440" s="27" t="n"/>
      <c r="D440" s="39" t="n"/>
      <c r="E440" s="29" t="n"/>
      <c r="F440" s="90" t="n"/>
      <c r="G440" s="91" t="n"/>
      <c r="H440" s="57" t="n"/>
      <c r="I440" s="92" t="n"/>
      <c r="J440" s="92" t="n"/>
      <c r="K440" s="92" t="n"/>
      <c r="L440" s="92" t="n"/>
      <c r="M440" s="92" t="n"/>
      <c r="N440" s="92" t="n"/>
      <c r="O440" s="92" t="n"/>
      <c r="P440" s="92" t="n"/>
      <c r="Q440" s="92" t="n"/>
      <c r="R440" s="92" t="n"/>
      <c r="S440" s="92" t="n"/>
      <c r="T440" s="92" t="n"/>
      <c r="U440" s="92" t="n"/>
      <c r="V440" s="92" t="n"/>
      <c r="W440" s="92" t="n"/>
      <c r="X440" s="92" t="n"/>
      <c r="Y440" s="93" t="n"/>
      <c r="Z440" s="93" t="n"/>
      <c r="AA440" s="93" t="n"/>
      <c r="AB440" s="93" t="n"/>
      <c r="AC440" s="93" t="n"/>
      <c r="AD440" s="93" t="n"/>
      <c r="AE440" s="93" t="n"/>
      <c r="AF440" s="93" t="n"/>
      <c r="AG440" s="93" t="n"/>
      <c r="AH440" s="92" t="n"/>
      <c r="AI440" s="92" t="n"/>
    </row>
    <row r="441">
      <c r="A441" s="27" t="n"/>
      <c r="B441" s="28" t="n"/>
      <c r="C441" s="27" t="n"/>
      <c r="D441" s="39" t="n"/>
      <c r="E441" s="29" t="n"/>
      <c r="F441" s="90" t="n"/>
      <c r="G441" s="91" t="n"/>
      <c r="H441" s="57" t="n"/>
      <c r="I441" s="92" t="n"/>
      <c r="J441" s="92" t="n"/>
      <c r="K441" s="92" t="n"/>
      <c r="L441" s="92" t="n"/>
      <c r="M441" s="92" t="n"/>
      <c r="N441" s="92" t="n"/>
      <c r="O441" s="92" t="n"/>
      <c r="P441" s="92" t="n"/>
      <c r="Q441" s="92" t="n"/>
      <c r="R441" s="92" t="n"/>
      <c r="S441" s="92" t="n"/>
      <c r="T441" s="92" t="n"/>
      <c r="U441" s="92" t="n"/>
      <c r="V441" s="92" t="n"/>
      <c r="W441" s="92" t="n"/>
      <c r="X441" s="92" t="n"/>
      <c r="Y441" s="93" t="n"/>
      <c r="Z441" s="93" t="n"/>
      <c r="AA441" s="93" t="n"/>
      <c r="AB441" s="93" t="n"/>
      <c r="AC441" s="93" t="n"/>
      <c r="AD441" s="93" t="n"/>
      <c r="AE441" s="93" t="n"/>
      <c r="AF441" s="93" t="n"/>
      <c r="AG441" s="93" t="n"/>
      <c r="AH441" s="92" t="n"/>
      <c r="AI441" s="92" t="n"/>
    </row>
    <row r="442">
      <c r="A442" s="27" t="n"/>
      <c r="B442" s="28" t="n"/>
      <c r="C442" s="27" t="n"/>
      <c r="D442" s="39" t="n"/>
      <c r="E442" s="29" t="n"/>
      <c r="F442" s="90" t="n"/>
      <c r="G442" s="91" t="n"/>
      <c r="H442" s="57" t="n"/>
      <c r="I442" s="92" t="n"/>
      <c r="J442" s="92" t="n"/>
      <c r="K442" s="92" t="n"/>
      <c r="L442" s="92" t="n"/>
      <c r="M442" s="92" t="n"/>
      <c r="N442" s="92" t="n"/>
      <c r="O442" s="92" t="n"/>
      <c r="P442" s="92" t="n"/>
      <c r="Q442" s="92" t="n"/>
      <c r="R442" s="92" t="n"/>
      <c r="S442" s="92" t="n"/>
      <c r="T442" s="92" t="n"/>
      <c r="U442" s="92" t="n"/>
      <c r="V442" s="92" t="n"/>
      <c r="W442" s="92" t="n"/>
      <c r="X442" s="92" t="n"/>
      <c r="Y442" s="93" t="n"/>
      <c r="Z442" s="93" t="n"/>
      <c r="AA442" s="93" t="n"/>
      <c r="AB442" s="93" t="n"/>
      <c r="AC442" s="93" t="n"/>
      <c r="AD442" s="93" t="n"/>
      <c r="AE442" s="93" t="n"/>
      <c r="AF442" s="93" t="n"/>
      <c r="AG442" s="93" t="n"/>
      <c r="AH442" s="92" t="n"/>
      <c r="AI442" s="92" t="n"/>
    </row>
    <row r="443">
      <c r="A443" s="27" t="n"/>
      <c r="B443" s="28" t="n"/>
      <c r="C443" s="27" t="n"/>
      <c r="D443" s="39" t="n"/>
      <c r="E443" s="29" t="n"/>
      <c r="F443" s="90" t="n"/>
      <c r="G443" s="91" t="n"/>
      <c r="H443" s="57" t="n"/>
      <c r="I443" s="92" t="n"/>
      <c r="J443" s="92" t="n"/>
      <c r="K443" s="92" t="n"/>
      <c r="L443" s="92" t="n"/>
      <c r="M443" s="92" t="n"/>
      <c r="N443" s="92" t="n"/>
      <c r="O443" s="92" t="n"/>
      <c r="P443" s="92" t="n"/>
      <c r="Q443" s="92" t="n"/>
      <c r="R443" s="92" t="n"/>
      <c r="S443" s="92" t="n"/>
      <c r="T443" s="92" t="n"/>
      <c r="U443" s="92" t="n"/>
      <c r="V443" s="92" t="n"/>
      <c r="W443" s="92" t="n"/>
      <c r="X443" s="92" t="n"/>
      <c r="Y443" s="93" t="n"/>
      <c r="Z443" s="93" t="n"/>
      <c r="AA443" s="93" t="n"/>
      <c r="AB443" s="93" t="n"/>
      <c r="AC443" s="93" t="n"/>
      <c r="AD443" s="93" t="n"/>
      <c r="AE443" s="93" t="n"/>
      <c r="AF443" s="93" t="n"/>
      <c r="AG443" s="93" t="n"/>
      <c r="AH443" s="92" t="n"/>
      <c r="AI443" s="92" t="n"/>
    </row>
    <row r="444">
      <c r="A444" s="27" t="n"/>
      <c r="B444" s="28" t="n"/>
      <c r="C444" s="27" t="n"/>
      <c r="D444" s="39" t="n"/>
      <c r="E444" s="29" t="n"/>
      <c r="F444" s="90" t="n"/>
      <c r="G444" s="91" t="n"/>
      <c r="H444" s="57" t="n"/>
      <c r="I444" s="92" t="n"/>
      <c r="J444" s="92" t="n"/>
      <c r="K444" s="92" t="n"/>
      <c r="L444" s="92" t="n"/>
      <c r="M444" s="92" t="n"/>
      <c r="N444" s="92" t="n"/>
      <c r="O444" s="92" t="n"/>
      <c r="P444" s="92" t="n"/>
      <c r="Q444" s="92" t="n"/>
      <c r="R444" s="92" t="n"/>
      <c r="S444" s="92" t="n"/>
      <c r="T444" s="92" t="n"/>
      <c r="U444" s="92" t="n"/>
      <c r="V444" s="92" t="n"/>
      <c r="W444" s="92" t="n"/>
      <c r="X444" s="92" t="n"/>
      <c r="Y444" s="93" t="n"/>
      <c r="Z444" s="93" t="n"/>
      <c r="AA444" s="93" t="n"/>
      <c r="AB444" s="93" t="n"/>
      <c r="AC444" s="93" t="n"/>
      <c r="AD444" s="93" t="n"/>
      <c r="AE444" s="93" t="n"/>
      <c r="AF444" s="93" t="n"/>
      <c r="AG444" s="93" t="n"/>
      <c r="AH444" s="92" t="n"/>
      <c r="AI444" s="92" t="n"/>
    </row>
    <row r="445">
      <c r="A445" s="27" t="n"/>
      <c r="B445" s="28" t="n"/>
      <c r="C445" s="27" t="n"/>
      <c r="D445" s="39" t="n"/>
      <c r="E445" s="29" t="n"/>
      <c r="F445" s="90" t="n"/>
      <c r="G445" s="91" t="n"/>
      <c r="H445" s="57" t="n"/>
      <c r="I445" s="92" t="n"/>
      <c r="J445" s="92" t="n"/>
      <c r="K445" s="92" t="n"/>
      <c r="L445" s="92" t="n"/>
      <c r="M445" s="92" t="n"/>
      <c r="N445" s="92" t="n"/>
      <c r="O445" s="92" t="n"/>
      <c r="P445" s="92" t="n"/>
      <c r="Q445" s="92" t="n"/>
      <c r="R445" s="92" t="n"/>
      <c r="S445" s="92" t="n"/>
      <c r="T445" s="92" t="n"/>
      <c r="U445" s="92" t="n"/>
      <c r="V445" s="92" t="n"/>
      <c r="W445" s="92" t="n"/>
      <c r="X445" s="92" t="n"/>
      <c r="Y445" s="93" t="n"/>
      <c r="Z445" s="93" t="n"/>
      <c r="AA445" s="93" t="n"/>
      <c r="AB445" s="93" t="n"/>
      <c r="AC445" s="93" t="n"/>
      <c r="AD445" s="93" t="n"/>
      <c r="AE445" s="93" t="n"/>
      <c r="AF445" s="93" t="n"/>
      <c r="AG445" s="93" t="n"/>
      <c r="AH445" s="92" t="n"/>
      <c r="AI445" s="92" t="n"/>
    </row>
    <row r="446">
      <c r="A446" s="27" t="n"/>
      <c r="B446" s="28" t="n"/>
      <c r="C446" s="27" t="n"/>
      <c r="D446" s="39" t="n"/>
      <c r="E446" s="29" t="n"/>
      <c r="F446" s="90" t="n"/>
      <c r="G446" s="91" t="n"/>
      <c r="H446" s="57" t="n"/>
      <c r="I446" s="92" t="n"/>
      <c r="J446" s="92" t="n"/>
      <c r="K446" s="92" t="n"/>
      <c r="L446" s="92" t="n"/>
      <c r="M446" s="92" t="n"/>
      <c r="N446" s="92" t="n"/>
      <c r="O446" s="92" t="n"/>
      <c r="P446" s="92" t="n"/>
      <c r="Q446" s="92" t="n"/>
      <c r="R446" s="92" t="n"/>
      <c r="S446" s="92" t="n"/>
      <c r="T446" s="92" t="n"/>
      <c r="U446" s="92" t="n"/>
      <c r="V446" s="92" t="n"/>
      <c r="W446" s="92" t="n"/>
      <c r="X446" s="92" t="n"/>
      <c r="Y446" s="93" t="n"/>
      <c r="Z446" s="93" t="n"/>
      <c r="AA446" s="93" t="n"/>
      <c r="AB446" s="93" t="n"/>
      <c r="AC446" s="93" t="n"/>
      <c r="AD446" s="93" t="n"/>
      <c r="AE446" s="93" t="n"/>
      <c r="AF446" s="93" t="n"/>
      <c r="AG446" s="93" t="n"/>
      <c r="AH446" s="92" t="n"/>
      <c r="AI446" s="92" t="n"/>
    </row>
    <row r="447">
      <c r="A447" s="27" t="n"/>
      <c r="B447" s="28" t="n"/>
      <c r="C447" s="27" t="n"/>
      <c r="D447" s="39" t="n"/>
      <c r="E447" s="29" t="n"/>
      <c r="F447" s="90" t="n"/>
      <c r="G447" s="91" t="n"/>
      <c r="H447" s="57" t="n"/>
      <c r="I447" s="92" t="n"/>
      <c r="J447" s="92" t="n"/>
      <c r="K447" s="92" t="n"/>
      <c r="L447" s="92" t="n"/>
      <c r="M447" s="92" t="n"/>
      <c r="N447" s="92" t="n"/>
      <c r="O447" s="92" t="n"/>
      <c r="P447" s="92" t="n"/>
      <c r="Q447" s="92" t="n"/>
      <c r="R447" s="92" t="n"/>
      <c r="S447" s="92" t="n"/>
      <c r="T447" s="92" t="n"/>
      <c r="U447" s="92" t="n"/>
      <c r="V447" s="92" t="n"/>
      <c r="W447" s="92" t="n"/>
      <c r="X447" s="92" t="n"/>
      <c r="Y447" s="93" t="n"/>
      <c r="Z447" s="93" t="n"/>
      <c r="AA447" s="93" t="n"/>
      <c r="AB447" s="93" t="n"/>
      <c r="AC447" s="93" t="n"/>
      <c r="AD447" s="93" t="n"/>
      <c r="AE447" s="93" t="n"/>
      <c r="AF447" s="93" t="n"/>
      <c r="AG447" s="93" t="n"/>
      <c r="AH447" s="92" t="n"/>
      <c r="AI447" s="92" t="n"/>
    </row>
    <row r="448">
      <c r="A448" s="27" t="n"/>
      <c r="B448" s="28" t="n"/>
      <c r="C448" s="27" t="n"/>
      <c r="D448" s="39" t="n"/>
      <c r="E448" s="29" t="n"/>
      <c r="F448" s="90" t="n"/>
      <c r="G448" s="91" t="n"/>
      <c r="H448" s="57" t="n"/>
      <c r="I448" s="92" t="n"/>
      <c r="J448" s="92" t="n"/>
      <c r="K448" s="92" t="n"/>
      <c r="L448" s="92" t="n"/>
      <c r="M448" s="92" t="n"/>
      <c r="N448" s="92" t="n"/>
      <c r="O448" s="92" t="n"/>
      <c r="P448" s="92" t="n"/>
      <c r="Q448" s="92" t="n"/>
      <c r="R448" s="92" t="n"/>
      <c r="S448" s="92" t="n"/>
      <c r="T448" s="92" t="n"/>
      <c r="U448" s="92" t="n"/>
      <c r="V448" s="92" t="n"/>
      <c r="W448" s="92" t="n"/>
      <c r="X448" s="92" t="n"/>
      <c r="Y448" s="93" t="n"/>
      <c r="Z448" s="93" t="n"/>
      <c r="AA448" s="93" t="n"/>
      <c r="AB448" s="93" t="n"/>
      <c r="AC448" s="93" t="n"/>
      <c r="AD448" s="93" t="n"/>
      <c r="AE448" s="93" t="n"/>
      <c r="AF448" s="93" t="n"/>
      <c r="AG448" s="93" t="n"/>
      <c r="AH448" s="92" t="n"/>
      <c r="AI448" s="92" t="n"/>
    </row>
    <row r="449">
      <c r="A449" s="27" t="n"/>
      <c r="B449" s="28" t="n"/>
      <c r="C449" s="27" t="n"/>
      <c r="D449" s="39" t="n"/>
      <c r="E449" s="29" t="n"/>
      <c r="F449" s="90" t="n"/>
      <c r="G449" s="91" t="n"/>
      <c r="H449" s="57" t="n"/>
      <c r="I449" s="92" t="n"/>
      <c r="J449" s="92" t="n"/>
      <c r="K449" s="92" t="n"/>
      <c r="L449" s="92" t="n"/>
      <c r="M449" s="92" t="n"/>
      <c r="N449" s="92" t="n"/>
      <c r="O449" s="92" t="n"/>
      <c r="P449" s="92" t="n"/>
      <c r="Q449" s="92" t="n"/>
      <c r="R449" s="92" t="n"/>
      <c r="S449" s="92" t="n"/>
      <c r="T449" s="92" t="n"/>
      <c r="U449" s="92" t="n"/>
      <c r="V449" s="92" t="n"/>
      <c r="W449" s="92" t="n"/>
      <c r="X449" s="92" t="n"/>
      <c r="Y449" s="93" t="n"/>
      <c r="Z449" s="93" t="n"/>
      <c r="AA449" s="93" t="n"/>
      <c r="AB449" s="93" t="n"/>
      <c r="AC449" s="93" t="n"/>
      <c r="AD449" s="93" t="n"/>
      <c r="AE449" s="93" t="n"/>
      <c r="AF449" s="93" t="n"/>
      <c r="AG449" s="93" t="n"/>
      <c r="AH449" s="92" t="n"/>
      <c r="AI449" s="92" t="n"/>
    </row>
    <row r="450">
      <c r="A450" s="27" t="n"/>
      <c r="B450" s="28" t="n"/>
      <c r="C450" s="27" t="n"/>
      <c r="D450" s="39" t="n"/>
      <c r="E450" s="29" t="n"/>
      <c r="F450" s="90" t="n"/>
      <c r="G450" s="91" t="n"/>
      <c r="H450" s="57" t="n"/>
      <c r="I450" s="92" t="n"/>
      <c r="J450" s="92" t="n"/>
      <c r="K450" s="92" t="n"/>
      <c r="L450" s="92" t="n"/>
      <c r="M450" s="92" t="n"/>
      <c r="N450" s="92" t="n"/>
      <c r="O450" s="92" t="n"/>
      <c r="P450" s="92" t="n"/>
      <c r="Q450" s="92" t="n"/>
      <c r="R450" s="92" t="n"/>
      <c r="S450" s="92" t="n"/>
      <c r="T450" s="92" t="n"/>
      <c r="U450" s="92" t="n"/>
      <c r="V450" s="92" t="n"/>
      <c r="W450" s="92" t="n"/>
      <c r="X450" s="92" t="n"/>
      <c r="Y450" s="93" t="n"/>
      <c r="Z450" s="93" t="n"/>
      <c r="AA450" s="93" t="n"/>
      <c r="AB450" s="93" t="n"/>
      <c r="AC450" s="93" t="n"/>
      <c r="AD450" s="93" t="n"/>
      <c r="AE450" s="93" t="n"/>
      <c r="AF450" s="93" t="n"/>
      <c r="AG450" s="93" t="n"/>
      <c r="AH450" s="92" t="n"/>
      <c r="AI450" s="92" t="n"/>
    </row>
    <row r="451">
      <c r="A451" s="27" t="n"/>
      <c r="B451" s="28" t="n"/>
      <c r="C451" s="27" t="n"/>
      <c r="D451" s="39" t="n"/>
      <c r="E451" s="29" t="n"/>
      <c r="F451" s="90" t="n"/>
      <c r="G451" s="91" t="n"/>
      <c r="H451" s="57" t="n"/>
      <c r="I451" s="92" t="n"/>
      <c r="J451" s="92" t="n"/>
      <c r="K451" s="92" t="n"/>
      <c r="L451" s="92" t="n"/>
      <c r="M451" s="92" t="n"/>
      <c r="N451" s="92" t="n"/>
      <c r="O451" s="92" t="n"/>
      <c r="P451" s="92" t="n"/>
      <c r="Q451" s="92" t="n"/>
      <c r="R451" s="92" t="n"/>
      <c r="S451" s="92" t="n"/>
      <c r="T451" s="92" t="n"/>
      <c r="U451" s="92" t="n"/>
      <c r="V451" s="92" t="n"/>
      <c r="W451" s="92" t="n"/>
      <c r="X451" s="92" t="n"/>
      <c r="Y451" s="93" t="n"/>
      <c r="Z451" s="93" t="n"/>
      <c r="AA451" s="93" t="n"/>
      <c r="AB451" s="93" t="n"/>
      <c r="AC451" s="93" t="n"/>
      <c r="AD451" s="93" t="n"/>
      <c r="AE451" s="93" t="n"/>
      <c r="AF451" s="93" t="n"/>
      <c r="AG451" s="93" t="n"/>
      <c r="AH451" s="92" t="n"/>
      <c r="AI451" s="92" t="n"/>
    </row>
    <row r="452">
      <c r="A452" s="27" t="n"/>
      <c r="B452" s="28" t="n"/>
      <c r="C452" s="27" t="n"/>
      <c r="D452" s="39" t="n"/>
      <c r="E452" s="29" t="n"/>
      <c r="F452" s="90" t="n"/>
      <c r="G452" s="91" t="n"/>
      <c r="H452" s="57" t="n"/>
      <c r="I452" s="92" t="n"/>
      <c r="J452" s="92" t="n"/>
      <c r="K452" s="92" t="n"/>
      <c r="L452" s="92" t="n"/>
      <c r="M452" s="92" t="n"/>
      <c r="N452" s="92" t="n"/>
      <c r="O452" s="92" t="n"/>
      <c r="P452" s="92" t="n"/>
      <c r="Q452" s="92" t="n"/>
      <c r="R452" s="92" t="n"/>
      <c r="S452" s="92" t="n"/>
      <c r="T452" s="92" t="n"/>
      <c r="U452" s="92" t="n"/>
      <c r="V452" s="92" t="n"/>
      <c r="W452" s="92" t="n"/>
      <c r="X452" s="92" t="n"/>
      <c r="Y452" s="93" t="n"/>
      <c r="Z452" s="93" t="n"/>
      <c r="AA452" s="93" t="n"/>
      <c r="AB452" s="93" t="n"/>
      <c r="AC452" s="93" t="n"/>
      <c r="AD452" s="93" t="n"/>
      <c r="AE452" s="93" t="n"/>
      <c r="AF452" s="93" t="n"/>
      <c r="AG452" s="93" t="n"/>
      <c r="AH452" s="92" t="n"/>
      <c r="AI452" s="92" t="n"/>
    </row>
    <row r="453">
      <c r="A453" s="27" t="n"/>
      <c r="B453" s="28" t="n"/>
      <c r="C453" s="27" t="n"/>
      <c r="D453" s="39" t="n"/>
      <c r="E453" s="29" t="n"/>
      <c r="F453" s="90" t="n"/>
      <c r="G453" s="91" t="n"/>
      <c r="H453" s="57" t="n"/>
      <c r="I453" s="92" t="n"/>
      <c r="J453" s="92" t="n"/>
      <c r="K453" s="92" t="n"/>
      <c r="L453" s="92" t="n"/>
      <c r="M453" s="92" t="n"/>
      <c r="N453" s="92" t="n"/>
      <c r="O453" s="92" t="n"/>
      <c r="P453" s="92" t="n"/>
      <c r="Q453" s="92" t="n"/>
      <c r="R453" s="92" t="n"/>
      <c r="S453" s="92" t="n"/>
      <c r="T453" s="92" t="n"/>
      <c r="U453" s="92" t="n"/>
      <c r="V453" s="92" t="n"/>
      <c r="W453" s="92" t="n"/>
      <c r="X453" s="92" t="n"/>
      <c r="Y453" s="93" t="n"/>
      <c r="Z453" s="93" t="n"/>
      <c r="AA453" s="93" t="n"/>
      <c r="AB453" s="93" t="n"/>
      <c r="AC453" s="93" t="n"/>
      <c r="AD453" s="93" t="n"/>
      <c r="AE453" s="93" t="n"/>
      <c r="AF453" s="93" t="n"/>
      <c r="AG453" s="93" t="n"/>
      <c r="AH453" s="92" t="n"/>
      <c r="AI453" s="92" t="n"/>
    </row>
    <row r="454">
      <c r="A454" s="27" t="n"/>
      <c r="B454" s="28" t="n"/>
      <c r="C454" s="27" t="n"/>
      <c r="D454" s="39" t="n"/>
      <c r="E454" s="29" t="n"/>
      <c r="F454" s="90" t="n"/>
      <c r="G454" s="91" t="n"/>
      <c r="H454" s="57" t="n"/>
      <c r="I454" s="92" t="n"/>
      <c r="J454" s="92" t="n"/>
      <c r="K454" s="92" t="n"/>
      <c r="L454" s="92" t="n"/>
      <c r="M454" s="92" t="n"/>
      <c r="N454" s="92" t="n"/>
      <c r="O454" s="92" t="n"/>
      <c r="P454" s="92" t="n"/>
      <c r="Q454" s="92" t="n"/>
      <c r="R454" s="92" t="n"/>
      <c r="S454" s="92" t="n"/>
      <c r="T454" s="92" t="n"/>
      <c r="U454" s="92" t="n"/>
      <c r="V454" s="92" t="n"/>
      <c r="W454" s="92" t="n"/>
      <c r="X454" s="92" t="n"/>
      <c r="Y454" s="93" t="n"/>
      <c r="Z454" s="93" t="n"/>
      <c r="AA454" s="93" t="n"/>
      <c r="AB454" s="93" t="n"/>
      <c r="AC454" s="93" t="n"/>
      <c r="AD454" s="93" t="n"/>
      <c r="AE454" s="93" t="n"/>
      <c r="AF454" s="93" t="n"/>
      <c r="AG454" s="93" t="n"/>
      <c r="AH454" s="92" t="n"/>
      <c r="AI454" s="92" t="n"/>
    </row>
    <row r="455">
      <c r="A455" s="27" t="n"/>
      <c r="B455" s="28" t="n"/>
      <c r="C455" s="27" t="n"/>
      <c r="D455" s="39" t="n"/>
      <c r="E455" s="29" t="n"/>
      <c r="F455" s="90" t="n"/>
      <c r="G455" s="91" t="n"/>
      <c r="H455" s="57" t="n"/>
      <c r="I455" s="92" t="n"/>
      <c r="J455" s="92" t="n"/>
      <c r="K455" s="92" t="n"/>
      <c r="L455" s="92" t="n"/>
      <c r="M455" s="92" t="n"/>
      <c r="N455" s="92" t="n"/>
      <c r="O455" s="92" t="n"/>
      <c r="P455" s="92" t="n"/>
      <c r="Q455" s="92" t="n"/>
      <c r="R455" s="92" t="n"/>
      <c r="S455" s="92" t="n"/>
      <c r="T455" s="92" t="n"/>
      <c r="U455" s="92" t="n"/>
      <c r="V455" s="92" t="n"/>
      <c r="W455" s="92" t="n"/>
      <c r="X455" s="92" t="n"/>
      <c r="Y455" s="93" t="n"/>
      <c r="Z455" s="93" t="n"/>
      <c r="AA455" s="93" t="n"/>
      <c r="AB455" s="93" t="n"/>
      <c r="AC455" s="93" t="n"/>
      <c r="AD455" s="93" t="n"/>
      <c r="AE455" s="93" t="n"/>
      <c r="AF455" s="93" t="n"/>
      <c r="AG455" s="93" t="n"/>
      <c r="AH455" s="92" t="n"/>
      <c r="AI455" s="92" t="n"/>
    </row>
    <row r="456">
      <c r="A456" s="27" t="n"/>
      <c r="B456" s="28" t="n"/>
      <c r="C456" s="27" t="n"/>
      <c r="D456" s="39" t="n"/>
      <c r="E456" s="29" t="n"/>
      <c r="F456" s="90" t="n"/>
      <c r="G456" s="91" t="n"/>
      <c r="H456" s="57" t="n"/>
      <c r="I456" s="92" t="n"/>
      <c r="J456" s="92" t="n"/>
      <c r="K456" s="92" t="n"/>
      <c r="L456" s="92" t="n"/>
      <c r="M456" s="92" t="n"/>
      <c r="N456" s="92" t="n"/>
      <c r="O456" s="92" t="n"/>
      <c r="P456" s="92" t="n"/>
      <c r="Q456" s="92" t="n"/>
      <c r="R456" s="92" t="n"/>
      <c r="S456" s="92" t="n"/>
      <c r="T456" s="92" t="n"/>
      <c r="U456" s="92" t="n"/>
      <c r="V456" s="92" t="n"/>
      <c r="W456" s="92" t="n"/>
      <c r="X456" s="92" t="n"/>
      <c r="Y456" s="93" t="n"/>
      <c r="Z456" s="93" t="n"/>
      <c r="AA456" s="93" t="n"/>
      <c r="AB456" s="93" t="n"/>
      <c r="AC456" s="93" t="n"/>
      <c r="AD456" s="93" t="n"/>
      <c r="AE456" s="93" t="n"/>
      <c r="AF456" s="93" t="n"/>
      <c r="AG456" s="93" t="n"/>
      <c r="AH456" s="92" t="n"/>
      <c r="AI456" s="92" t="n"/>
    </row>
    <row r="457">
      <c r="A457" s="27" t="n"/>
      <c r="B457" s="28" t="n"/>
      <c r="C457" s="27" t="n"/>
      <c r="D457" s="39" t="n"/>
      <c r="E457" s="29" t="n"/>
      <c r="F457" s="90" t="n"/>
      <c r="G457" s="91" t="n"/>
      <c r="H457" s="57" t="n"/>
      <c r="I457" s="92" t="n"/>
      <c r="J457" s="92" t="n"/>
      <c r="K457" s="92" t="n"/>
      <c r="L457" s="92" t="n"/>
      <c r="M457" s="92" t="n"/>
      <c r="N457" s="92" t="n"/>
      <c r="O457" s="92" t="n"/>
      <c r="P457" s="92" t="n"/>
      <c r="Q457" s="92" t="n"/>
      <c r="R457" s="92" t="n"/>
      <c r="S457" s="92" t="n"/>
      <c r="T457" s="92" t="n"/>
      <c r="U457" s="92" t="n"/>
      <c r="V457" s="92" t="n"/>
      <c r="W457" s="92" t="n"/>
      <c r="X457" s="92" t="n"/>
      <c r="Y457" s="93" t="n"/>
      <c r="Z457" s="93" t="n"/>
      <c r="AA457" s="93" t="n"/>
      <c r="AB457" s="93" t="n"/>
      <c r="AC457" s="93" t="n"/>
      <c r="AD457" s="93" t="n"/>
      <c r="AE457" s="93" t="n"/>
      <c r="AF457" s="93" t="n"/>
      <c r="AG457" s="93" t="n"/>
      <c r="AH457" s="92" t="n"/>
      <c r="AI457" s="92" t="n"/>
    </row>
    <row r="458">
      <c r="A458" s="27" t="n"/>
      <c r="B458" s="28" t="n"/>
      <c r="C458" s="27" t="n"/>
      <c r="D458" s="39" t="n"/>
      <c r="E458" s="29" t="n"/>
      <c r="F458" s="90" t="n"/>
      <c r="G458" s="91" t="n"/>
      <c r="H458" s="57" t="n"/>
      <c r="I458" s="92" t="n"/>
      <c r="J458" s="92" t="n"/>
      <c r="K458" s="92" t="n"/>
      <c r="L458" s="92" t="n"/>
      <c r="M458" s="92" t="n"/>
      <c r="N458" s="92" t="n"/>
      <c r="O458" s="92" t="n"/>
      <c r="P458" s="92" t="n"/>
      <c r="Q458" s="92" t="n"/>
      <c r="R458" s="92" t="n"/>
      <c r="S458" s="92" t="n"/>
      <c r="T458" s="92" t="n"/>
      <c r="U458" s="92" t="n"/>
      <c r="V458" s="92" t="n"/>
      <c r="W458" s="92" t="n"/>
      <c r="X458" s="92" t="n"/>
      <c r="Y458" s="93" t="n"/>
      <c r="Z458" s="93" t="n"/>
      <c r="AA458" s="93" t="n"/>
      <c r="AB458" s="93" t="n"/>
      <c r="AC458" s="93" t="n"/>
      <c r="AD458" s="93" t="n"/>
      <c r="AE458" s="93" t="n"/>
      <c r="AF458" s="93" t="n"/>
      <c r="AG458" s="93" t="n"/>
      <c r="AH458" s="92" t="n"/>
      <c r="AI458" s="92" t="n"/>
    </row>
    <row r="459">
      <c r="A459" s="27" t="n"/>
      <c r="B459" s="28" t="n"/>
      <c r="C459" s="27" t="n"/>
      <c r="D459" s="39" t="n"/>
      <c r="E459" s="29" t="n"/>
      <c r="F459" s="90" t="n"/>
      <c r="G459" s="91" t="n"/>
      <c r="H459" s="57" t="n"/>
      <c r="I459" s="92" t="n"/>
      <c r="J459" s="92" t="n"/>
      <c r="K459" s="92" t="n"/>
      <c r="L459" s="92" t="n"/>
      <c r="M459" s="92" t="n"/>
      <c r="N459" s="92" t="n"/>
      <c r="O459" s="92" t="n"/>
      <c r="P459" s="92" t="n"/>
      <c r="Q459" s="92" t="n"/>
      <c r="R459" s="92" t="n"/>
      <c r="S459" s="92" t="n"/>
      <c r="T459" s="92" t="n"/>
      <c r="U459" s="92" t="n"/>
      <c r="V459" s="92" t="n"/>
      <c r="W459" s="92" t="n"/>
      <c r="X459" s="92" t="n"/>
      <c r="Y459" s="93" t="n"/>
      <c r="Z459" s="93" t="n"/>
      <c r="AA459" s="93" t="n"/>
      <c r="AB459" s="93" t="n"/>
      <c r="AC459" s="93" t="n"/>
      <c r="AD459" s="93" t="n"/>
      <c r="AE459" s="93" t="n"/>
      <c r="AF459" s="93" t="n"/>
      <c r="AG459" s="93" t="n"/>
      <c r="AH459" s="92" t="n"/>
      <c r="AI459" s="92" t="n"/>
    </row>
    <row r="460">
      <c r="A460" s="27" t="n"/>
      <c r="B460" s="28" t="n"/>
      <c r="C460" s="27" t="n"/>
      <c r="D460" s="39" t="n"/>
      <c r="E460" s="29" t="n"/>
      <c r="F460" s="90" t="n"/>
      <c r="G460" s="91" t="n"/>
      <c r="H460" s="57" t="n"/>
      <c r="I460" s="92" t="n"/>
      <c r="J460" s="92" t="n"/>
      <c r="K460" s="92" t="n"/>
      <c r="L460" s="92" t="n"/>
      <c r="M460" s="92" t="n"/>
      <c r="N460" s="92" t="n"/>
      <c r="O460" s="92" t="n"/>
      <c r="P460" s="92" t="n"/>
      <c r="Q460" s="92" t="n"/>
      <c r="R460" s="92" t="n"/>
      <c r="S460" s="92" t="n"/>
      <c r="T460" s="92" t="n"/>
      <c r="U460" s="92" t="n"/>
      <c r="V460" s="92" t="n"/>
      <c r="W460" s="92" t="n"/>
      <c r="X460" s="92" t="n"/>
      <c r="Y460" s="93" t="n"/>
      <c r="Z460" s="93" t="n"/>
      <c r="AA460" s="93" t="n"/>
      <c r="AB460" s="93" t="n"/>
      <c r="AC460" s="93" t="n"/>
      <c r="AD460" s="93" t="n"/>
      <c r="AE460" s="93" t="n"/>
      <c r="AF460" s="93" t="n"/>
      <c r="AG460" s="93" t="n"/>
      <c r="AH460" s="92" t="n"/>
      <c r="AI460" s="92" t="n"/>
    </row>
    <row r="461">
      <c r="A461" s="27" t="n"/>
      <c r="B461" s="28" t="n"/>
      <c r="C461" s="27" t="n"/>
      <c r="D461" s="39" t="n"/>
      <c r="E461" s="29" t="n"/>
      <c r="F461" s="90" t="n"/>
      <c r="G461" s="91" t="n"/>
      <c r="H461" s="57" t="n"/>
      <c r="I461" s="92" t="n"/>
      <c r="J461" s="92" t="n"/>
      <c r="K461" s="92" t="n"/>
      <c r="L461" s="92" t="n"/>
      <c r="M461" s="92" t="n"/>
      <c r="N461" s="92" t="n"/>
      <c r="O461" s="92" t="n"/>
      <c r="P461" s="92" t="n"/>
      <c r="Q461" s="92" t="n"/>
      <c r="R461" s="92" t="n"/>
      <c r="S461" s="92" t="n"/>
      <c r="T461" s="92" t="n"/>
      <c r="U461" s="92" t="n"/>
      <c r="V461" s="92" t="n"/>
      <c r="W461" s="92" t="n"/>
      <c r="X461" s="92" t="n"/>
      <c r="Y461" s="93" t="n"/>
      <c r="Z461" s="93" t="n"/>
      <c r="AA461" s="93" t="n"/>
      <c r="AB461" s="93" t="n"/>
      <c r="AC461" s="93" t="n"/>
      <c r="AD461" s="93" t="n"/>
      <c r="AE461" s="93" t="n"/>
      <c r="AF461" s="93" t="n"/>
      <c r="AG461" s="93" t="n"/>
      <c r="AH461" s="92" t="n"/>
      <c r="AI461" s="92" t="n"/>
    </row>
    <row r="462">
      <c r="A462" s="27" t="n"/>
      <c r="B462" s="28" t="n"/>
      <c r="C462" s="27" t="n"/>
      <c r="D462" s="39" t="n"/>
      <c r="E462" s="29" t="n"/>
      <c r="F462" s="90" t="n"/>
      <c r="G462" s="91" t="n"/>
      <c r="H462" s="57" t="n"/>
      <c r="I462" s="92" t="n"/>
      <c r="J462" s="92" t="n"/>
      <c r="K462" s="92" t="n"/>
      <c r="L462" s="92" t="n"/>
      <c r="M462" s="92" t="n"/>
      <c r="N462" s="92" t="n"/>
      <c r="O462" s="92" t="n"/>
      <c r="P462" s="92" t="n"/>
      <c r="Q462" s="92" t="n"/>
      <c r="R462" s="92" t="n"/>
      <c r="S462" s="92" t="n"/>
      <c r="T462" s="92" t="n"/>
      <c r="U462" s="92" t="n"/>
      <c r="V462" s="92" t="n"/>
      <c r="W462" s="92" t="n"/>
      <c r="X462" s="92" t="n"/>
      <c r="Y462" s="93" t="n"/>
      <c r="Z462" s="93" t="n"/>
      <c r="AA462" s="93" t="n"/>
      <c r="AB462" s="93" t="n"/>
      <c r="AC462" s="93" t="n"/>
      <c r="AD462" s="93" t="n"/>
      <c r="AE462" s="93" t="n"/>
      <c r="AF462" s="93" t="n"/>
      <c r="AG462" s="93" t="n"/>
      <c r="AH462" s="92" t="n"/>
      <c r="AI462" s="92" t="n"/>
    </row>
    <row r="463">
      <c r="A463" s="27" t="n"/>
      <c r="B463" s="28" t="n"/>
      <c r="C463" s="27" t="n"/>
      <c r="D463" s="39" t="n"/>
      <c r="E463" s="29" t="n"/>
      <c r="F463" s="90" t="n"/>
      <c r="G463" s="91" t="n"/>
      <c r="H463" s="57" t="n"/>
      <c r="I463" s="92" t="n"/>
      <c r="J463" s="92" t="n"/>
      <c r="K463" s="92" t="n"/>
      <c r="L463" s="92" t="n"/>
      <c r="M463" s="92" t="n"/>
      <c r="N463" s="92" t="n"/>
      <c r="O463" s="92" t="n"/>
      <c r="P463" s="92" t="n"/>
      <c r="Q463" s="92" t="n"/>
      <c r="R463" s="92" t="n"/>
      <c r="S463" s="92" t="n"/>
      <c r="T463" s="92" t="n"/>
      <c r="U463" s="92" t="n"/>
      <c r="V463" s="92" t="n"/>
      <c r="W463" s="92" t="n"/>
      <c r="X463" s="92" t="n"/>
      <c r="Y463" s="93" t="n"/>
      <c r="Z463" s="93" t="n"/>
      <c r="AA463" s="93" t="n"/>
      <c r="AB463" s="93" t="n"/>
      <c r="AC463" s="93" t="n"/>
      <c r="AD463" s="93" t="n"/>
      <c r="AE463" s="93" t="n"/>
      <c r="AF463" s="93" t="n"/>
      <c r="AG463" s="93" t="n"/>
      <c r="AH463" s="92" t="n"/>
      <c r="AI463" s="92" t="n"/>
    </row>
    <row r="464">
      <c r="A464" s="27" t="n"/>
      <c r="B464" s="28" t="n"/>
      <c r="C464" s="27" t="n"/>
      <c r="D464" s="39" t="n"/>
      <c r="E464" s="29" t="n"/>
      <c r="F464" s="90" t="n"/>
      <c r="G464" s="91" t="n"/>
      <c r="H464" s="57" t="n"/>
      <c r="I464" s="92" t="n"/>
      <c r="J464" s="92" t="n"/>
      <c r="K464" s="92" t="n"/>
      <c r="L464" s="92" t="n"/>
      <c r="M464" s="92" t="n"/>
      <c r="N464" s="92" t="n"/>
      <c r="O464" s="92" t="n"/>
      <c r="P464" s="92" t="n"/>
      <c r="Q464" s="92" t="n"/>
      <c r="R464" s="92" t="n"/>
      <c r="S464" s="92" t="n"/>
      <c r="T464" s="92" t="n"/>
      <c r="U464" s="92" t="n"/>
      <c r="V464" s="92" t="n"/>
      <c r="W464" s="92" t="n"/>
      <c r="X464" s="92" t="n"/>
      <c r="Y464" s="93" t="n"/>
      <c r="Z464" s="93" t="n"/>
      <c r="AA464" s="93" t="n"/>
      <c r="AB464" s="93" t="n"/>
      <c r="AC464" s="93" t="n"/>
      <c r="AD464" s="93" t="n"/>
      <c r="AE464" s="93" t="n"/>
      <c r="AF464" s="93" t="n"/>
      <c r="AG464" s="93" t="n"/>
      <c r="AH464" s="92" t="n"/>
      <c r="AI464" s="92" t="n"/>
    </row>
    <row r="465">
      <c r="A465" s="27" t="n"/>
      <c r="B465" s="28" t="n"/>
      <c r="C465" s="27" t="n"/>
      <c r="D465" s="39" t="n"/>
      <c r="E465" s="29" t="n"/>
      <c r="F465" s="90" t="n"/>
      <c r="G465" s="91" t="n"/>
      <c r="H465" s="57" t="n"/>
      <c r="I465" s="92" t="n"/>
      <c r="J465" s="92" t="n"/>
      <c r="K465" s="92" t="n"/>
      <c r="L465" s="92" t="n"/>
      <c r="M465" s="92" t="n"/>
      <c r="N465" s="92" t="n"/>
      <c r="O465" s="92" t="n"/>
      <c r="P465" s="92" t="n"/>
      <c r="Q465" s="92" t="n"/>
      <c r="R465" s="92" t="n"/>
      <c r="S465" s="92" t="n"/>
      <c r="T465" s="92" t="n"/>
      <c r="U465" s="92" t="n"/>
      <c r="V465" s="92" t="n"/>
      <c r="W465" s="92" t="n"/>
      <c r="X465" s="92" t="n"/>
      <c r="Y465" s="93" t="n"/>
      <c r="Z465" s="93" t="n"/>
      <c r="AA465" s="93" t="n"/>
      <c r="AB465" s="93" t="n"/>
      <c r="AC465" s="93" t="n"/>
      <c r="AD465" s="93" t="n"/>
      <c r="AE465" s="93" t="n"/>
      <c r="AF465" s="93" t="n"/>
      <c r="AG465" s="93" t="n"/>
      <c r="AH465" s="92" t="n"/>
      <c r="AI465" s="92" t="n"/>
    </row>
    <row r="466">
      <c r="A466" s="27" t="n"/>
      <c r="B466" s="28" t="n"/>
      <c r="C466" s="27" t="n"/>
      <c r="D466" s="39" t="n"/>
      <c r="E466" s="29" t="n"/>
      <c r="F466" s="90" t="n"/>
      <c r="G466" s="91" t="n"/>
      <c r="H466" s="57" t="n"/>
      <c r="I466" s="92" t="n"/>
      <c r="J466" s="92" t="n"/>
      <c r="K466" s="92" t="n"/>
      <c r="L466" s="92" t="n"/>
      <c r="M466" s="92" t="n"/>
      <c r="N466" s="92" t="n"/>
      <c r="O466" s="92" t="n"/>
      <c r="P466" s="92" t="n"/>
      <c r="Q466" s="92" t="n"/>
      <c r="R466" s="92" t="n"/>
      <c r="S466" s="92" t="n"/>
      <c r="T466" s="92" t="n"/>
      <c r="U466" s="92" t="n"/>
      <c r="V466" s="92" t="n"/>
      <c r="W466" s="92" t="n"/>
      <c r="X466" s="92" t="n"/>
      <c r="Y466" s="93" t="n"/>
      <c r="Z466" s="93" t="n"/>
      <c r="AA466" s="93" t="n"/>
      <c r="AB466" s="93" t="n"/>
      <c r="AC466" s="93" t="n"/>
      <c r="AD466" s="93" t="n"/>
      <c r="AE466" s="93" t="n"/>
      <c r="AF466" s="93" t="n"/>
      <c r="AG466" s="93" t="n"/>
      <c r="AH466" s="92" t="n"/>
      <c r="AI466" s="92" t="n"/>
    </row>
    <row r="467">
      <c r="A467" s="27" t="n"/>
      <c r="B467" s="28" t="n"/>
      <c r="C467" s="27" t="n"/>
      <c r="D467" s="39" t="n"/>
      <c r="E467" s="29" t="n"/>
      <c r="F467" s="90" t="n"/>
      <c r="G467" s="91" t="n"/>
      <c r="H467" s="57" t="n"/>
      <c r="I467" s="92" t="n"/>
      <c r="J467" s="92" t="n"/>
      <c r="K467" s="92" t="n"/>
      <c r="L467" s="92" t="n"/>
      <c r="M467" s="92" t="n"/>
      <c r="N467" s="92" t="n"/>
      <c r="O467" s="92" t="n"/>
      <c r="P467" s="92" t="n"/>
      <c r="Q467" s="92" t="n"/>
      <c r="R467" s="92" t="n"/>
      <c r="S467" s="92" t="n"/>
      <c r="T467" s="92" t="n"/>
      <c r="U467" s="92" t="n"/>
      <c r="V467" s="92" t="n"/>
      <c r="W467" s="92" t="n"/>
      <c r="X467" s="92" t="n"/>
      <c r="Y467" s="93" t="n"/>
      <c r="Z467" s="93" t="n"/>
      <c r="AA467" s="93" t="n"/>
      <c r="AB467" s="93" t="n"/>
      <c r="AC467" s="93" t="n"/>
      <c r="AD467" s="93" t="n"/>
      <c r="AE467" s="93" t="n"/>
      <c r="AF467" s="93" t="n"/>
      <c r="AG467" s="93" t="n"/>
      <c r="AH467" s="92" t="n"/>
      <c r="AI467" s="92" t="n"/>
    </row>
    <row r="468">
      <c r="A468" s="27" t="n"/>
      <c r="B468" s="28" t="n"/>
      <c r="C468" s="27" t="n"/>
      <c r="D468" s="39" t="n"/>
      <c r="E468" s="29" t="n"/>
      <c r="F468" s="90" t="n"/>
      <c r="G468" s="91" t="n"/>
      <c r="H468" s="57" t="n"/>
      <c r="I468" s="92" t="n"/>
      <c r="J468" s="92" t="n"/>
      <c r="K468" s="92" t="n"/>
      <c r="L468" s="92" t="n"/>
      <c r="M468" s="92" t="n"/>
      <c r="N468" s="92" t="n"/>
      <c r="O468" s="92" t="n"/>
      <c r="P468" s="92" t="n"/>
      <c r="Q468" s="92" t="n"/>
      <c r="R468" s="92" t="n"/>
      <c r="S468" s="92" t="n"/>
      <c r="T468" s="92" t="n"/>
      <c r="U468" s="92" t="n"/>
      <c r="V468" s="92" t="n"/>
      <c r="W468" s="92" t="n"/>
      <c r="X468" s="92" t="n"/>
      <c r="Y468" s="93" t="n"/>
      <c r="Z468" s="93" t="n"/>
      <c r="AA468" s="93" t="n"/>
      <c r="AB468" s="93" t="n"/>
      <c r="AC468" s="93" t="n"/>
      <c r="AD468" s="93" t="n"/>
      <c r="AE468" s="93" t="n"/>
      <c r="AF468" s="93" t="n"/>
      <c r="AG468" s="93" t="n"/>
      <c r="AH468" s="92" t="n"/>
      <c r="AI468" s="92" t="n"/>
    </row>
    <row r="469">
      <c r="A469" s="27" t="n"/>
      <c r="B469" s="28" t="n"/>
      <c r="C469" s="27" t="n"/>
      <c r="D469" s="39" t="n"/>
      <c r="E469" s="29" t="n"/>
      <c r="F469" s="90" t="n"/>
      <c r="G469" s="91" t="n"/>
      <c r="H469" s="57" t="n"/>
      <c r="I469" s="92" t="n"/>
      <c r="J469" s="92" t="n"/>
      <c r="K469" s="92" t="n"/>
      <c r="L469" s="92" t="n"/>
      <c r="M469" s="92" t="n"/>
      <c r="N469" s="92" t="n"/>
      <c r="O469" s="92" t="n"/>
      <c r="P469" s="92" t="n"/>
      <c r="Q469" s="92" t="n"/>
      <c r="R469" s="92" t="n"/>
      <c r="S469" s="92" t="n"/>
      <c r="T469" s="92" t="n"/>
      <c r="U469" s="92" t="n"/>
      <c r="V469" s="92" t="n"/>
      <c r="W469" s="92" t="n"/>
      <c r="X469" s="92" t="n"/>
      <c r="Y469" s="93" t="n"/>
      <c r="Z469" s="93" t="n"/>
      <c r="AA469" s="93" t="n"/>
      <c r="AB469" s="93" t="n"/>
      <c r="AC469" s="93" t="n"/>
      <c r="AD469" s="93" t="n"/>
      <c r="AE469" s="93" t="n"/>
      <c r="AF469" s="93" t="n"/>
      <c r="AG469" s="93" t="n"/>
      <c r="AH469" s="92" t="n"/>
      <c r="AI469" s="92" t="n"/>
    </row>
    <row r="470">
      <c r="A470" s="27" t="n"/>
      <c r="B470" s="28" t="n"/>
      <c r="C470" s="27" t="n"/>
      <c r="D470" s="39" t="n"/>
      <c r="E470" s="29" t="n"/>
      <c r="F470" s="90" t="n"/>
      <c r="G470" s="91" t="n"/>
      <c r="H470" s="57" t="n"/>
      <c r="I470" s="92" t="n"/>
      <c r="J470" s="92" t="n"/>
      <c r="K470" s="92" t="n"/>
      <c r="L470" s="92" t="n"/>
      <c r="M470" s="92" t="n"/>
      <c r="N470" s="92" t="n"/>
      <c r="O470" s="92" t="n"/>
      <c r="P470" s="92" t="n"/>
      <c r="Q470" s="92" t="n"/>
      <c r="R470" s="92" t="n"/>
      <c r="S470" s="92" t="n"/>
      <c r="T470" s="92" t="n"/>
      <c r="U470" s="92" t="n"/>
      <c r="V470" s="92" t="n"/>
      <c r="W470" s="92" t="n"/>
      <c r="X470" s="92" t="n"/>
      <c r="Y470" s="93" t="n"/>
      <c r="Z470" s="93" t="n"/>
      <c r="AA470" s="93" t="n"/>
      <c r="AB470" s="93" t="n"/>
      <c r="AC470" s="93" t="n"/>
      <c r="AD470" s="93" t="n"/>
      <c r="AE470" s="93" t="n"/>
      <c r="AF470" s="93" t="n"/>
      <c r="AG470" s="93" t="n"/>
      <c r="AH470" s="92" t="n"/>
      <c r="AI470" s="92" t="n"/>
    </row>
    <row r="471">
      <c r="A471" s="27" t="n"/>
      <c r="B471" s="28" t="n"/>
      <c r="C471" s="27" t="n"/>
      <c r="D471" s="39" t="n"/>
      <c r="E471" s="29" t="n"/>
      <c r="F471" s="90" t="n"/>
      <c r="G471" s="91" t="n"/>
      <c r="H471" s="57" t="n"/>
      <c r="I471" s="92" t="n"/>
      <c r="J471" s="92" t="n"/>
      <c r="K471" s="92" t="n"/>
      <c r="L471" s="92" t="n"/>
      <c r="M471" s="92" t="n"/>
      <c r="N471" s="92" t="n"/>
      <c r="O471" s="92" t="n"/>
      <c r="P471" s="92" t="n"/>
      <c r="Q471" s="92" t="n"/>
      <c r="R471" s="92" t="n"/>
      <c r="S471" s="92" t="n"/>
      <c r="T471" s="92" t="n"/>
      <c r="U471" s="92" t="n"/>
      <c r="V471" s="92" t="n"/>
      <c r="W471" s="92" t="n"/>
      <c r="X471" s="92" t="n"/>
      <c r="Y471" s="93" t="n"/>
      <c r="Z471" s="93" t="n"/>
      <c r="AA471" s="93" t="n"/>
      <c r="AB471" s="93" t="n"/>
      <c r="AC471" s="93" t="n"/>
      <c r="AD471" s="93" t="n"/>
      <c r="AE471" s="93" t="n"/>
      <c r="AF471" s="93" t="n"/>
      <c r="AG471" s="93" t="n"/>
      <c r="AH471" s="92" t="n"/>
      <c r="AI471" s="92" t="n"/>
    </row>
    <row r="472">
      <c r="A472" s="27" t="n"/>
      <c r="B472" s="28" t="n"/>
      <c r="C472" s="27" t="n"/>
      <c r="D472" s="39" t="n"/>
      <c r="E472" s="29" t="n"/>
      <c r="F472" s="90" t="n"/>
      <c r="G472" s="91" t="n"/>
      <c r="H472" s="57" t="n"/>
      <c r="I472" s="92" t="n"/>
      <c r="J472" s="92" t="n"/>
      <c r="K472" s="92" t="n"/>
      <c r="L472" s="92" t="n"/>
      <c r="M472" s="92" t="n"/>
      <c r="N472" s="92" t="n"/>
      <c r="O472" s="92" t="n"/>
      <c r="P472" s="92" t="n"/>
      <c r="Q472" s="92" t="n"/>
      <c r="R472" s="92" t="n"/>
      <c r="S472" s="92" t="n"/>
      <c r="T472" s="92" t="n"/>
      <c r="U472" s="92" t="n"/>
      <c r="V472" s="92" t="n"/>
      <c r="W472" s="92" t="n"/>
      <c r="X472" s="92" t="n"/>
      <c r="Y472" s="93" t="n"/>
      <c r="Z472" s="93" t="n"/>
      <c r="AA472" s="93" t="n"/>
      <c r="AB472" s="93" t="n"/>
      <c r="AC472" s="93" t="n"/>
      <c r="AD472" s="93" t="n"/>
      <c r="AE472" s="93" t="n"/>
      <c r="AF472" s="93" t="n"/>
      <c r="AG472" s="93" t="n"/>
      <c r="AH472" s="92" t="n"/>
      <c r="AI472" s="92" t="n"/>
    </row>
    <row r="473">
      <c r="A473" s="27" t="n"/>
      <c r="B473" s="28" t="n"/>
      <c r="C473" s="27" t="n"/>
      <c r="D473" s="39" t="n"/>
      <c r="E473" s="29" t="n"/>
      <c r="F473" s="90" t="n"/>
      <c r="G473" s="91" t="n"/>
      <c r="H473" s="57" t="n"/>
      <c r="I473" s="92" t="n"/>
      <c r="J473" s="92" t="n"/>
      <c r="K473" s="92" t="n"/>
      <c r="L473" s="92" t="n"/>
      <c r="M473" s="92" t="n"/>
      <c r="N473" s="92" t="n"/>
      <c r="O473" s="92" t="n"/>
      <c r="P473" s="92" t="n"/>
      <c r="Q473" s="92" t="n"/>
      <c r="R473" s="92" t="n"/>
      <c r="S473" s="92" t="n"/>
      <c r="T473" s="92" t="n"/>
      <c r="U473" s="92" t="n"/>
      <c r="V473" s="92" t="n"/>
      <c r="W473" s="92" t="n"/>
      <c r="X473" s="92" t="n"/>
      <c r="Y473" s="93" t="n"/>
      <c r="Z473" s="93" t="n"/>
      <c r="AA473" s="93" t="n"/>
      <c r="AB473" s="93" t="n"/>
      <c r="AC473" s="93" t="n"/>
      <c r="AD473" s="93" t="n"/>
      <c r="AE473" s="93" t="n"/>
      <c r="AF473" s="93" t="n"/>
      <c r="AG473" s="93" t="n"/>
      <c r="AH473" s="92" t="n"/>
      <c r="AI473" s="92" t="n"/>
    </row>
    <row r="474">
      <c r="A474" s="27" t="n"/>
      <c r="B474" s="28" t="n"/>
      <c r="C474" s="27" t="n"/>
      <c r="D474" s="39" t="n"/>
      <c r="E474" s="29" t="n"/>
      <c r="F474" s="90" t="n"/>
      <c r="G474" s="91" t="n"/>
      <c r="H474" s="57" t="n"/>
      <c r="I474" s="92" t="n"/>
      <c r="J474" s="92" t="n"/>
      <c r="K474" s="92" t="n"/>
      <c r="L474" s="92" t="n"/>
      <c r="M474" s="92" t="n"/>
      <c r="N474" s="92" t="n"/>
      <c r="O474" s="92" t="n"/>
      <c r="P474" s="92" t="n"/>
      <c r="Q474" s="92" t="n"/>
      <c r="R474" s="92" t="n"/>
      <c r="S474" s="92" t="n"/>
      <c r="T474" s="92" t="n"/>
      <c r="U474" s="92" t="n"/>
      <c r="V474" s="92" t="n"/>
      <c r="W474" s="92" t="n"/>
      <c r="X474" s="92" t="n"/>
      <c r="Y474" s="93" t="n"/>
      <c r="Z474" s="93" t="n"/>
      <c r="AA474" s="93" t="n"/>
      <c r="AB474" s="93" t="n"/>
      <c r="AC474" s="93" t="n"/>
      <c r="AD474" s="93" t="n"/>
      <c r="AE474" s="93" t="n"/>
      <c r="AF474" s="93" t="n"/>
      <c r="AG474" s="93" t="n"/>
      <c r="AH474" s="92" t="n"/>
      <c r="AI474" s="92" t="n"/>
    </row>
    <row r="475">
      <c r="A475" s="27" t="n"/>
      <c r="B475" s="28" t="n"/>
      <c r="C475" s="27" t="n"/>
      <c r="D475" s="39" t="n"/>
      <c r="E475" s="29" t="n"/>
      <c r="F475" s="90" t="n"/>
      <c r="G475" s="91" t="n"/>
      <c r="H475" s="57" t="n"/>
      <c r="I475" s="92" t="n"/>
      <c r="J475" s="92" t="n"/>
      <c r="K475" s="92" t="n"/>
      <c r="L475" s="92" t="n"/>
      <c r="M475" s="92" t="n"/>
      <c r="N475" s="92" t="n"/>
      <c r="O475" s="92" t="n"/>
      <c r="P475" s="92" t="n"/>
      <c r="Q475" s="92" t="n"/>
      <c r="R475" s="92" t="n"/>
      <c r="S475" s="92" t="n"/>
      <c r="T475" s="92" t="n"/>
      <c r="U475" s="92" t="n"/>
      <c r="V475" s="92" t="n"/>
      <c r="W475" s="92" t="n"/>
      <c r="X475" s="92" t="n"/>
      <c r="Y475" s="93" t="n"/>
      <c r="Z475" s="93" t="n"/>
      <c r="AA475" s="93" t="n"/>
      <c r="AB475" s="93" t="n"/>
      <c r="AC475" s="93" t="n"/>
      <c r="AD475" s="93" t="n"/>
      <c r="AE475" s="93" t="n"/>
      <c r="AF475" s="93" t="n"/>
      <c r="AG475" s="93" t="n"/>
      <c r="AH475" s="92" t="n"/>
      <c r="AI475" s="92" t="n"/>
    </row>
    <row r="476">
      <c r="A476" s="27" t="n"/>
      <c r="B476" s="28" t="n"/>
      <c r="C476" s="27" t="n"/>
      <c r="D476" s="39" t="n"/>
      <c r="E476" s="29" t="n"/>
      <c r="F476" s="90" t="n"/>
      <c r="G476" s="91" t="n"/>
      <c r="H476" s="57" t="n"/>
      <c r="I476" s="92" t="n"/>
      <c r="J476" s="92" t="n"/>
      <c r="K476" s="92" t="n"/>
      <c r="L476" s="92" t="n"/>
      <c r="M476" s="92" t="n"/>
      <c r="N476" s="92" t="n"/>
      <c r="O476" s="92" t="n"/>
      <c r="P476" s="92" t="n"/>
      <c r="Q476" s="92" t="n"/>
      <c r="R476" s="92" t="n"/>
      <c r="S476" s="92" t="n"/>
      <c r="T476" s="92" t="n"/>
      <c r="U476" s="92" t="n"/>
      <c r="V476" s="92" t="n"/>
      <c r="W476" s="92" t="n"/>
      <c r="X476" s="92" t="n"/>
      <c r="Y476" s="93" t="n"/>
      <c r="Z476" s="93" t="n"/>
      <c r="AA476" s="93" t="n"/>
      <c r="AB476" s="93" t="n"/>
      <c r="AC476" s="93" t="n"/>
      <c r="AD476" s="93" t="n"/>
      <c r="AE476" s="93" t="n"/>
      <c r="AF476" s="93" t="n"/>
      <c r="AG476" s="93" t="n"/>
      <c r="AH476" s="92" t="n"/>
      <c r="AI476" s="92" t="n"/>
    </row>
    <row r="477">
      <c r="A477" s="27" t="n"/>
      <c r="B477" s="28" t="n"/>
      <c r="C477" s="27" t="n"/>
      <c r="D477" s="39" t="n"/>
      <c r="E477" s="29" t="n"/>
      <c r="F477" s="90" t="n"/>
      <c r="G477" s="91" t="n"/>
      <c r="H477" s="57" t="n"/>
      <c r="I477" s="92" t="n"/>
      <c r="J477" s="92" t="n"/>
      <c r="K477" s="92" t="n"/>
      <c r="L477" s="92" t="n"/>
      <c r="M477" s="92" t="n"/>
      <c r="N477" s="92" t="n"/>
      <c r="O477" s="92" t="n"/>
      <c r="P477" s="92" t="n"/>
      <c r="Q477" s="92" t="n"/>
      <c r="R477" s="92" t="n"/>
      <c r="S477" s="92" t="n"/>
      <c r="T477" s="92" t="n"/>
      <c r="U477" s="92" t="n"/>
      <c r="V477" s="92" t="n"/>
      <c r="W477" s="92" t="n"/>
      <c r="X477" s="92" t="n"/>
      <c r="Y477" s="93" t="n"/>
      <c r="Z477" s="93" t="n"/>
      <c r="AA477" s="93" t="n"/>
      <c r="AB477" s="93" t="n"/>
      <c r="AC477" s="93" t="n"/>
      <c r="AD477" s="93" t="n"/>
      <c r="AE477" s="93" t="n"/>
      <c r="AF477" s="93" t="n"/>
      <c r="AG477" s="93" t="n"/>
      <c r="AH477" s="92" t="n"/>
      <c r="AI477" s="92" t="n"/>
    </row>
    <row r="478">
      <c r="A478" s="27" t="n"/>
      <c r="B478" s="28" t="n"/>
      <c r="C478" s="27" t="n"/>
      <c r="D478" s="39" t="n"/>
      <c r="E478" s="29" t="n"/>
      <c r="F478" s="90" t="n"/>
      <c r="G478" s="91" t="n"/>
      <c r="H478" s="57" t="n"/>
      <c r="I478" s="92" t="n"/>
      <c r="J478" s="92" t="n"/>
      <c r="K478" s="92" t="n"/>
      <c r="L478" s="92" t="n"/>
      <c r="M478" s="92" t="n"/>
      <c r="N478" s="92" t="n"/>
      <c r="O478" s="92" t="n"/>
      <c r="P478" s="92" t="n"/>
      <c r="Q478" s="92" t="n"/>
      <c r="R478" s="92" t="n"/>
      <c r="S478" s="92" t="n"/>
      <c r="T478" s="92" t="n"/>
      <c r="U478" s="92" t="n"/>
      <c r="V478" s="92" t="n"/>
      <c r="W478" s="92" t="n"/>
      <c r="X478" s="92" t="n"/>
      <c r="Y478" s="93" t="n"/>
      <c r="Z478" s="93" t="n"/>
      <c r="AA478" s="93" t="n"/>
      <c r="AB478" s="93" t="n"/>
      <c r="AC478" s="93" t="n"/>
      <c r="AD478" s="93" t="n"/>
      <c r="AE478" s="93" t="n"/>
      <c r="AF478" s="93" t="n"/>
      <c r="AG478" s="93" t="n"/>
      <c r="AH478" s="92" t="n"/>
      <c r="AI478" s="92" t="n"/>
    </row>
    <row r="479">
      <c r="A479" s="27" t="n"/>
      <c r="B479" s="28" t="n"/>
      <c r="C479" s="27" t="n"/>
      <c r="D479" s="39" t="n"/>
      <c r="E479" s="29" t="n"/>
      <c r="F479" s="90" t="n"/>
      <c r="G479" s="91" t="n"/>
      <c r="H479" s="57" t="n"/>
      <c r="I479" s="92" t="n"/>
      <c r="J479" s="92" t="n"/>
      <c r="K479" s="92" t="n"/>
      <c r="L479" s="92" t="n"/>
      <c r="M479" s="92" t="n"/>
      <c r="N479" s="92" t="n"/>
      <c r="O479" s="92" t="n"/>
      <c r="P479" s="92" t="n"/>
      <c r="Q479" s="92" t="n"/>
      <c r="R479" s="92" t="n"/>
      <c r="S479" s="92" t="n"/>
      <c r="T479" s="92" t="n"/>
      <c r="U479" s="92" t="n"/>
      <c r="V479" s="92" t="n"/>
      <c r="W479" s="92" t="n"/>
      <c r="X479" s="92" t="n"/>
      <c r="Y479" s="93" t="n"/>
      <c r="Z479" s="93" t="n"/>
      <c r="AA479" s="93" t="n"/>
      <c r="AB479" s="93" t="n"/>
      <c r="AC479" s="93" t="n"/>
      <c r="AD479" s="93" t="n"/>
      <c r="AE479" s="93" t="n"/>
      <c r="AF479" s="93" t="n"/>
      <c r="AG479" s="93" t="n"/>
      <c r="AH479" s="92" t="n"/>
      <c r="AI479" s="92" t="n"/>
    </row>
    <row r="480">
      <c r="A480" s="27" t="n"/>
      <c r="B480" s="28" t="n"/>
      <c r="C480" s="27" t="n"/>
      <c r="D480" s="39" t="n"/>
      <c r="E480" s="29" t="n"/>
      <c r="F480" s="90" t="n"/>
      <c r="G480" s="91" t="n"/>
      <c r="H480" s="57" t="n"/>
      <c r="I480" s="92" t="n"/>
      <c r="J480" s="92" t="n"/>
      <c r="K480" s="92" t="n"/>
      <c r="L480" s="92" t="n"/>
      <c r="M480" s="92" t="n"/>
      <c r="N480" s="92" t="n"/>
      <c r="O480" s="92" t="n"/>
      <c r="P480" s="92" t="n"/>
      <c r="Q480" s="92" t="n"/>
      <c r="R480" s="92" t="n"/>
      <c r="S480" s="92" t="n"/>
      <c r="T480" s="92" t="n"/>
      <c r="U480" s="92" t="n"/>
      <c r="V480" s="92" t="n"/>
      <c r="W480" s="92" t="n"/>
      <c r="X480" s="92" t="n"/>
      <c r="Y480" s="93" t="n"/>
      <c r="Z480" s="93" t="n"/>
      <c r="AA480" s="93" t="n"/>
      <c r="AB480" s="93" t="n"/>
      <c r="AC480" s="93" t="n"/>
      <c r="AD480" s="93" t="n"/>
      <c r="AE480" s="93" t="n"/>
      <c r="AF480" s="93" t="n"/>
      <c r="AG480" s="93" t="n"/>
      <c r="AH480" s="92" t="n"/>
      <c r="AI480" s="92" t="n"/>
    </row>
    <row r="481">
      <c r="A481" s="27" t="n"/>
      <c r="B481" s="28" t="n"/>
      <c r="C481" s="27" t="n"/>
      <c r="D481" s="39" t="n"/>
      <c r="E481" s="29" t="n"/>
      <c r="F481" s="90" t="n"/>
      <c r="G481" s="91" t="n"/>
      <c r="H481" s="57" t="n"/>
      <c r="I481" s="92" t="n"/>
      <c r="J481" s="92" t="n"/>
      <c r="K481" s="92" t="n"/>
      <c r="L481" s="92" t="n"/>
      <c r="M481" s="92" t="n"/>
      <c r="N481" s="92" t="n"/>
      <c r="O481" s="92" t="n"/>
      <c r="P481" s="92" t="n"/>
      <c r="Q481" s="92" t="n"/>
      <c r="R481" s="92" t="n"/>
      <c r="S481" s="92" t="n"/>
      <c r="T481" s="92" t="n"/>
      <c r="U481" s="92" t="n"/>
      <c r="V481" s="92" t="n"/>
      <c r="W481" s="92" t="n"/>
      <c r="X481" s="92" t="n"/>
      <c r="Y481" s="93" t="n"/>
      <c r="Z481" s="93" t="n"/>
      <c r="AA481" s="93" t="n"/>
      <c r="AB481" s="93" t="n"/>
      <c r="AC481" s="93" t="n"/>
      <c r="AD481" s="93" t="n"/>
      <c r="AE481" s="93" t="n"/>
      <c r="AF481" s="93" t="n"/>
      <c r="AG481" s="93" t="n"/>
      <c r="AH481" s="92" t="n"/>
      <c r="AI481" s="92" t="n"/>
    </row>
    <row r="482">
      <c r="A482" s="27" t="n"/>
      <c r="B482" s="28" t="n"/>
      <c r="C482" s="27" t="n"/>
      <c r="D482" s="39" t="n"/>
      <c r="E482" s="29" t="n"/>
      <c r="F482" s="90" t="n"/>
      <c r="G482" s="91" t="n"/>
      <c r="H482" s="57" t="n"/>
      <c r="I482" s="92" t="n"/>
      <c r="J482" s="92" t="n"/>
      <c r="K482" s="92" t="n"/>
      <c r="L482" s="92" t="n"/>
      <c r="M482" s="92" t="n"/>
      <c r="N482" s="92" t="n"/>
      <c r="O482" s="92" t="n"/>
      <c r="P482" s="92" t="n"/>
      <c r="Q482" s="92" t="n"/>
      <c r="R482" s="92" t="n"/>
      <c r="S482" s="92" t="n"/>
      <c r="T482" s="92" t="n"/>
      <c r="U482" s="92" t="n"/>
      <c r="V482" s="92" t="n"/>
      <c r="W482" s="92" t="n"/>
      <c r="X482" s="92" t="n"/>
      <c r="Y482" s="93" t="n"/>
      <c r="Z482" s="93" t="n"/>
      <c r="AA482" s="93" t="n"/>
      <c r="AB482" s="93" t="n"/>
      <c r="AC482" s="93" t="n"/>
      <c r="AD482" s="93" t="n"/>
      <c r="AE482" s="93" t="n"/>
      <c r="AF482" s="93" t="n"/>
      <c r="AG482" s="93" t="n"/>
      <c r="AH482" s="92" t="n"/>
      <c r="AI482" s="92" t="n"/>
    </row>
    <row r="483">
      <c r="A483" s="27" t="n"/>
      <c r="B483" s="28" t="n"/>
      <c r="C483" s="27" t="n"/>
      <c r="D483" s="39" t="n"/>
      <c r="E483" s="29" t="n"/>
      <c r="F483" s="90" t="n"/>
      <c r="G483" s="91" t="n"/>
      <c r="H483" s="57" t="n"/>
      <c r="I483" s="92" t="n"/>
      <c r="J483" s="92" t="n"/>
      <c r="K483" s="92" t="n"/>
      <c r="L483" s="92" t="n"/>
      <c r="M483" s="92" t="n"/>
      <c r="N483" s="92" t="n"/>
      <c r="O483" s="92" t="n"/>
      <c r="P483" s="92" t="n"/>
      <c r="Q483" s="92" t="n"/>
      <c r="R483" s="92" t="n"/>
      <c r="S483" s="92" t="n"/>
      <c r="T483" s="92" t="n"/>
      <c r="U483" s="92" t="n"/>
      <c r="V483" s="92" t="n"/>
      <c r="W483" s="92" t="n"/>
      <c r="X483" s="92" t="n"/>
      <c r="Y483" s="93" t="n"/>
      <c r="Z483" s="93" t="n"/>
      <c r="AA483" s="93" t="n"/>
      <c r="AB483" s="93" t="n"/>
      <c r="AC483" s="93" t="n"/>
      <c r="AD483" s="93" t="n"/>
      <c r="AE483" s="93" t="n"/>
      <c r="AF483" s="93" t="n"/>
      <c r="AG483" s="93" t="n"/>
      <c r="AH483" s="92" t="n"/>
      <c r="AI483" s="92" t="n"/>
    </row>
    <row r="484">
      <c r="A484" s="27" t="n"/>
      <c r="B484" s="28" t="n"/>
      <c r="C484" s="27" t="n"/>
      <c r="D484" s="39" t="n"/>
      <c r="E484" s="29" t="n"/>
      <c r="F484" s="90" t="n"/>
      <c r="G484" s="91" t="n"/>
      <c r="H484" s="57" t="n"/>
      <c r="I484" s="92" t="n"/>
      <c r="J484" s="92" t="n"/>
      <c r="K484" s="92" t="n"/>
      <c r="L484" s="92" t="n"/>
      <c r="M484" s="92" t="n"/>
      <c r="N484" s="92" t="n"/>
      <c r="O484" s="92" t="n"/>
      <c r="P484" s="92" t="n"/>
      <c r="Q484" s="92" t="n"/>
      <c r="R484" s="92" t="n"/>
      <c r="S484" s="92" t="n"/>
      <c r="T484" s="92" t="n"/>
      <c r="U484" s="92" t="n"/>
      <c r="V484" s="92" t="n"/>
      <c r="W484" s="92" t="n"/>
      <c r="X484" s="92" t="n"/>
      <c r="Y484" s="93" t="n"/>
      <c r="Z484" s="93" t="n"/>
      <c r="AA484" s="93" t="n"/>
      <c r="AB484" s="93" t="n"/>
      <c r="AC484" s="93" t="n"/>
      <c r="AD484" s="93" t="n"/>
      <c r="AE484" s="93" t="n"/>
      <c r="AF484" s="93" t="n"/>
      <c r="AG484" s="93" t="n"/>
      <c r="AH484" s="92" t="n"/>
      <c r="AI484" s="92" t="n"/>
    </row>
    <row r="485">
      <c r="A485" s="27" t="n"/>
      <c r="B485" s="28" t="n"/>
      <c r="C485" s="27" t="n"/>
      <c r="D485" s="39" t="n"/>
      <c r="E485" s="29" t="n"/>
      <c r="F485" s="90" t="n"/>
      <c r="G485" s="91" t="n"/>
      <c r="H485" s="57" t="n"/>
      <c r="I485" s="92" t="n"/>
      <c r="J485" s="92" t="n"/>
      <c r="K485" s="92" t="n"/>
      <c r="L485" s="92" t="n"/>
      <c r="M485" s="92" t="n"/>
      <c r="N485" s="92" t="n"/>
      <c r="O485" s="92" t="n"/>
      <c r="P485" s="92" t="n"/>
      <c r="Q485" s="92" t="n"/>
      <c r="R485" s="92" t="n"/>
      <c r="S485" s="92" t="n"/>
      <c r="T485" s="92" t="n"/>
      <c r="U485" s="92" t="n"/>
      <c r="V485" s="92" t="n"/>
      <c r="W485" s="92" t="n"/>
      <c r="X485" s="92" t="n"/>
      <c r="Y485" s="93" t="n"/>
      <c r="Z485" s="93" t="n"/>
      <c r="AA485" s="93" t="n"/>
      <c r="AB485" s="93" t="n"/>
      <c r="AC485" s="93" t="n"/>
      <c r="AD485" s="93" t="n"/>
      <c r="AE485" s="93" t="n"/>
      <c r="AF485" s="93" t="n"/>
      <c r="AG485" s="93" t="n"/>
      <c r="AH485" s="92" t="n"/>
      <c r="AI485" s="92" t="n"/>
    </row>
    <row r="486">
      <c r="A486" s="27" t="n"/>
      <c r="B486" s="28" t="n"/>
      <c r="C486" s="27" t="n"/>
      <c r="D486" s="39" t="n"/>
      <c r="E486" s="29" t="n"/>
      <c r="F486" s="90" t="n"/>
      <c r="G486" s="91" t="n"/>
      <c r="H486" s="57" t="n"/>
      <c r="I486" s="92" t="n"/>
      <c r="J486" s="92" t="n"/>
      <c r="K486" s="92" t="n"/>
      <c r="L486" s="92" t="n"/>
      <c r="M486" s="92" t="n"/>
      <c r="N486" s="92" t="n"/>
      <c r="O486" s="92" t="n"/>
      <c r="P486" s="92" t="n"/>
      <c r="Q486" s="92" t="n"/>
      <c r="R486" s="92" t="n"/>
      <c r="S486" s="92" t="n"/>
      <c r="T486" s="92" t="n"/>
      <c r="U486" s="92" t="n"/>
      <c r="V486" s="92" t="n"/>
      <c r="W486" s="92" t="n"/>
      <c r="X486" s="92" t="n"/>
      <c r="Y486" s="93" t="n"/>
      <c r="Z486" s="93" t="n"/>
      <c r="AA486" s="93" t="n"/>
      <c r="AB486" s="93" t="n"/>
      <c r="AC486" s="93" t="n"/>
      <c r="AD486" s="93" t="n"/>
      <c r="AE486" s="93" t="n"/>
      <c r="AF486" s="93" t="n"/>
      <c r="AG486" s="93" t="n"/>
      <c r="AH486" s="92" t="n"/>
      <c r="AI486" s="92" t="n"/>
    </row>
    <row r="487">
      <c r="A487" s="27" t="n"/>
      <c r="B487" s="28" t="n"/>
      <c r="C487" s="27" t="n"/>
      <c r="D487" s="39" t="n"/>
      <c r="E487" s="29" t="n"/>
      <c r="F487" s="90" t="n"/>
      <c r="G487" s="91" t="n"/>
      <c r="H487" s="57" t="n"/>
      <c r="I487" s="92" t="n"/>
      <c r="J487" s="92" t="n"/>
      <c r="K487" s="92" t="n"/>
      <c r="L487" s="92" t="n"/>
      <c r="M487" s="92" t="n"/>
      <c r="N487" s="92" t="n"/>
      <c r="O487" s="92" t="n"/>
      <c r="P487" s="92" t="n"/>
      <c r="Q487" s="92" t="n"/>
      <c r="R487" s="92" t="n"/>
      <c r="S487" s="92" t="n"/>
      <c r="T487" s="92" t="n"/>
      <c r="U487" s="92" t="n"/>
      <c r="V487" s="92" t="n"/>
      <c r="W487" s="92" t="n"/>
      <c r="X487" s="92" t="n"/>
      <c r="Y487" s="93" t="n"/>
      <c r="Z487" s="93" t="n"/>
      <c r="AA487" s="93" t="n"/>
      <c r="AB487" s="93" t="n"/>
      <c r="AC487" s="93" t="n"/>
      <c r="AD487" s="93" t="n"/>
      <c r="AE487" s="93" t="n"/>
      <c r="AF487" s="93" t="n"/>
      <c r="AG487" s="93" t="n"/>
      <c r="AH487" s="92" t="n"/>
      <c r="AI487" s="92" t="n"/>
    </row>
    <row r="488">
      <c r="A488" s="27" t="n"/>
      <c r="B488" s="28" t="n"/>
      <c r="C488" s="27" t="n"/>
      <c r="D488" s="39" t="n"/>
      <c r="E488" s="29" t="n"/>
      <c r="F488" s="90" t="n"/>
      <c r="G488" s="91" t="n"/>
      <c r="H488" s="57" t="n"/>
      <c r="I488" s="92" t="n"/>
      <c r="J488" s="92" t="n"/>
      <c r="K488" s="92" t="n"/>
      <c r="L488" s="92" t="n"/>
      <c r="M488" s="92" t="n"/>
      <c r="N488" s="92" t="n"/>
      <c r="O488" s="92" t="n"/>
      <c r="P488" s="92" t="n"/>
      <c r="Q488" s="92" t="n"/>
      <c r="R488" s="92" t="n"/>
      <c r="S488" s="92" t="n"/>
      <c r="T488" s="92" t="n"/>
      <c r="U488" s="92" t="n"/>
      <c r="V488" s="92" t="n"/>
      <c r="W488" s="92" t="n"/>
      <c r="X488" s="92" t="n"/>
      <c r="Y488" s="93" t="n"/>
      <c r="Z488" s="93" t="n"/>
      <c r="AA488" s="93" t="n"/>
      <c r="AB488" s="93" t="n"/>
      <c r="AC488" s="93" t="n"/>
      <c r="AD488" s="93" t="n"/>
      <c r="AE488" s="93" t="n"/>
      <c r="AF488" s="93" t="n"/>
      <c r="AG488" s="93" t="n"/>
      <c r="AH488" s="92" t="n"/>
      <c r="AI488" s="92" t="n"/>
    </row>
    <row r="489">
      <c r="A489" s="27" t="n"/>
      <c r="B489" s="28" t="n"/>
      <c r="C489" s="27" t="n"/>
      <c r="D489" s="39" t="n"/>
      <c r="E489" s="29" t="n"/>
      <c r="F489" s="90" t="n"/>
      <c r="G489" s="91" t="n"/>
      <c r="H489" s="57" t="n"/>
      <c r="I489" s="92" t="n"/>
      <c r="J489" s="92" t="n"/>
      <c r="K489" s="92" t="n"/>
      <c r="L489" s="92" t="n"/>
      <c r="M489" s="92" t="n"/>
      <c r="N489" s="92" t="n"/>
      <c r="O489" s="92" t="n"/>
      <c r="P489" s="92" t="n"/>
      <c r="Q489" s="92" t="n"/>
      <c r="R489" s="92" t="n"/>
      <c r="S489" s="92" t="n"/>
      <c r="T489" s="92" t="n"/>
      <c r="U489" s="92" t="n"/>
      <c r="V489" s="92" t="n"/>
      <c r="W489" s="92" t="n"/>
      <c r="X489" s="92" t="n"/>
      <c r="Y489" s="93" t="n"/>
      <c r="Z489" s="93" t="n"/>
      <c r="AA489" s="93" t="n"/>
      <c r="AB489" s="93" t="n"/>
      <c r="AC489" s="93" t="n"/>
      <c r="AD489" s="93" t="n"/>
      <c r="AE489" s="93" t="n"/>
      <c r="AF489" s="93" t="n"/>
      <c r="AG489" s="93" t="n"/>
      <c r="AH489" s="92" t="n"/>
      <c r="AI489" s="92" t="n"/>
    </row>
    <row r="490" ht="28.5" customHeight="1">
      <c r="A490" s="27" t="n"/>
      <c r="B490" s="28" t="n"/>
      <c r="C490" s="27" t="n"/>
      <c r="D490" s="39" t="n"/>
      <c r="E490" s="29" t="n"/>
      <c r="F490" s="90" t="n"/>
      <c r="G490" s="91" t="n"/>
      <c r="H490" s="57" t="n"/>
      <c r="I490" s="92" t="n"/>
      <c r="J490" s="92" t="n"/>
      <c r="K490" s="92" t="n"/>
      <c r="L490" s="92" t="n"/>
      <c r="M490" s="92" t="n"/>
      <c r="N490" s="92" t="n"/>
      <c r="O490" s="92" t="n"/>
      <c r="P490" s="92" t="n"/>
      <c r="Q490" s="92" t="n"/>
      <c r="R490" s="92" t="n"/>
      <c r="S490" s="92" t="n"/>
      <c r="T490" s="92" t="n"/>
      <c r="U490" s="92" t="n"/>
      <c r="V490" s="92" t="n"/>
      <c r="W490" s="92" t="n"/>
      <c r="X490" s="92" t="n"/>
      <c r="Y490" s="93" t="n"/>
      <c r="Z490" s="93" t="n"/>
      <c r="AA490" s="93" t="n"/>
      <c r="AB490" s="93" t="n"/>
      <c r="AC490" s="93" t="n"/>
      <c r="AD490" s="93" t="n"/>
      <c r="AE490" s="93" t="n"/>
      <c r="AF490" s="93" t="n"/>
      <c r="AG490" s="93" t="n"/>
      <c r="AH490" s="92" t="n"/>
      <c r="AI490" s="92" t="n"/>
    </row>
    <row r="491" ht="28.5" customHeight="1">
      <c r="A491" s="27" t="n"/>
      <c r="B491" s="28" t="n"/>
      <c r="C491" s="27" t="n"/>
      <c r="D491" s="39" t="n"/>
      <c r="E491" s="29" t="n"/>
      <c r="F491" s="90" t="n"/>
      <c r="G491" s="91" t="n"/>
      <c r="H491" s="57" t="n"/>
      <c r="I491" s="92" t="n"/>
      <c r="J491" s="92" t="n"/>
      <c r="K491" s="92" t="n"/>
      <c r="L491" s="92" t="n"/>
      <c r="M491" s="92" t="n"/>
      <c r="N491" s="92" t="n"/>
      <c r="O491" s="92" t="n"/>
      <c r="P491" s="92" t="n"/>
      <c r="Q491" s="92" t="n"/>
      <c r="R491" s="92" t="n"/>
      <c r="S491" s="92" t="n"/>
      <c r="T491" s="92" t="n"/>
      <c r="U491" s="92" t="n"/>
      <c r="V491" s="92" t="n"/>
      <c r="W491" s="92" t="n"/>
      <c r="X491" s="92" t="n"/>
      <c r="Y491" s="93" t="n"/>
      <c r="Z491" s="93" t="n"/>
      <c r="AA491" s="93" t="n"/>
      <c r="AB491" s="93" t="n"/>
      <c r="AC491" s="93" t="n"/>
      <c r="AD491" s="93" t="n"/>
      <c r="AE491" s="93" t="n"/>
      <c r="AF491" s="93" t="n"/>
      <c r="AG491" s="93" t="n"/>
      <c r="AH491" s="92" t="n"/>
      <c r="AI491" s="92" t="n"/>
    </row>
    <row r="492" ht="28.5" customHeight="1">
      <c r="A492" s="27" t="n"/>
      <c r="B492" s="28" t="n"/>
      <c r="C492" s="27" t="n"/>
      <c r="D492" s="39" t="n"/>
      <c r="E492" s="29" t="n"/>
      <c r="F492" s="90" t="n"/>
      <c r="G492" s="91" t="n"/>
      <c r="H492" s="57" t="n"/>
      <c r="I492" s="92" t="n"/>
      <c r="J492" s="92" t="n"/>
      <c r="K492" s="92" t="n"/>
      <c r="L492" s="92" t="n"/>
      <c r="M492" s="92" t="n"/>
      <c r="N492" s="92" t="n"/>
      <c r="O492" s="92" t="n"/>
      <c r="P492" s="92" t="n"/>
      <c r="Q492" s="92" t="n"/>
      <c r="R492" s="92" t="n"/>
      <c r="S492" s="92" t="n"/>
      <c r="T492" s="92" t="n"/>
      <c r="U492" s="92" t="n"/>
      <c r="V492" s="92" t="n"/>
      <c r="W492" s="92" t="n"/>
      <c r="X492" s="92" t="n"/>
      <c r="Y492" s="93" t="n"/>
      <c r="Z492" s="93" t="n"/>
      <c r="AA492" s="93" t="n"/>
      <c r="AB492" s="93" t="n"/>
      <c r="AC492" s="93" t="n"/>
      <c r="AD492" s="93" t="n"/>
      <c r="AE492" s="93" t="n"/>
      <c r="AF492" s="93" t="n"/>
      <c r="AG492" s="93" t="n"/>
      <c r="AH492" s="92" t="n"/>
      <c r="AI492" s="92" t="n"/>
    </row>
    <row r="493" ht="28.5" customHeight="1">
      <c r="A493" s="27" t="n"/>
      <c r="B493" s="28" t="n"/>
      <c r="C493" s="27" t="n"/>
      <c r="D493" s="39" t="n"/>
      <c r="E493" s="29" t="n"/>
      <c r="F493" s="90" t="n"/>
      <c r="G493" s="91" t="n"/>
      <c r="H493" s="57" t="n"/>
      <c r="I493" s="92" t="n"/>
      <c r="J493" s="92" t="n"/>
      <c r="K493" s="92" t="n"/>
      <c r="L493" s="92" t="n"/>
      <c r="M493" s="92" t="n"/>
      <c r="N493" s="92" t="n"/>
      <c r="O493" s="92" t="n"/>
      <c r="P493" s="92" t="n"/>
      <c r="Q493" s="92" t="n"/>
      <c r="R493" s="92" t="n"/>
      <c r="S493" s="92" t="n"/>
      <c r="T493" s="92" t="n"/>
      <c r="U493" s="92" t="n"/>
      <c r="V493" s="92" t="n"/>
      <c r="W493" s="92" t="n"/>
      <c r="X493" s="92" t="n"/>
      <c r="Y493" s="93" t="n"/>
      <c r="Z493" s="93" t="n"/>
      <c r="AA493" s="93" t="n"/>
      <c r="AB493" s="93" t="n"/>
      <c r="AC493" s="93" t="n"/>
      <c r="AD493" s="93" t="n"/>
      <c r="AE493" s="93" t="n"/>
      <c r="AF493" s="93" t="n"/>
      <c r="AG493" s="93" t="n"/>
      <c r="AH493" s="92" t="n"/>
      <c r="AI493" s="92" t="n"/>
    </row>
    <row r="494" ht="28.5" customHeight="1">
      <c r="A494" s="27" t="n"/>
      <c r="B494" s="28" t="n"/>
      <c r="C494" s="27" t="n"/>
      <c r="D494" s="39" t="n"/>
      <c r="E494" s="29" t="n"/>
      <c r="F494" s="90" t="n"/>
      <c r="G494" s="91" t="n"/>
      <c r="H494" s="57" t="n"/>
      <c r="I494" s="92" t="n"/>
      <c r="J494" s="92" t="n"/>
      <c r="K494" s="92" t="n"/>
      <c r="L494" s="92" t="n"/>
      <c r="M494" s="92" t="n"/>
      <c r="N494" s="92" t="n"/>
      <c r="O494" s="92" t="n"/>
      <c r="P494" s="92" t="n"/>
      <c r="Q494" s="92" t="n"/>
      <c r="R494" s="92" t="n"/>
      <c r="S494" s="92" t="n"/>
      <c r="T494" s="92" t="n"/>
      <c r="U494" s="92" t="n"/>
      <c r="V494" s="92" t="n"/>
      <c r="W494" s="92" t="n"/>
      <c r="X494" s="92" t="n"/>
      <c r="Y494" s="93" t="n"/>
      <c r="Z494" s="93" t="n"/>
      <c r="AA494" s="93" t="n"/>
      <c r="AB494" s="93" t="n"/>
      <c r="AC494" s="93" t="n"/>
      <c r="AD494" s="93" t="n"/>
      <c r="AE494" s="93" t="n"/>
      <c r="AF494" s="93" t="n"/>
      <c r="AG494" s="93" t="n"/>
      <c r="AH494" s="92" t="n"/>
      <c r="AI494" s="92" t="n"/>
    </row>
    <row r="495" ht="28.5" customHeight="1">
      <c r="A495" s="27" t="n"/>
      <c r="B495" s="28" t="n"/>
      <c r="C495" s="27" t="n"/>
      <c r="D495" s="39" t="n"/>
      <c r="E495" s="29" t="n"/>
      <c r="F495" s="90" t="n"/>
      <c r="G495" s="91" t="n"/>
      <c r="H495" s="57" t="n"/>
      <c r="I495" s="92" t="n"/>
      <c r="J495" s="92" t="n"/>
      <c r="K495" s="92" t="n"/>
      <c r="L495" s="92" t="n"/>
      <c r="M495" s="92" t="n"/>
      <c r="N495" s="92" t="n"/>
      <c r="O495" s="92" t="n"/>
      <c r="P495" s="92" t="n"/>
      <c r="Q495" s="92" t="n"/>
      <c r="R495" s="92" t="n"/>
      <c r="S495" s="92" t="n"/>
      <c r="T495" s="92" t="n"/>
      <c r="U495" s="92" t="n"/>
      <c r="V495" s="92" t="n"/>
      <c r="W495" s="92" t="n"/>
      <c r="X495" s="92" t="n"/>
      <c r="Y495" s="93" t="n"/>
      <c r="Z495" s="93" t="n"/>
      <c r="AA495" s="93" t="n"/>
      <c r="AB495" s="93" t="n"/>
      <c r="AC495" s="93" t="n"/>
      <c r="AD495" s="93" t="n"/>
      <c r="AE495" s="93" t="n"/>
      <c r="AF495" s="93" t="n"/>
      <c r="AG495" s="93" t="n"/>
      <c r="AH495" s="92" t="n"/>
      <c r="AI495" s="92" t="n"/>
    </row>
  </sheetData>
  <conditionalFormatting sqref="Y2:Y495">
    <cfRule type="expression" priority="1" dxfId="4" stopIfTrue="1">
      <formula>AND(Y2&lt;&gt;"",Y2&lt;&gt;"OK",Y2&lt;&gt;"已核對",Y2&lt;&gt;"已換算",Y2&lt;&gt;"不適用")</formula>
    </cfRule>
  </conditionalFormatting>
  <conditionalFormatting sqref="Z2:Z495">
    <cfRule type="expression" priority="2" dxfId="4" stopIfTrue="1">
      <formula>AND(Z2&lt;&gt;"",Z2&lt;&gt;"OK",Z2&lt;&gt;"已核對",Z2&lt;&gt;"已換算",Z2&lt;&gt;"不適用")</formula>
    </cfRule>
  </conditionalFormatting>
  <conditionalFormatting sqref="AA2:AA495">
    <cfRule type="expression" priority="3" dxfId="4" stopIfTrue="1">
      <formula>AND(AA2&lt;&gt;"",AA2&lt;&gt;"OK",AA2&lt;&gt;"已核對",AA2&lt;&gt;"已換算",AA2&lt;&gt;"不適用")</formula>
    </cfRule>
  </conditionalFormatting>
  <conditionalFormatting sqref="AB2:AB495">
    <cfRule type="expression" priority="4" dxfId="4" stopIfTrue="1">
      <formula>AND(AB2&lt;&gt;"",AB2&lt;&gt;"OK",AB2&lt;&gt;"已核對",AB2&lt;&gt;"已換算",AB2&lt;&gt;"不適用")</formula>
    </cfRule>
  </conditionalFormatting>
  <conditionalFormatting sqref="AC2:AC495">
    <cfRule type="expression" priority="5" dxfId="4" stopIfTrue="1">
      <formula>AND(AC2&lt;&gt;"",AC2&lt;&gt;"OK",AC2&lt;&gt;"已核對",AC2&lt;&gt;"已換算",AC2&lt;&gt;"不適用")</formula>
    </cfRule>
  </conditionalFormatting>
  <conditionalFormatting sqref="AD2:AD495">
    <cfRule type="expression" priority="7" dxfId="5" stopIfTrue="1">
      <formula>LEFT(AD2,1)="達"</formula>
    </cfRule>
  </conditionalFormatting>
  <conditionalFormatting sqref="AE2:AE495">
    <cfRule type="expression" priority="8" dxfId="5" stopIfTrue="1">
      <formula>LEFT(AE2,1)="達"</formula>
    </cfRule>
  </conditionalFormatting>
  <conditionalFormatting sqref="AF2:AF495">
    <cfRule type="expression" priority="6" dxfId="4" stopIfTrue="1">
      <formula>AND(AF2&lt;&gt;"",AF2&lt;&gt;"OK",AF2&lt;&gt;"已核對",AF2&lt;&gt;"已換算",AF2&lt;&gt;"不適用")</formula>
    </cfRule>
  </conditionalFormatting>
  <dataValidations count="3">
    <dataValidation sqref="A2:A495" showDropDown="0" showInputMessage="1" showErrorMessage="1" allowBlank="1" errorTitle="請使用清單中的選項" error="先在對應主檔新增表格列，再於此選取。" type="list">
      <formula1>AnalyteList</formula1>
    </dataValidation>
    <dataValidation sqref="C2:C495" showDropDown="0" showInputMessage="1" showErrorMessage="1" allowBlank="1" errorTitle="請使用清單中的選項" error="先在對應主檔新增表格列，再於此選取。" type="list">
      <formula1>UnitList</formula1>
    </dataValidation>
    <dataValidation sqref="H2:H495" showDropDown="0" showInputMessage="1" showErrorMessage="1" allowBlank="1" errorTitle="請使用清單中的選項" error="先在對應主檔新增表格列，再於此選取。" type="list">
      <formula1>SampleIDList</formula1>
    </dataValidation>
  </dataValidations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24465A"/>
    <outlinePr summaryBelow="1" summaryRight="1"/>
    <pageSetUpPr/>
  </sheetPr>
  <dimension ref="A1:N122"/>
  <sheetViews>
    <sheetView showGridLines="0" zoomScale="90" zoomScaleNormal="90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G113" sqref="G113"/>
    </sheetView>
  </sheetViews>
  <sheetFormatPr baseColWidth="8" defaultRowHeight="14.25"/>
  <cols>
    <col width="30.625" customWidth="1" min="1" max="1"/>
    <col width="18.625" customWidth="1" min="2" max="6"/>
    <col width="19.625" customWidth="1" min="7" max="9"/>
    <col width="20.625" customWidth="1" min="10" max="10"/>
    <col width="18.625" customWidth="1" min="11" max="11"/>
    <col width="58.625" customWidth="1" min="12" max="12"/>
    <col width="18.625" customWidth="1" min="13" max="13"/>
    <col width="30.625" customWidth="1" min="14" max="14"/>
  </cols>
  <sheetData>
    <row r="1" ht="44.1" customHeight="1">
      <c r="A1" s="5" t="inlineStr">
        <is>
          <t>監測點</t>
        </is>
      </c>
      <c r="B1" s="5" t="inlineStr">
        <is>
          <t>點位類型</t>
        </is>
      </c>
      <c r="C1" s="5" t="inlineStr">
        <is>
          <t>預設介質</t>
        </is>
      </c>
      <c r="D1" s="5" t="inlineStr">
        <is>
          <t>井深(m)</t>
        </is>
      </c>
      <c r="E1" s="5" t="inlineStr">
        <is>
          <t>TWD97(X)</t>
        </is>
      </c>
      <c r="F1" s="5" t="inlineStr">
        <is>
          <t>TWD97(Y)</t>
        </is>
      </c>
      <c r="G1" s="5" t="inlineStr">
        <is>
          <t>絕對高程(m)</t>
        </is>
      </c>
      <c r="H1" s="5" t="inlineStr">
        <is>
          <t>篩管頂深(m)</t>
        </is>
      </c>
      <c r="I1" s="5" t="inlineStr">
        <is>
          <t>篩管底深(m)</t>
        </is>
      </c>
      <c r="J1" s="5" t="inlineStr">
        <is>
          <t>井管直徑(m)</t>
        </is>
      </c>
      <c r="K1" s="5" t="inlineStr">
        <is>
          <t>啟用</t>
        </is>
      </c>
      <c r="L1" s="5" t="inlineStr">
        <is>
          <t>備註</t>
        </is>
      </c>
      <c r="M1" s="4" t="inlineStr">
        <is>
          <t>篩長(m)</t>
        </is>
      </c>
      <c r="N1" s="4" t="inlineStr">
        <is>
          <t>點位檢查</t>
        </is>
      </c>
    </row>
    <row r="2" ht="15" customHeight="1">
      <c r="A2" s="2" t="inlineStr">
        <is>
          <t>BH01-S</t>
        </is>
      </c>
      <c r="B2" s="2" t="inlineStr">
        <is>
          <t>土壤鑽孔</t>
        </is>
      </c>
      <c r="C2" s="2" t="inlineStr">
        <is>
          <t>土壤</t>
        </is>
      </c>
      <c r="D2" s="94" t="n">
        <v>3</v>
      </c>
      <c r="E2" s="95" t="n">
        <v>250000</v>
      </c>
      <c r="F2" s="95" t="n">
        <v>2650000</v>
      </c>
      <c r="G2" s="94" t="n">
        <v>10</v>
      </c>
      <c r="H2" s="94" t="n"/>
      <c r="I2" s="94" t="n"/>
      <c r="J2" s="94" t="n"/>
      <c r="K2" s="2" t="inlineStr">
        <is>
          <t>是</t>
        </is>
      </c>
      <c r="L2" s="37" t="inlineStr">
        <is>
          <t>合成資料，非實測；crs=EPSG:3826; elevation_datum=ground; wellhead_offset=0</t>
        </is>
      </c>
      <c r="M2" s="96">
        <f>IF(AND(ISNUMBER(H2),ISNUMBER(I2)),I2-H2,"")</f>
        <v/>
      </c>
      <c r="N2" s="33">
        <f>IF(COUNTA(A2:L2)=0,"",IF(OR(A2="",C2="",K2=""),"缺必要欄位",IF(COUNTIFS(DB_03[監測點],A2)&gt;1,"點位編號重複",IF(AND(C2="地下水",OR(NOT(ISNUMBER(D2)),NOT(ISNUMBER(H2)),NOT(ISNUMBER(I2)),H2&lt;0,I2&lt;H2,I2&gt;D2)),"井深或篩管深度錯誤","OK"))))</f>
        <v/>
      </c>
    </row>
    <row r="3" ht="15" customHeight="1">
      <c r="A3" s="2" t="inlineStr">
        <is>
          <t>BH01-W</t>
        </is>
      </c>
      <c r="B3" s="2" t="inlineStr">
        <is>
          <t>監測井</t>
        </is>
      </c>
      <c r="C3" s="2" t="inlineStr">
        <is>
          <t>地下水</t>
        </is>
      </c>
      <c r="D3" s="94" t="n">
        <v>10</v>
      </c>
      <c r="E3" s="95" t="n">
        <v>250000</v>
      </c>
      <c r="F3" s="95" t="n">
        <v>2650000</v>
      </c>
      <c r="G3" s="94" t="n">
        <v>10</v>
      </c>
      <c r="H3" s="94" t="n">
        <v>0.3</v>
      </c>
      <c r="I3" s="94" t="n">
        <v>8</v>
      </c>
      <c r="J3" s="94" t="n">
        <v>0.05</v>
      </c>
      <c r="K3" s="2" t="inlineStr">
        <is>
          <t>是</t>
        </is>
      </c>
      <c r="L3" s="37" t="inlineStr">
        <is>
          <t>合成資料，非實測；crs=EPSG:3826; elevation_datum=ground; wellhead_offset=0</t>
        </is>
      </c>
      <c r="M3" s="96">
        <f>IF(AND(ISNUMBER(H3),ISNUMBER(I3)),I3-H3,"")</f>
        <v/>
      </c>
      <c r="N3" s="33">
        <f>IF(COUNTA(A3:L3)=0,"",IF(OR(A3="",C3="",K3=""),"缺必要欄位",IF(COUNTIFS(DB_03[監測點],A3)&gt;1,"點位編號重複",IF(AND(C3="地下水",OR(NOT(ISNUMBER(D3)),NOT(ISNUMBER(H3)),NOT(ISNUMBER(I3)),H3&lt;0,I3&lt;H3,I3&gt;D3)),"井深或篩管深度錯誤","OK"))))</f>
        <v/>
      </c>
    </row>
    <row r="4" ht="15" customHeight="1">
      <c r="A4" s="2" t="inlineStr">
        <is>
          <t>BH02-S</t>
        </is>
      </c>
      <c r="B4" s="2" t="inlineStr">
        <is>
          <t>土壤鑽孔</t>
        </is>
      </c>
      <c r="C4" s="2" t="inlineStr">
        <is>
          <t>土壤</t>
        </is>
      </c>
      <c r="D4" s="94" t="n">
        <v>3</v>
      </c>
      <c r="E4" s="95" t="n">
        <v>250020</v>
      </c>
      <c r="F4" s="95" t="n">
        <v>2650000</v>
      </c>
      <c r="G4" s="94" t="n">
        <v>10.4</v>
      </c>
      <c r="H4" s="94" t="n"/>
      <c r="I4" s="94" t="n"/>
      <c r="J4" s="94" t="n"/>
      <c r="K4" s="2" t="inlineStr">
        <is>
          <t>是</t>
        </is>
      </c>
      <c r="L4" s="37" t="inlineStr">
        <is>
          <t>合成資料，非實測；crs=EPSG:3826; elevation_datum=ground; wellhead_offset=0</t>
        </is>
      </c>
      <c r="M4" s="96">
        <f>IF(AND(ISNUMBER(H4),ISNUMBER(I4)),I4-H4,"")</f>
        <v/>
      </c>
      <c r="N4" s="33">
        <f>IF(COUNTA(A4:L4)=0,"",IF(OR(A4="",C4="",K4=""),"缺必要欄位",IF(COUNTIFS(DB_03[監測點],A4)&gt;1,"點位編號重複",IF(AND(C4="地下水",OR(NOT(ISNUMBER(D4)),NOT(ISNUMBER(H4)),NOT(ISNUMBER(I4)),H4&lt;0,I4&lt;H4,I4&gt;D4)),"井深或篩管深度錯誤","OK"))))</f>
        <v/>
      </c>
    </row>
    <row r="5" ht="15" customHeight="1">
      <c r="A5" s="2" t="inlineStr">
        <is>
          <t>BH02-W</t>
        </is>
      </c>
      <c r="B5" s="2" t="inlineStr">
        <is>
          <t>監測井</t>
        </is>
      </c>
      <c r="C5" s="2" t="inlineStr">
        <is>
          <t>地下水</t>
        </is>
      </c>
      <c r="D5" s="94" t="n">
        <v>10</v>
      </c>
      <c r="E5" s="95" t="n">
        <v>250020</v>
      </c>
      <c r="F5" s="95" t="n">
        <v>2650000</v>
      </c>
      <c r="G5" s="94" t="n">
        <v>10.4</v>
      </c>
      <c r="H5" s="94" t="n">
        <v>0.3</v>
      </c>
      <c r="I5" s="94" t="n">
        <v>8</v>
      </c>
      <c r="J5" s="94" t="n">
        <v>0.05</v>
      </c>
      <c r="K5" s="2" t="inlineStr">
        <is>
          <t>是</t>
        </is>
      </c>
      <c r="L5" s="37" t="inlineStr">
        <is>
          <t>合成資料，非實測；crs=EPSG:3826; elevation_datum=ground; wellhead_offset=0</t>
        </is>
      </c>
      <c r="M5" s="96">
        <f>IF(AND(ISNUMBER(H5),ISNUMBER(I5)),I5-H5,"")</f>
        <v/>
      </c>
      <c r="N5" s="33">
        <f>IF(COUNTA(A5:L5)=0,"",IF(OR(A5="",C5="",K5=""),"缺必要欄位",IF(COUNTIFS(DB_03[監測點],A5)&gt;1,"點位編號重複",IF(AND(C5="地下水",OR(NOT(ISNUMBER(D5)),NOT(ISNUMBER(H5)),NOT(ISNUMBER(I5)),H5&lt;0,I5&lt;H5,I5&gt;D5)),"井深或篩管深度錯誤","OK"))))</f>
        <v/>
      </c>
    </row>
    <row r="6" ht="15" customHeight="1">
      <c r="A6" s="2" t="inlineStr">
        <is>
          <t>BH03-S</t>
        </is>
      </c>
      <c r="B6" s="2" t="inlineStr">
        <is>
          <t>土壤鑽孔</t>
        </is>
      </c>
      <c r="C6" s="2" t="inlineStr">
        <is>
          <t>土壤</t>
        </is>
      </c>
      <c r="D6" s="94" t="n">
        <v>3</v>
      </c>
      <c r="E6" s="95" t="n">
        <v>250000</v>
      </c>
      <c r="F6" s="95" t="n">
        <v>2650020</v>
      </c>
      <c r="G6" s="94" t="n">
        <v>10</v>
      </c>
      <c r="H6" s="94" t="n"/>
      <c r="I6" s="94" t="n"/>
      <c r="J6" s="94" t="n"/>
      <c r="K6" s="2" t="inlineStr">
        <is>
          <t>是</t>
        </is>
      </c>
      <c r="L6" s="37" t="inlineStr">
        <is>
          <t>合成資料，非實測；crs=EPSG:3826; elevation_datum=ground; wellhead_offset=0</t>
        </is>
      </c>
      <c r="M6" s="96">
        <f>IF(AND(ISNUMBER(H6),ISNUMBER(I6)),I6-H6,"")</f>
        <v/>
      </c>
      <c r="N6" s="33">
        <f>IF(COUNTA(A6:L6)=0,"",IF(OR(A6="",C6="",K6=""),"缺必要欄位",IF(COUNTIFS(DB_03[監測點],A6)&gt;1,"點位編號重複",IF(AND(C6="地下水",OR(NOT(ISNUMBER(D6)),NOT(ISNUMBER(H6)),NOT(ISNUMBER(I6)),H6&lt;0,I6&lt;H6,I6&gt;D6)),"井深或篩管深度錯誤","OK"))))</f>
        <v/>
      </c>
    </row>
    <row r="7" ht="15" customHeight="1">
      <c r="A7" s="2" t="inlineStr">
        <is>
          <t>BH03-W</t>
        </is>
      </c>
      <c r="B7" s="2" t="inlineStr">
        <is>
          <t>監測井</t>
        </is>
      </c>
      <c r="C7" s="2" t="inlineStr">
        <is>
          <t>地下水</t>
        </is>
      </c>
      <c r="D7" s="94" t="n">
        <v>10</v>
      </c>
      <c r="E7" s="95" t="n">
        <v>250000</v>
      </c>
      <c r="F7" s="95" t="n">
        <v>2650020</v>
      </c>
      <c r="G7" s="94" t="n">
        <v>10</v>
      </c>
      <c r="H7" s="94" t="n">
        <v>0.3</v>
      </c>
      <c r="I7" s="94" t="n">
        <v>8</v>
      </c>
      <c r="J7" s="94" t="n">
        <v>0.05</v>
      </c>
      <c r="K7" s="2" t="inlineStr">
        <is>
          <t>是</t>
        </is>
      </c>
      <c r="L7" s="37" t="inlineStr">
        <is>
          <t>合成資料，非實測；crs=EPSG:3826; elevation_datum=ground; wellhead_offset=0</t>
        </is>
      </c>
      <c r="M7" s="96">
        <f>IF(AND(ISNUMBER(H7),ISNUMBER(I7)),I7-H7,"")</f>
        <v/>
      </c>
      <c r="N7" s="33">
        <f>IF(COUNTA(A7:L7)=0,"",IF(OR(A7="",C7="",K7=""),"缺必要欄位",IF(COUNTIFS(DB_03[監測點],A7)&gt;1,"點位編號重複",IF(AND(C7="地下水",OR(NOT(ISNUMBER(D7)),NOT(ISNUMBER(H7)),NOT(ISNUMBER(I7)),H7&lt;0,I7&lt;H7,I7&gt;D7)),"井深或篩管深度錯誤","OK"))))</f>
        <v/>
      </c>
    </row>
    <row r="8" ht="30" customHeight="1">
      <c r="A8" s="2" t="inlineStr">
        <is>
          <t>BH04-S</t>
        </is>
      </c>
      <c r="B8" s="2" t="inlineStr">
        <is>
          <t>土壤鑽孔</t>
        </is>
      </c>
      <c r="C8" s="2" t="inlineStr">
        <is>
          <t>土壤</t>
        </is>
      </c>
      <c r="D8" s="94" t="n">
        <v>3</v>
      </c>
      <c r="E8" s="95" t="n">
        <v>250020</v>
      </c>
      <c r="F8" s="95" t="n">
        <v>2650020</v>
      </c>
      <c r="G8" s="94" t="n">
        <v>10.4</v>
      </c>
      <c r="H8" s="94" t="n"/>
      <c r="I8" s="94" t="n"/>
      <c r="J8" s="94" t="n"/>
      <c r="K8" s="2" t="inlineStr">
        <is>
          <t>是</t>
        </is>
      </c>
      <c r="L8" s="37" t="inlineStr">
        <is>
          <t>合成資料，非實測；crs=EPSG:3826; elevation_datum=ground; wellhead_offset=0</t>
        </is>
      </c>
      <c r="M8" s="96">
        <f>IF(AND(ISNUMBER(H8),ISNUMBER(I8)),I8-H8,"")</f>
        <v/>
      </c>
      <c r="N8" s="33">
        <f>IF(COUNTA(A8:L8)=0,"",IF(OR(A8="",C8="",K8=""),"缺必要欄位",IF(COUNTIFS(DB_03[監測點],A8)&gt;1,"點位編號重複",IF(AND(C8="地下水",OR(NOT(ISNUMBER(D8)),NOT(ISNUMBER(H8)),NOT(ISNUMBER(I8)),H8&lt;0,I8&lt;H8,I8&gt;D8)),"井深或篩管深度錯誤","OK"))))</f>
        <v/>
      </c>
    </row>
    <row r="9" ht="30" customHeight="1">
      <c r="A9" s="2" t="inlineStr">
        <is>
          <t>BH04-W</t>
        </is>
      </c>
      <c r="B9" s="2" t="inlineStr">
        <is>
          <t>監測井</t>
        </is>
      </c>
      <c r="C9" s="2" t="inlineStr">
        <is>
          <t>地下水</t>
        </is>
      </c>
      <c r="D9" s="94" t="n">
        <v>10</v>
      </c>
      <c r="E9" s="95" t="n">
        <v>250020</v>
      </c>
      <c r="F9" s="95" t="n">
        <v>2650020</v>
      </c>
      <c r="G9" s="94" t="n">
        <v>10.4</v>
      </c>
      <c r="H9" s="94" t="n">
        <v>0.3</v>
      </c>
      <c r="I9" s="94" t="n">
        <v>8</v>
      </c>
      <c r="J9" s="94" t="n">
        <v>0.05</v>
      </c>
      <c r="K9" s="2" t="inlineStr">
        <is>
          <t>是</t>
        </is>
      </c>
      <c r="L9" s="37" t="inlineStr">
        <is>
          <t>合成資料，非實測；crs=EPSG:3826; elevation_datum=ground; wellhead_offset=0</t>
        </is>
      </c>
      <c r="M9" s="96">
        <f>IF(AND(ISNUMBER(H9),ISNUMBER(I9)),I9-H9,"")</f>
        <v/>
      </c>
      <c r="N9" s="33">
        <f>IF(COUNTA(A9:L9)=0,"",IF(OR(A9="",C9="",K9=""),"缺必要欄位",IF(COUNTIFS(DB_03[監測點],A9)&gt;1,"點位編號重複",IF(AND(C9="地下水",OR(NOT(ISNUMBER(D9)),NOT(ISNUMBER(H9)),NOT(ISNUMBER(I9)),H9&lt;0,I9&lt;H9,I9&gt;D9)),"井深或篩管深度錯誤","OK"))))</f>
        <v/>
      </c>
    </row>
    <row r="10" ht="30" customHeight="1">
      <c r="A10" s="2" t="inlineStr">
        <is>
          <t>BH05-S</t>
        </is>
      </c>
      <c r="B10" s="2" t="inlineStr">
        <is>
          <t>土壤鑽孔</t>
        </is>
      </c>
      <c r="C10" s="2" t="inlineStr">
        <is>
          <t>土壤</t>
        </is>
      </c>
      <c r="D10" s="94" t="n">
        <v>3</v>
      </c>
      <c r="E10" s="95" t="n">
        <v>250008</v>
      </c>
      <c r="F10" s="95" t="n">
        <v>2650012</v>
      </c>
      <c r="G10" s="94" t="n">
        <v>10.16</v>
      </c>
      <c r="H10" s="94" t="n"/>
      <c r="I10" s="94" t="n"/>
      <c r="J10" s="94" t="n"/>
      <c r="K10" s="2" t="inlineStr">
        <is>
          <t>是</t>
        </is>
      </c>
      <c r="L10" s="37" t="inlineStr">
        <is>
          <t>合成資料，非實測；crs=EPSG:3826; elevation_datum=ground; wellhead_offset=0</t>
        </is>
      </c>
      <c r="M10" s="96">
        <f>IF(AND(ISNUMBER(H10),ISNUMBER(I10)),I10-H10,"")</f>
        <v/>
      </c>
      <c r="N10" s="33">
        <f>IF(COUNTA(A10:L10)=0,"",IF(OR(A10="",C10="",K10=""),"缺必要欄位",IF(COUNTIFS(DB_03[監測點],A10)&gt;1,"點位編號重複",IF(AND(C10="地下水",OR(NOT(ISNUMBER(D10)),NOT(ISNUMBER(H10)),NOT(ISNUMBER(I10)),H10&lt;0,I10&lt;H10,I10&gt;D10)),"井深或篩管深度錯誤","OK"))))</f>
        <v/>
      </c>
    </row>
    <row r="11" ht="15" customHeight="1">
      <c r="A11" s="2" t="inlineStr">
        <is>
          <t>BH05-W</t>
        </is>
      </c>
      <c r="B11" s="2" t="inlineStr">
        <is>
          <t>監測井</t>
        </is>
      </c>
      <c r="C11" s="2" t="inlineStr">
        <is>
          <t>地下水</t>
        </is>
      </c>
      <c r="D11" s="94" t="n">
        <v>10</v>
      </c>
      <c r="E11" s="95" t="n">
        <v>250008</v>
      </c>
      <c r="F11" s="95" t="n">
        <v>2650012</v>
      </c>
      <c r="G11" s="94" t="n">
        <v>10.16</v>
      </c>
      <c r="H11" s="94" t="n">
        <v>0.3</v>
      </c>
      <c r="I11" s="94" t="n">
        <v>8</v>
      </c>
      <c r="J11" s="94" t="n">
        <v>0.05</v>
      </c>
      <c r="K11" s="2" t="inlineStr">
        <is>
          <t>是</t>
        </is>
      </c>
      <c r="L11" s="37" t="inlineStr">
        <is>
          <t>合成資料，非實測；crs=EPSG:3826; elevation_datum=ground; wellhead_offset=0</t>
        </is>
      </c>
      <c r="M11" s="96">
        <f>IF(AND(ISNUMBER(H11),ISNUMBER(I11)),I11-H11,"")</f>
        <v/>
      </c>
      <c r="N11" s="33">
        <f>IF(COUNTA(A11:L11)=0,"",IF(OR(A11="",C11="",K11=""),"缺必要欄位",IF(COUNTIFS(DB_03[監測點],A11)&gt;1,"點位編號重複",IF(AND(C11="地下水",OR(NOT(ISNUMBER(D11)),NOT(ISNUMBER(H11)),NOT(ISNUMBER(I11)),H11&lt;0,I11&lt;H11,I11&gt;D11)),"井深或篩管深度錯誤","OK"))))</f>
        <v/>
      </c>
    </row>
    <row r="12" ht="15" customHeight="1">
      <c r="A12" s="2" t="inlineStr">
        <is>
          <t>BH06-S</t>
        </is>
      </c>
      <c r="B12" s="2" t="inlineStr">
        <is>
          <t>土壤鑽孔</t>
        </is>
      </c>
      <c r="C12" s="2" t="inlineStr">
        <is>
          <t>土壤</t>
        </is>
      </c>
      <c r="D12" s="94" t="n">
        <v>3</v>
      </c>
      <c r="E12" s="95" t="n">
        <v>250015</v>
      </c>
      <c r="F12" s="95" t="n">
        <v>2650008</v>
      </c>
      <c r="G12" s="94" t="n">
        <v>10.3</v>
      </c>
      <c r="H12" s="94" t="n"/>
      <c r="I12" s="94" t="n"/>
      <c r="J12" s="94" t="n"/>
      <c r="K12" s="2" t="inlineStr">
        <is>
          <t>是</t>
        </is>
      </c>
      <c r="L12" s="37" t="inlineStr">
        <is>
          <t>合成資料，非實測；crs=EPSG:3826; elevation_datum=ground; wellhead_offset=0</t>
        </is>
      </c>
      <c r="M12" s="96">
        <f>IF(AND(ISNUMBER(H12),ISNUMBER(I12)),I12-H12,"")</f>
        <v/>
      </c>
      <c r="N12" s="33">
        <f>IF(COUNTA(A12:L12)=0,"",IF(OR(A12="",C12="",K12=""),"缺必要欄位",IF(COUNTIFS(DB_03[監測點],A12)&gt;1,"點位編號重複",IF(AND(C12="地下水",OR(NOT(ISNUMBER(D12)),NOT(ISNUMBER(H12)),NOT(ISNUMBER(I12)),H12&lt;0,I12&lt;H12,I12&gt;D12)),"井深或篩管深度錯誤","OK"))))</f>
        <v/>
      </c>
    </row>
    <row r="13" ht="15" customHeight="1">
      <c r="A13" s="2" t="inlineStr">
        <is>
          <t>BH06-W</t>
        </is>
      </c>
      <c r="B13" s="2" t="inlineStr">
        <is>
          <t>監測井</t>
        </is>
      </c>
      <c r="C13" s="2" t="inlineStr">
        <is>
          <t>地下水</t>
        </is>
      </c>
      <c r="D13" s="94" t="n">
        <v>10</v>
      </c>
      <c r="E13" s="95" t="n">
        <v>250015</v>
      </c>
      <c r="F13" s="95" t="n">
        <v>2650008</v>
      </c>
      <c r="G13" s="94" t="n">
        <v>10.3</v>
      </c>
      <c r="H13" s="94" t="n">
        <v>0.3</v>
      </c>
      <c r="I13" s="94" t="n">
        <v>8</v>
      </c>
      <c r="J13" s="94" t="n">
        <v>0.05</v>
      </c>
      <c r="K13" s="2" t="inlineStr">
        <is>
          <t>是</t>
        </is>
      </c>
      <c r="L13" s="37" t="inlineStr">
        <is>
          <t>合成資料，非實測；crs=EPSG:3826; elevation_datum=ground; wellhead_offset=0</t>
        </is>
      </c>
      <c r="M13" s="96">
        <f>IF(AND(ISNUMBER(H13),ISNUMBER(I13)),I13-H13,"")</f>
        <v/>
      </c>
      <c r="N13" s="33">
        <f>IF(COUNTA(A13:L13)=0,"",IF(OR(A13="",C13="",K13=""),"缺必要欄位",IF(COUNTIFS(DB_03[監測點],A13)&gt;1,"點位編號重複",IF(AND(C13="地下水",OR(NOT(ISNUMBER(D13)),NOT(ISNUMBER(H13)),NOT(ISNUMBER(I13)),H13&lt;0,I13&lt;H13,I13&gt;D13)),"井深或篩管深度錯誤","OK"))))</f>
        <v/>
      </c>
    </row>
    <row r="14" ht="15" customHeight="1">
      <c r="A14" s="2" t="n"/>
      <c r="B14" s="2" t="n"/>
      <c r="C14" s="2" t="n"/>
      <c r="D14" s="94" t="n"/>
      <c r="E14" s="95" t="n"/>
      <c r="F14" s="95" t="n"/>
      <c r="G14" s="94" t="n"/>
      <c r="H14" s="94" t="n"/>
      <c r="I14" s="94" t="n"/>
      <c r="J14" s="94" t="n"/>
      <c r="K14" s="2" t="n"/>
      <c r="L14" s="37" t="n"/>
      <c r="M14" s="96" t="n"/>
      <c r="N14" s="33" t="n"/>
    </row>
    <row r="15" ht="15" customHeight="1">
      <c r="A15" s="2" t="n"/>
      <c r="B15" s="2" t="n"/>
      <c r="C15" s="2" t="n"/>
      <c r="D15" s="94" t="n"/>
      <c r="E15" s="95" t="n"/>
      <c r="F15" s="95" t="n"/>
      <c r="G15" s="94" t="n"/>
      <c r="H15" s="94" t="n"/>
      <c r="I15" s="94" t="n"/>
      <c r="J15" s="94" t="n"/>
      <c r="K15" s="2" t="n"/>
      <c r="L15" s="37" t="n"/>
      <c r="M15" s="96" t="n"/>
      <c r="N15" s="33" t="n"/>
    </row>
    <row r="16" ht="15" customHeight="1">
      <c r="A16" s="2" t="n"/>
      <c r="B16" s="2" t="n"/>
      <c r="C16" s="2" t="n"/>
      <c r="D16" s="94" t="n"/>
      <c r="E16" s="95" t="n"/>
      <c r="F16" s="95" t="n"/>
      <c r="G16" s="94" t="n"/>
      <c r="H16" s="94" t="n"/>
      <c r="I16" s="94" t="n"/>
      <c r="J16" s="94" t="n"/>
      <c r="K16" s="2" t="n"/>
      <c r="L16" s="37" t="n"/>
      <c r="M16" s="96" t="n"/>
      <c r="N16" s="33" t="n"/>
    </row>
    <row r="17" ht="15" customHeight="1">
      <c r="A17" s="2" t="n"/>
      <c r="B17" s="2" t="n"/>
      <c r="C17" s="2" t="n"/>
      <c r="D17" s="94" t="n"/>
      <c r="E17" s="95" t="n"/>
      <c r="F17" s="95" t="n"/>
      <c r="G17" s="94" t="n"/>
      <c r="H17" s="94" t="n"/>
      <c r="I17" s="94" t="n"/>
      <c r="J17" s="94" t="n"/>
      <c r="K17" s="2" t="n"/>
      <c r="L17" s="37" t="n"/>
      <c r="M17" s="96" t="n"/>
      <c r="N17" s="33" t="n"/>
    </row>
    <row r="18" ht="15" customHeight="1">
      <c r="A18" s="2" t="n"/>
      <c r="B18" s="2" t="n"/>
      <c r="C18" s="2" t="n"/>
      <c r="D18" s="94" t="n"/>
      <c r="E18" s="95" t="n"/>
      <c r="F18" s="95" t="n"/>
      <c r="G18" s="94" t="n"/>
      <c r="H18" s="94" t="n"/>
      <c r="I18" s="94" t="n"/>
      <c r="J18" s="94" t="n"/>
      <c r="K18" s="2" t="n"/>
      <c r="L18" s="37" t="n"/>
      <c r="M18" s="96" t="n"/>
      <c r="N18" s="33" t="n"/>
    </row>
    <row r="19" ht="15" customHeight="1">
      <c r="A19" s="2" t="n"/>
      <c r="B19" s="2" t="n"/>
      <c r="C19" s="2" t="n"/>
      <c r="D19" s="94" t="n"/>
      <c r="E19" s="95" t="n"/>
      <c r="F19" s="95" t="n"/>
      <c r="G19" s="94" t="n"/>
      <c r="H19" s="94" t="n"/>
      <c r="I19" s="94" t="n"/>
      <c r="J19" s="94" t="n"/>
      <c r="K19" s="2" t="n"/>
      <c r="L19" s="37" t="n"/>
      <c r="M19" s="96" t="n"/>
      <c r="N19" s="33" t="n"/>
    </row>
    <row r="20" ht="15" customHeight="1">
      <c r="A20" s="2" t="n"/>
      <c r="B20" s="2" t="n"/>
      <c r="C20" s="2" t="n"/>
      <c r="D20" s="94" t="n"/>
      <c r="E20" s="95" t="n"/>
      <c r="F20" s="95" t="n"/>
      <c r="G20" s="94" t="n"/>
      <c r="H20" s="94" t="n"/>
      <c r="I20" s="94" t="n"/>
      <c r="J20" s="94" t="n"/>
      <c r="K20" s="2" t="n"/>
      <c r="L20" s="37" t="n"/>
      <c r="M20" s="96" t="n"/>
      <c r="N20" s="33" t="n"/>
    </row>
    <row r="21" ht="15" customHeight="1">
      <c r="A21" s="2" t="n"/>
      <c r="B21" s="2" t="n"/>
      <c r="C21" s="2" t="n"/>
      <c r="D21" s="94" t="n"/>
      <c r="E21" s="95" t="n"/>
      <c r="F21" s="95" t="n"/>
      <c r="G21" s="94" t="n"/>
      <c r="H21" s="94" t="n"/>
      <c r="I21" s="94" t="n"/>
      <c r="J21" s="94" t="n"/>
      <c r="K21" s="2" t="n"/>
      <c r="L21" s="37" t="n"/>
      <c r="M21" s="96" t="n"/>
      <c r="N21" s="33" t="n"/>
    </row>
    <row r="22" ht="15" customHeight="1">
      <c r="A22" s="2" t="n"/>
      <c r="B22" s="2" t="n"/>
      <c r="C22" s="2" t="n"/>
      <c r="D22" s="94" t="n"/>
      <c r="E22" s="95" t="n"/>
      <c r="F22" s="95" t="n"/>
      <c r="G22" s="94" t="n"/>
      <c r="H22" s="94" t="n"/>
      <c r="I22" s="94" t="n"/>
      <c r="J22" s="94" t="n"/>
      <c r="K22" s="2" t="n"/>
      <c r="L22" s="37" t="n"/>
      <c r="M22" s="96" t="n"/>
      <c r="N22" s="33" t="n"/>
    </row>
    <row r="23" ht="15" customHeight="1">
      <c r="A23" s="2" t="n"/>
      <c r="B23" s="2" t="n"/>
      <c r="C23" s="2" t="n"/>
      <c r="D23" s="94" t="n"/>
      <c r="E23" s="95" t="n"/>
      <c r="F23" s="95" t="n"/>
      <c r="G23" s="94" t="n"/>
      <c r="H23" s="94" t="n"/>
      <c r="I23" s="94" t="n"/>
      <c r="J23" s="94" t="n"/>
      <c r="K23" s="2" t="n"/>
      <c r="L23" s="37" t="n"/>
      <c r="M23" s="96" t="n"/>
      <c r="N23" s="33" t="n"/>
    </row>
    <row r="24" ht="15" customHeight="1">
      <c r="A24" s="2" t="n"/>
      <c r="B24" s="2" t="n"/>
      <c r="C24" s="2" t="n"/>
      <c r="D24" s="94" t="n"/>
      <c r="E24" s="95" t="n"/>
      <c r="F24" s="95" t="n"/>
      <c r="G24" s="94" t="n"/>
      <c r="H24" s="94" t="n"/>
      <c r="I24" s="94" t="n"/>
      <c r="J24" s="94" t="n"/>
      <c r="K24" s="2" t="n"/>
      <c r="L24" s="37" t="n"/>
      <c r="M24" s="96" t="n"/>
      <c r="N24" s="33" t="n"/>
    </row>
    <row r="25" ht="15" customHeight="1">
      <c r="A25" s="2" t="n"/>
      <c r="B25" s="2" t="n"/>
      <c r="C25" s="2" t="n"/>
      <c r="D25" s="94" t="n"/>
      <c r="E25" s="95" t="n"/>
      <c r="F25" s="95" t="n"/>
      <c r="G25" s="94" t="n"/>
      <c r="H25" s="94" t="n"/>
      <c r="I25" s="94" t="n"/>
      <c r="J25" s="94" t="n"/>
      <c r="K25" s="2" t="n"/>
      <c r="L25" s="37" t="n"/>
      <c r="M25" s="96" t="n"/>
      <c r="N25" s="33" t="n"/>
    </row>
    <row r="26" ht="15" customHeight="1">
      <c r="A26" s="2" t="n"/>
      <c r="B26" s="2" t="n"/>
      <c r="C26" s="2" t="n"/>
      <c r="D26" s="94" t="n"/>
      <c r="E26" s="95" t="n"/>
      <c r="F26" s="95" t="n"/>
      <c r="G26" s="94" t="n"/>
      <c r="H26" s="94" t="n"/>
      <c r="I26" s="94" t="n"/>
      <c r="J26" s="94" t="n"/>
      <c r="K26" s="2" t="n"/>
      <c r="L26" s="37" t="n"/>
      <c r="M26" s="96" t="n"/>
      <c r="N26" s="33" t="n"/>
    </row>
    <row r="27" ht="15" customHeight="1">
      <c r="A27" s="2" t="n"/>
      <c r="B27" s="2" t="n"/>
      <c r="C27" s="2" t="n"/>
      <c r="D27" s="94" t="n"/>
      <c r="E27" s="95" t="n"/>
      <c r="F27" s="95" t="n"/>
      <c r="G27" s="94" t="n"/>
      <c r="H27" s="94" t="n"/>
      <c r="I27" s="94" t="n"/>
      <c r="J27" s="94" t="n"/>
      <c r="K27" s="2" t="n"/>
      <c r="L27" s="37" t="n"/>
      <c r="M27" s="96" t="n"/>
      <c r="N27" s="33" t="n"/>
    </row>
    <row r="28" ht="15" customHeight="1">
      <c r="A28" s="2" t="n"/>
      <c r="B28" s="2" t="n"/>
      <c r="C28" s="2" t="n"/>
      <c r="D28" s="94" t="n"/>
      <c r="E28" s="95" t="n"/>
      <c r="F28" s="95" t="n"/>
      <c r="G28" s="94" t="n"/>
      <c r="H28" s="94" t="n"/>
      <c r="I28" s="94" t="n"/>
      <c r="J28" s="94" t="n"/>
      <c r="K28" s="2" t="n"/>
      <c r="L28" s="37" t="n"/>
      <c r="M28" s="96" t="n"/>
      <c r="N28" s="33" t="n"/>
    </row>
    <row r="29" ht="15" customHeight="1">
      <c r="A29" s="2" t="n"/>
      <c r="B29" s="2" t="n"/>
      <c r="C29" s="2" t="n"/>
      <c r="D29" s="94" t="n"/>
      <c r="E29" s="95" t="n"/>
      <c r="F29" s="95" t="n"/>
      <c r="G29" s="94" t="n"/>
      <c r="H29" s="94" t="n"/>
      <c r="I29" s="94" t="n"/>
      <c r="J29" s="94" t="n"/>
      <c r="K29" s="2" t="n"/>
      <c r="L29" s="37" t="n"/>
      <c r="M29" s="96" t="n"/>
      <c r="N29" s="33" t="n"/>
    </row>
    <row r="30" ht="15" customHeight="1">
      <c r="A30" s="2" t="n"/>
      <c r="B30" s="2" t="n"/>
      <c r="C30" s="2" t="n"/>
      <c r="D30" s="94" t="n"/>
      <c r="E30" s="95" t="n"/>
      <c r="F30" s="95" t="n"/>
      <c r="G30" s="94" t="n"/>
      <c r="H30" s="94" t="n"/>
      <c r="I30" s="94" t="n"/>
      <c r="J30" s="94" t="n"/>
      <c r="K30" s="2" t="n"/>
      <c r="L30" s="37" t="n"/>
      <c r="M30" s="96" t="n"/>
      <c r="N30" s="33" t="n"/>
    </row>
    <row r="31" ht="15" customHeight="1">
      <c r="A31" s="2" t="n"/>
      <c r="B31" s="2" t="n"/>
      <c r="C31" s="2" t="n"/>
      <c r="D31" s="94" t="n"/>
      <c r="E31" s="95" t="n"/>
      <c r="F31" s="95" t="n"/>
      <c r="G31" s="94" t="n"/>
      <c r="H31" s="94" t="n"/>
      <c r="I31" s="94" t="n"/>
      <c r="J31" s="94" t="n"/>
      <c r="K31" s="2" t="n"/>
      <c r="L31" s="37" t="n"/>
      <c r="M31" s="96" t="n"/>
      <c r="N31" s="33" t="n"/>
    </row>
    <row r="32" ht="15" customHeight="1">
      <c r="A32" s="2" t="n"/>
      <c r="B32" s="2" t="n"/>
      <c r="C32" s="2" t="n"/>
      <c r="D32" s="94" t="n"/>
      <c r="E32" s="95" t="n"/>
      <c r="F32" s="95" t="n"/>
      <c r="G32" s="94" t="n"/>
      <c r="H32" s="94" t="n"/>
      <c r="I32" s="94" t="n"/>
      <c r="J32" s="94" t="n"/>
      <c r="K32" s="2" t="n"/>
      <c r="L32" s="37" t="n"/>
      <c r="M32" s="96" t="n"/>
      <c r="N32" s="33" t="n"/>
    </row>
    <row r="33" ht="15" customHeight="1">
      <c r="A33" s="2" t="n"/>
      <c r="B33" s="2" t="n"/>
      <c r="C33" s="2" t="n"/>
      <c r="D33" s="94" t="n"/>
      <c r="E33" s="95" t="n"/>
      <c r="F33" s="95" t="n"/>
      <c r="G33" s="94" t="n"/>
      <c r="H33" s="94" t="n"/>
      <c r="I33" s="94" t="n"/>
      <c r="J33" s="94" t="n"/>
      <c r="K33" s="2" t="n"/>
      <c r="L33" s="37" t="n"/>
      <c r="M33" s="96" t="n"/>
      <c r="N33" s="33" t="n"/>
    </row>
    <row r="34" ht="15" customHeight="1">
      <c r="A34" s="2" t="n"/>
      <c r="B34" s="2" t="n"/>
      <c r="C34" s="2" t="n"/>
      <c r="D34" s="94" t="n"/>
      <c r="E34" s="95" t="n"/>
      <c r="F34" s="95" t="n"/>
      <c r="G34" s="94" t="n"/>
      <c r="H34" s="94" t="n"/>
      <c r="I34" s="94" t="n"/>
      <c r="J34" s="94" t="n"/>
      <c r="K34" s="2" t="n"/>
      <c r="L34" s="37" t="n"/>
      <c r="M34" s="96" t="n"/>
      <c r="N34" s="33" t="n"/>
    </row>
    <row r="35" ht="15" customHeight="1">
      <c r="A35" s="2" t="n"/>
      <c r="B35" s="2" t="n"/>
      <c r="C35" s="2" t="n"/>
      <c r="D35" s="94" t="n"/>
      <c r="E35" s="95" t="n"/>
      <c r="F35" s="95" t="n"/>
      <c r="G35" s="94" t="n"/>
      <c r="H35" s="94" t="n"/>
      <c r="I35" s="94" t="n"/>
      <c r="J35" s="94" t="n"/>
      <c r="K35" s="2" t="n"/>
      <c r="L35" s="37" t="n"/>
      <c r="M35" s="96" t="n"/>
      <c r="N35" s="33" t="n"/>
    </row>
    <row r="36" ht="15" customHeight="1">
      <c r="A36" s="2" t="n"/>
      <c r="B36" s="2" t="n"/>
      <c r="C36" s="2" t="n"/>
      <c r="D36" s="94" t="n"/>
      <c r="E36" s="95" t="n"/>
      <c r="F36" s="95" t="n"/>
      <c r="G36" s="94" t="n"/>
      <c r="H36" s="94" t="n"/>
      <c r="I36" s="94" t="n"/>
      <c r="J36" s="94" t="n"/>
      <c r="K36" s="2" t="n"/>
      <c r="L36" s="37" t="n"/>
      <c r="M36" s="96" t="n"/>
      <c r="N36" s="33" t="n"/>
    </row>
    <row r="37" ht="15" customHeight="1">
      <c r="A37" s="2" t="n"/>
      <c r="B37" s="2" t="n"/>
      <c r="C37" s="2" t="n"/>
      <c r="D37" s="94" t="n"/>
      <c r="E37" s="95" t="n"/>
      <c r="F37" s="95" t="n"/>
      <c r="G37" s="94" t="n"/>
      <c r="H37" s="94" t="n"/>
      <c r="I37" s="94" t="n"/>
      <c r="J37" s="94" t="n"/>
      <c r="K37" s="2" t="n"/>
      <c r="L37" s="37" t="n"/>
      <c r="M37" s="96" t="n"/>
      <c r="N37" s="33" t="n"/>
    </row>
    <row r="38" ht="15" customHeight="1">
      <c r="A38" s="2" t="n"/>
      <c r="B38" s="2" t="n"/>
      <c r="C38" s="2" t="n"/>
      <c r="D38" s="94" t="n"/>
      <c r="E38" s="95" t="n"/>
      <c r="F38" s="95" t="n"/>
      <c r="G38" s="94" t="n"/>
      <c r="H38" s="94" t="n"/>
      <c r="I38" s="94" t="n"/>
      <c r="J38" s="94" t="n"/>
      <c r="K38" s="2" t="n"/>
      <c r="L38" s="37" t="n"/>
      <c r="M38" s="96" t="n"/>
      <c r="N38" s="33" t="n"/>
    </row>
    <row r="39" ht="15" customHeight="1">
      <c r="A39" s="2" t="n"/>
      <c r="B39" s="2" t="n"/>
      <c r="C39" s="2" t="n"/>
      <c r="D39" s="94" t="n"/>
      <c r="E39" s="95" t="n"/>
      <c r="F39" s="95" t="n"/>
      <c r="G39" s="94" t="n"/>
      <c r="H39" s="94" t="n"/>
      <c r="I39" s="94" t="n"/>
      <c r="J39" s="94" t="n"/>
      <c r="K39" s="2" t="n"/>
      <c r="L39" s="37" t="n"/>
      <c r="M39" s="96" t="n"/>
      <c r="N39" s="33" t="n"/>
    </row>
    <row r="40" ht="15" customHeight="1">
      <c r="A40" s="2" t="n"/>
      <c r="B40" s="2" t="n"/>
      <c r="C40" s="2" t="n"/>
      <c r="D40" s="94" t="n"/>
      <c r="E40" s="95" t="n"/>
      <c r="F40" s="95" t="n"/>
      <c r="G40" s="94" t="n"/>
      <c r="H40" s="94" t="n"/>
      <c r="I40" s="94" t="n"/>
      <c r="J40" s="94" t="n"/>
      <c r="K40" s="2" t="n"/>
      <c r="L40" s="37" t="n"/>
      <c r="M40" s="96" t="n"/>
      <c r="N40" s="33" t="n"/>
    </row>
    <row r="41" ht="15" customHeight="1">
      <c r="A41" s="2" t="n"/>
      <c r="B41" s="2" t="n"/>
      <c r="C41" s="2" t="n"/>
      <c r="D41" s="94" t="n"/>
      <c r="E41" s="95" t="n"/>
      <c r="F41" s="95" t="n"/>
      <c r="G41" s="94" t="n"/>
      <c r="H41" s="94" t="n"/>
      <c r="I41" s="94" t="n"/>
      <c r="J41" s="94" t="n"/>
      <c r="K41" s="2" t="n"/>
      <c r="L41" s="37" t="n"/>
      <c r="M41" s="96" t="n"/>
      <c r="N41" s="33" t="n"/>
    </row>
    <row r="42" ht="15" customHeight="1">
      <c r="A42" s="2" t="n"/>
      <c r="B42" s="2" t="n"/>
      <c r="C42" s="2" t="n"/>
      <c r="D42" s="94" t="n"/>
      <c r="E42" s="95" t="n"/>
      <c r="F42" s="95" t="n"/>
      <c r="G42" s="94" t="n"/>
      <c r="H42" s="94" t="n"/>
      <c r="I42" s="94" t="n"/>
      <c r="J42" s="94" t="n"/>
      <c r="K42" s="2" t="n"/>
      <c r="L42" s="37" t="n"/>
      <c r="M42" s="96" t="n"/>
      <c r="N42" s="33" t="n"/>
    </row>
    <row r="43" ht="15" customHeight="1">
      <c r="A43" s="2" t="n"/>
      <c r="B43" s="2" t="n"/>
      <c r="C43" s="2" t="n"/>
      <c r="D43" s="94" t="n"/>
      <c r="E43" s="95" t="n"/>
      <c r="F43" s="95" t="n"/>
      <c r="G43" s="94" t="n"/>
      <c r="H43" s="94" t="n"/>
      <c r="I43" s="94" t="n"/>
      <c r="J43" s="94" t="n"/>
      <c r="K43" s="2" t="n"/>
      <c r="L43" s="37" t="n"/>
      <c r="M43" s="96" t="n"/>
      <c r="N43" s="33" t="n"/>
    </row>
    <row r="44" ht="15" customHeight="1">
      <c r="A44" s="2" t="n"/>
      <c r="B44" s="2" t="n"/>
      <c r="C44" s="2" t="n"/>
      <c r="D44" s="94" t="n"/>
      <c r="E44" s="95" t="n"/>
      <c r="F44" s="95" t="n"/>
      <c r="G44" s="94" t="n"/>
      <c r="H44" s="94" t="n"/>
      <c r="I44" s="94" t="n"/>
      <c r="J44" s="94" t="n"/>
      <c r="K44" s="2" t="n"/>
      <c r="L44" s="37" t="n"/>
      <c r="M44" s="96" t="n"/>
      <c r="N44" s="33" t="n"/>
    </row>
    <row r="45" ht="15" customHeight="1">
      <c r="A45" s="2" t="n"/>
      <c r="B45" s="2" t="n"/>
      <c r="C45" s="2" t="n"/>
      <c r="D45" s="94" t="n"/>
      <c r="E45" s="95" t="n"/>
      <c r="F45" s="95" t="n"/>
      <c r="G45" s="94" t="n"/>
      <c r="H45" s="94" t="n"/>
      <c r="I45" s="94" t="n"/>
      <c r="J45" s="94" t="n"/>
      <c r="K45" s="2" t="n"/>
      <c r="L45" s="37" t="n"/>
      <c r="M45" s="96" t="n"/>
      <c r="N45" s="33" t="n"/>
    </row>
    <row r="46" ht="15" customHeight="1">
      <c r="A46" s="2" t="n"/>
      <c r="B46" s="2" t="n"/>
      <c r="C46" s="2" t="n"/>
      <c r="D46" s="94" t="n"/>
      <c r="E46" s="95" t="n"/>
      <c r="F46" s="95" t="n"/>
      <c r="G46" s="94" t="n"/>
      <c r="H46" s="94" t="n"/>
      <c r="I46" s="94" t="n"/>
      <c r="J46" s="94" t="n"/>
      <c r="K46" s="2" t="n"/>
      <c r="L46" s="37" t="n"/>
      <c r="M46" s="96" t="n"/>
      <c r="N46" s="33" t="n"/>
    </row>
    <row r="47" ht="15" customHeight="1">
      <c r="A47" s="2" t="n"/>
      <c r="B47" s="2" t="n"/>
      <c r="C47" s="2" t="n"/>
      <c r="D47" s="94" t="n"/>
      <c r="E47" s="95" t="n"/>
      <c r="F47" s="95" t="n"/>
      <c r="G47" s="94" t="n"/>
      <c r="H47" s="94" t="n"/>
      <c r="I47" s="94" t="n"/>
      <c r="J47" s="94" t="n"/>
      <c r="K47" s="2" t="n"/>
      <c r="L47" s="37" t="n"/>
      <c r="M47" s="96" t="n"/>
      <c r="N47" s="33" t="n"/>
    </row>
    <row r="48" ht="15" customHeight="1">
      <c r="A48" s="2" t="n"/>
      <c r="B48" s="2" t="n"/>
      <c r="C48" s="2" t="n"/>
      <c r="D48" s="94" t="n"/>
      <c r="E48" s="95" t="n"/>
      <c r="F48" s="95" t="n"/>
      <c r="G48" s="94" t="n"/>
      <c r="H48" s="94" t="n"/>
      <c r="I48" s="94" t="n"/>
      <c r="J48" s="94" t="n"/>
      <c r="K48" s="2" t="n"/>
      <c r="L48" s="37" t="n"/>
      <c r="M48" s="96" t="n"/>
      <c r="N48" s="33" t="n"/>
    </row>
    <row r="49" ht="15" customHeight="1">
      <c r="A49" s="2" t="n"/>
      <c r="B49" s="2" t="n"/>
      <c r="C49" s="2" t="n"/>
      <c r="D49" s="94" t="n"/>
      <c r="E49" s="95" t="n"/>
      <c r="F49" s="95" t="n"/>
      <c r="G49" s="94" t="n"/>
      <c r="H49" s="94" t="n"/>
      <c r="I49" s="94" t="n"/>
      <c r="J49" s="94" t="n"/>
      <c r="K49" s="2" t="n"/>
      <c r="L49" s="37" t="n"/>
      <c r="M49" s="96" t="n"/>
      <c r="N49" s="33" t="n"/>
    </row>
    <row r="50" ht="15" customHeight="1">
      <c r="A50" s="2" t="n"/>
      <c r="B50" s="2" t="n"/>
      <c r="C50" s="2" t="n"/>
      <c r="D50" s="94" t="n"/>
      <c r="E50" s="95" t="n"/>
      <c r="F50" s="95" t="n"/>
      <c r="G50" s="94" t="n"/>
      <c r="H50" s="94" t="n"/>
      <c r="I50" s="94" t="n"/>
      <c r="J50" s="94" t="n"/>
      <c r="K50" s="2" t="n"/>
      <c r="L50" s="37" t="n"/>
      <c r="M50" s="96" t="n"/>
      <c r="N50" s="33" t="n"/>
    </row>
    <row r="51" ht="15" customHeight="1">
      <c r="A51" s="2" t="n"/>
      <c r="B51" s="2" t="n"/>
      <c r="C51" s="2" t="n"/>
      <c r="D51" s="94" t="n"/>
      <c r="E51" s="95" t="n"/>
      <c r="F51" s="95" t="n"/>
      <c r="G51" s="94" t="n"/>
      <c r="H51" s="94" t="n"/>
      <c r="I51" s="94" t="n"/>
      <c r="J51" s="94" t="n"/>
      <c r="K51" s="2" t="n"/>
      <c r="L51" s="37" t="n"/>
      <c r="M51" s="96" t="n"/>
      <c r="N51" s="33" t="n"/>
    </row>
    <row r="52" ht="15" customHeight="1">
      <c r="A52" s="2" t="n"/>
      <c r="B52" s="2" t="n"/>
      <c r="C52" s="2" t="n"/>
      <c r="D52" s="94" t="n"/>
      <c r="E52" s="95" t="n"/>
      <c r="F52" s="95" t="n"/>
      <c r="G52" s="94" t="n"/>
      <c r="H52" s="94" t="n"/>
      <c r="I52" s="94" t="n"/>
      <c r="J52" s="94" t="n"/>
      <c r="K52" s="2" t="n"/>
      <c r="L52" s="37" t="n"/>
      <c r="M52" s="96" t="n"/>
      <c r="N52" s="33" t="n"/>
    </row>
    <row r="53" ht="15" customHeight="1">
      <c r="A53" s="2" t="n"/>
      <c r="B53" s="2" t="n"/>
      <c r="C53" s="2" t="n"/>
      <c r="D53" s="94" t="n"/>
      <c r="E53" s="95" t="n"/>
      <c r="F53" s="95" t="n"/>
      <c r="G53" s="94" t="n"/>
      <c r="H53" s="94" t="n"/>
      <c r="I53" s="94" t="n"/>
      <c r="J53" s="94" t="n"/>
      <c r="K53" s="2" t="n"/>
      <c r="L53" s="37" t="n"/>
      <c r="M53" s="96" t="n"/>
      <c r="N53" s="33" t="n"/>
    </row>
    <row r="54" ht="15" customHeight="1">
      <c r="A54" s="2" t="n"/>
      <c r="B54" s="2" t="n"/>
      <c r="C54" s="2" t="n"/>
      <c r="D54" s="94" t="n"/>
      <c r="E54" s="95" t="n"/>
      <c r="F54" s="95" t="n"/>
      <c r="G54" s="94" t="n"/>
      <c r="H54" s="94" t="n"/>
      <c r="I54" s="94" t="n"/>
      <c r="J54" s="94" t="n"/>
      <c r="K54" s="2" t="n"/>
      <c r="L54" s="37" t="n"/>
      <c r="M54" s="96" t="n"/>
      <c r="N54" s="33" t="n"/>
    </row>
    <row r="55" ht="15" customHeight="1">
      <c r="A55" s="2" t="n"/>
      <c r="B55" s="2" t="n"/>
      <c r="C55" s="2" t="n"/>
      <c r="D55" s="94" t="n"/>
      <c r="E55" s="95" t="n"/>
      <c r="F55" s="95" t="n"/>
      <c r="G55" s="94" t="n"/>
      <c r="H55" s="94" t="n"/>
      <c r="I55" s="94" t="n"/>
      <c r="J55" s="94" t="n"/>
      <c r="K55" s="2" t="n"/>
      <c r="L55" s="37" t="n"/>
      <c r="M55" s="96" t="n"/>
      <c r="N55" s="33" t="n"/>
    </row>
    <row r="56" ht="15" customHeight="1">
      <c r="A56" s="2" t="n"/>
      <c r="B56" s="2" t="n"/>
      <c r="C56" s="2" t="n"/>
      <c r="D56" s="94" t="n"/>
      <c r="E56" s="95" t="n"/>
      <c r="F56" s="95" t="n"/>
      <c r="G56" s="94" t="n"/>
      <c r="H56" s="94" t="n"/>
      <c r="I56" s="94" t="n"/>
      <c r="J56" s="94" t="n"/>
      <c r="K56" s="2" t="n"/>
      <c r="L56" s="37" t="n"/>
      <c r="M56" s="96" t="n"/>
      <c r="N56" s="33" t="n"/>
    </row>
    <row r="57" ht="15" customHeight="1">
      <c r="A57" s="2" t="n"/>
      <c r="B57" s="2" t="n"/>
      <c r="C57" s="2" t="n"/>
      <c r="D57" s="94" t="n"/>
      <c r="E57" s="95" t="n"/>
      <c r="F57" s="95" t="n"/>
      <c r="G57" s="94" t="n"/>
      <c r="H57" s="94" t="n"/>
      <c r="I57" s="94" t="n"/>
      <c r="J57" s="94" t="n"/>
      <c r="K57" s="2" t="n"/>
      <c r="L57" s="37" t="n"/>
      <c r="M57" s="96" t="n"/>
      <c r="N57" s="33" t="n"/>
    </row>
    <row r="58" ht="15" customHeight="1">
      <c r="A58" s="2" t="n"/>
      <c r="B58" s="2" t="n"/>
      <c r="C58" s="2" t="n"/>
      <c r="D58" s="94" t="n"/>
      <c r="E58" s="95" t="n"/>
      <c r="F58" s="95" t="n"/>
      <c r="G58" s="94" t="n"/>
      <c r="H58" s="94" t="n"/>
      <c r="I58" s="94" t="n"/>
      <c r="J58" s="94" t="n"/>
      <c r="K58" s="2" t="n"/>
      <c r="L58" s="37" t="n"/>
      <c r="M58" s="96" t="n"/>
      <c r="N58" s="33" t="n"/>
    </row>
    <row r="59" ht="15" customHeight="1">
      <c r="A59" s="2" t="n"/>
      <c r="B59" s="2" t="n"/>
      <c r="C59" s="2" t="n"/>
      <c r="D59" s="94" t="n"/>
      <c r="E59" s="95" t="n"/>
      <c r="F59" s="95" t="n"/>
      <c r="G59" s="94" t="n"/>
      <c r="H59" s="94" t="n"/>
      <c r="I59" s="94" t="n"/>
      <c r="J59" s="94" t="n"/>
      <c r="K59" s="2" t="n"/>
      <c r="L59" s="37" t="n"/>
      <c r="M59" s="96" t="n"/>
      <c r="N59" s="33" t="n"/>
    </row>
    <row r="60" ht="15" customHeight="1">
      <c r="A60" s="2" t="n"/>
      <c r="B60" s="2" t="n"/>
      <c r="C60" s="2" t="n"/>
      <c r="D60" s="94" t="n"/>
      <c r="E60" s="95" t="n"/>
      <c r="F60" s="95" t="n"/>
      <c r="G60" s="94" t="n"/>
      <c r="H60" s="94" t="n"/>
      <c r="I60" s="94" t="n"/>
      <c r="J60" s="94" t="n"/>
      <c r="K60" s="2" t="n"/>
      <c r="L60" s="37" t="n"/>
      <c r="M60" s="96" t="n"/>
      <c r="N60" s="33" t="n"/>
    </row>
    <row r="61" ht="15" customHeight="1">
      <c r="A61" s="2" t="n"/>
      <c r="B61" s="2" t="n"/>
      <c r="C61" s="2" t="n"/>
      <c r="D61" s="94" t="n"/>
      <c r="E61" s="95" t="n"/>
      <c r="F61" s="95" t="n"/>
      <c r="G61" s="94" t="n"/>
      <c r="H61" s="94" t="n"/>
      <c r="I61" s="94" t="n"/>
      <c r="J61" s="94" t="n"/>
      <c r="K61" s="2" t="n"/>
      <c r="L61" s="37" t="n"/>
      <c r="M61" s="96" t="n"/>
      <c r="N61" s="33" t="n"/>
    </row>
    <row r="62" ht="15" customHeight="1">
      <c r="A62" s="2" t="n"/>
      <c r="B62" s="2" t="n"/>
      <c r="C62" s="2" t="n"/>
      <c r="D62" s="94" t="n"/>
      <c r="E62" s="95" t="n"/>
      <c r="F62" s="95" t="n"/>
      <c r="G62" s="94" t="n"/>
      <c r="H62" s="94" t="n"/>
      <c r="I62" s="94" t="n"/>
      <c r="J62" s="94" t="n"/>
      <c r="K62" s="2" t="n"/>
      <c r="L62" s="37" t="n"/>
      <c r="M62" s="96" t="n"/>
      <c r="N62" s="33" t="n"/>
    </row>
    <row r="63" ht="15" customHeight="1">
      <c r="A63" s="2" t="n"/>
      <c r="B63" s="2" t="n"/>
      <c r="C63" s="2" t="n"/>
      <c r="D63" s="94" t="n"/>
      <c r="E63" s="95" t="n"/>
      <c r="F63" s="95" t="n"/>
      <c r="G63" s="94" t="n"/>
      <c r="H63" s="94" t="n"/>
      <c r="I63" s="94" t="n"/>
      <c r="J63" s="94" t="n"/>
      <c r="K63" s="2" t="n"/>
      <c r="L63" s="37" t="n"/>
      <c r="M63" s="96" t="n"/>
      <c r="N63" s="33" t="n"/>
    </row>
    <row r="64" ht="15" customHeight="1">
      <c r="A64" s="2" t="n"/>
      <c r="B64" s="2" t="n"/>
      <c r="C64" s="2" t="n"/>
      <c r="D64" s="94" t="n"/>
      <c r="E64" s="95" t="n"/>
      <c r="F64" s="95" t="n"/>
      <c r="G64" s="94" t="n"/>
      <c r="H64" s="94" t="n"/>
      <c r="I64" s="94" t="n"/>
      <c r="J64" s="94" t="n"/>
      <c r="K64" s="2" t="n"/>
      <c r="L64" s="37" t="n"/>
      <c r="M64" s="96" t="n"/>
      <c r="N64" s="33" t="n"/>
    </row>
    <row r="65" ht="15" customHeight="1">
      <c r="A65" s="2" t="n"/>
      <c r="B65" s="2" t="n"/>
      <c r="C65" s="2" t="n"/>
      <c r="D65" s="94" t="n"/>
      <c r="E65" s="95" t="n"/>
      <c r="F65" s="95" t="n"/>
      <c r="G65" s="94" t="n"/>
      <c r="H65" s="94" t="n"/>
      <c r="I65" s="94" t="n"/>
      <c r="J65" s="94" t="n"/>
      <c r="K65" s="2" t="n"/>
      <c r="L65" s="37" t="n"/>
      <c r="M65" s="96" t="n"/>
      <c r="N65" s="33" t="n"/>
    </row>
    <row r="66" ht="15" customHeight="1">
      <c r="A66" s="2" t="n"/>
      <c r="B66" s="2" t="n"/>
      <c r="C66" s="2" t="n"/>
      <c r="D66" s="94" t="n"/>
      <c r="E66" s="95" t="n"/>
      <c r="F66" s="95" t="n"/>
      <c r="G66" s="94" t="n"/>
      <c r="H66" s="94" t="n"/>
      <c r="I66" s="94" t="n"/>
      <c r="J66" s="94" t="n"/>
      <c r="K66" s="2" t="n"/>
      <c r="L66" s="37" t="n"/>
      <c r="M66" s="96" t="n"/>
      <c r="N66" s="33" t="n"/>
    </row>
    <row r="67" ht="15" customHeight="1">
      <c r="A67" s="2" t="n"/>
      <c r="B67" s="2" t="n"/>
      <c r="C67" s="2" t="n"/>
      <c r="D67" s="94" t="n"/>
      <c r="E67" s="95" t="n"/>
      <c r="F67" s="95" t="n"/>
      <c r="G67" s="94" t="n"/>
      <c r="H67" s="94" t="n"/>
      <c r="I67" s="94" t="n"/>
      <c r="J67" s="94" t="n"/>
      <c r="K67" s="2" t="n"/>
      <c r="L67" s="37" t="n"/>
      <c r="M67" s="96" t="n"/>
      <c r="N67" s="33" t="n"/>
    </row>
    <row r="68" ht="15" customHeight="1">
      <c r="A68" s="2" t="n"/>
      <c r="B68" s="2" t="n"/>
      <c r="C68" s="2" t="n"/>
      <c r="D68" s="94" t="n"/>
      <c r="E68" s="95" t="n"/>
      <c r="F68" s="95" t="n"/>
      <c r="G68" s="94" t="n"/>
      <c r="H68" s="94" t="n"/>
      <c r="I68" s="94" t="n"/>
      <c r="J68" s="94" t="n"/>
      <c r="K68" s="2" t="n"/>
      <c r="L68" s="37" t="n"/>
      <c r="M68" s="96" t="n"/>
      <c r="N68" s="33" t="n"/>
    </row>
    <row r="69" ht="15" customHeight="1">
      <c r="A69" s="2" t="n"/>
      <c r="B69" s="2" t="n"/>
      <c r="C69" s="2" t="n"/>
      <c r="D69" s="94" t="n"/>
      <c r="E69" s="95" t="n"/>
      <c r="F69" s="95" t="n"/>
      <c r="G69" s="94" t="n"/>
      <c r="H69" s="94" t="n"/>
      <c r="I69" s="94" t="n"/>
      <c r="J69" s="94" t="n"/>
      <c r="K69" s="2" t="n"/>
      <c r="L69" s="37" t="n"/>
      <c r="M69" s="96" t="n"/>
      <c r="N69" s="33" t="n"/>
    </row>
    <row r="70" ht="15" customHeight="1">
      <c r="A70" s="2" t="n"/>
      <c r="B70" s="2" t="n"/>
      <c r="C70" s="2" t="n"/>
      <c r="D70" s="94" t="n"/>
      <c r="E70" s="95" t="n"/>
      <c r="F70" s="95" t="n"/>
      <c r="G70" s="94" t="n"/>
      <c r="H70" s="94" t="n"/>
      <c r="I70" s="94" t="n"/>
      <c r="J70" s="94" t="n"/>
      <c r="K70" s="2" t="n"/>
      <c r="L70" s="37" t="n"/>
      <c r="M70" s="96" t="n"/>
      <c r="N70" s="33" t="n"/>
    </row>
    <row r="71" ht="15" customHeight="1">
      <c r="A71" s="2" t="n"/>
      <c r="B71" s="2" t="n"/>
      <c r="C71" s="2" t="n"/>
      <c r="D71" s="94" t="n"/>
      <c r="E71" s="95" t="n"/>
      <c r="F71" s="95" t="n"/>
      <c r="G71" s="94" t="n"/>
      <c r="H71" s="94" t="n"/>
      <c r="I71" s="94" t="n"/>
      <c r="J71" s="94" t="n"/>
      <c r="K71" s="2" t="n"/>
      <c r="L71" s="37" t="n"/>
      <c r="M71" s="96" t="n"/>
      <c r="N71" s="33" t="n"/>
    </row>
    <row r="72" ht="15" customHeight="1">
      <c r="A72" s="2" t="n"/>
      <c r="B72" s="2" t="n"/>
      <c r="C72" s="2" t="n"/>
      <c r="D72" s="94" t="n"/>
      <c r="E72" s="95" t="n"/>
      <c r="F72" s="95" t="n"/>
      <c r="G72" s="94" t="n"/>
      <c r="H72" s="94" t="n"/>
      <c r="I72" s="94" t="n"/>
      <c r="J72" s="94" t="n"/>
      <c r="K72" s="2" t="n"/>
      <c r="L72" s="37" t="n"/>
      <c r="M72" s="96" t="n"/>
      <c r="N72" s="33" t="n"/>
    </row>
    <row r="73" ht="15" customHeight="1">
      <c r="A73" s="2" t="n"/>
      <c r="B73" s="2" t="n"/>
      <c r="C73" s="2" t="n"/>
      <c r="D73" s="94" t="n"/>
      <c r="E73" s="95" t="n"/>
      <c r="F73" s="95" t="n"/>
      <c r="G73" s="94" t="n"/>
      <c r="H73" s="94" t="n"/>
      <c r="I73" s="94" t="n"/>
      <c r="J73" s="94" t="n"/>
      <c r="K73" s="2" t="n"/>
      <c r="L73" s="37" t="n"/>
      <c r="M73" s="96" t="n"/>
      <c r="N73" s="33" t="n"/>
    </row>
    <row r="74" ht="15" customHeight="1">
      <c r="A74" s="2" t="n"/>
      <c r="B74" s="2" t="n"/>
      <c r="C74" s="2" t="n"/>
      <c r="D74" s="94" t="n"/>
      <c r="E74" s="95" t="n"/>
      <c r="F74" s="95" t="n"/>
      <c r="G74" s="94" t="n"/>
      <c r="H74" s="94" t="n"/>
      <c r="I74" s="94" t="n"/>
      <c r="J74" s="94" t="n"/>
      <c r="K74" s="2" t="n"/>
      <c r="L74" s="37" t="n"/>
      <c r="M74" s="96" t="n"/>
      <c r="N74" s="33" t="n"/>
    </row>
    <row r="75" ht="15" customHeight="1">
      <c r="A75" s="2" t="n"/>
      <c r="B75" s="2" t="n"/>
      <c r="C75" s="2" t="n"/>
      <c r="D75" s="94" t="n"/>
      <c r="E75" s="95" t="n"/>
      <c r="F75" s="95" t="n"/>
      <c r="G75" s="94" t="n"/>
      <c r="H75" s="94" t="n"/>
      <c r="I75" s="94" t="n"/>
      <c r="J75" s="94" t="n"/>
      <c r="K75" s="2" t="n"/>
      <c r="L75" s="37" t="n"/>
      <c r="M75" s="96" t="n"/>
      <c r="N75" s="33" t="n"/>
    </row>
    <row r="76" ht="15" customHeight="1">
      <c r="A76" s="2" t="n"/>
      <c r="B76" s="2" t="n"/>
      <c r="C76" s="2" t="n"/>
      <c r="D76" s="94" t="n"/>
      <c r="E76" s="95" t="n"/>
      <c r="F76" s="95" t="n"/>
      <c r="G76" s="94" t="n"/>
      <c r="H76" s="94" t="n"/>
      <c r="I76" s="94" t="n"/>
      <c r="J76" s="94" t="n"/>
      <c r="K76" s="2" t="n"/>
      <c r="L76" s="37" t="n"/>
      <c r="M76" s="96" t="n"/>
      <c r="N76" s="33" t="n"/>
    </row>
    <row r="77" ht="15" customHeight="1">
      <c r="A77" s="2" t="n"/>
      <c r="B77" s="2" t="n"/>
      <c r="C77" s="2" t="n"/>
      <c r="D77" s="94" t="n"/>
      <c r="E77" s="95" t="n"/>
      <c r="F77" s="95" t="n"/>
      <c r="G77" s="94" t="n"/>
      <c r="H77" s="94" t="n"/>
      <c r="I77" s="94" t="n"/>
      <c r="J77" s="94" t="n"/>
      <c r="K77" s="2" t="n"/>
      <c r="L77" s="37" t="n"/>
      <c r="M77" s="96" t="n"/>
      <c r="N77" s="33" t="n"/>
    </row>
    <row r="78" ht="15" customHeight="1">
      <c r="A78" s="2" t="n"/>
      <c r="B78" s="2" t="n"/>
      <c r="C78" s="2" t="n"/>
      <c r="D78" s="94" t="n"/>
      <c r="E78" s="95" t="n"/>
      <c r="F78" s="95" t="n"/>
      <c r="G78" s="94" t="n"/>
      <c r="H78" s="94" t="n"/>
      <c r="I78" s="94" t="n"/>
      <c r="J78" s="94" t="n"/>
      <c r="K78" s="2" t="n"/>
      <c r="L78" s="37" t="n"/>
      <c r="M78" s="96" t="n"/>
      <c r="N78" s="33" t="n"/>
    </row>
    <row r="79" ht="15" customHeight="1">
      <c r="A79" s="2" t="n"/>
      <c r="B79" s="2" t="n"/>
      <c r="C79" s="2" t="n"/>
      <c r="D79" s="94" t="n"/>
      <c r="E79" s="95" t="n"/>
      <c r="F79" s="95" t="n"/>
      <c r="G79" s="94" t="n"/>
      <c r="H79" s="94" t="n"/>
      <c r="I79" s="94" t="n"/>
      <c r="J79" s="94" t="n"/>
      <c r="K79" s="2" t="n"/>
      <c r="L79" s="37" t="n"/>
      <c r="M79" s="96" t="n"/>
      <c r="N79" s="33" t="n"/>
    </row>
    <row r="80" ht="15" customHeight="1">
      <c r="A80" s="2" t="n"/>
      <c r="B80" s="2" t="n"/>
      <c r="C80" s="2" t="n"/>
      <c r="D80" s="94" t="n"/>
      <c r="E80" s="95" t="n"/>
      <c r="F80" s="95" t="n"/>
      <c r="G80" s="94" t="n"/>
      <c r="H80" s="94" t="n"/>
      <c r="I80" s="94" t="n"/>
      <c r="J80" s="94" t="n"/>
      <c r="K80" s="2" t="n"/>
      <c r="L80" s="37" t="n"/>
      <c r="M80" s="96" t="n"/>
      <c r="N80" s="33" t="n"/>
    </row>
    <row r="81" ht="15" customHeight="1">
      <c r="A81" s="2" t="n"/>
      <c r="B81" s="2" t="n"/>
      <c r="C81" s="2" t="n"/>
      <c r="D81" s="94" t="n"/>
      <c r="E81" s="95" t="n"/>
      <c r="F81" s="95" t="n"/>
      <c r="G81" s="94" t="n"/>
      <c r="H81" s="94" t="n"/>
      <c r="I81" s="94" t="n"/>
      <c r="J81" s="94" t="n"/>
      <c r="K81" s="2" t="n"/>
      <c r="L81" s="37" t="n"/>
      <c r="M81" s="96" t="n"/>
      <c r="N81" s="33" t="n"/>
    </row>
    <row r="82" ht="15" customHeight="1">
      <c r="A82" s="2" t="n"/>
      <c r="B82" s="2" t="n"/>
      <c r="C82" s="2" t="n"/>
      <c r="D82" s="94" t="n"/>
      <c r="E82" s="95" t="n"/>
      <c r="F82" s="95" t="n"/>
      <c r="G82" s="94" t="n"/>
      <c r="H82" s="94" t="n"/>
      <c r="I82" s="94" t="n"/>
      <c r="J82" s="94" t="n"/>
      <c r="K82" s="2" t="n"/>
      <c r="L82" s="37" t="n"/>
      <c r="M82" s="96" t="n"/>
      <c r="N82" s="33" t="n"/>
    </row>
    <row r="83" ht="15" customHeight="1">
      <c r="A83" s="2" t="n"/>
      <c r="B83" s="2" t="n"/>
      <c r="C83" s="2" t="n"/>
      <c r="D83" s="94" t="n"/>
      <c r="E83" s="95" t="n"/>
      <c r="F83" s="95" t="n"/>
      <c r="G83" s="94" t="n"/>
      <c r="H83" s="94" t="n"/>
      <c r="I83" s="94" t="n"/>
      <c r="J83" s="94" t="n"/>
      <c r="K83" s="2" t="n"/>
      <c r="L83" s="37" t="n"/>
      <c r="M83" s="96" t="n"/>
      <c r="N83" s="33" t="n"/>
    </row>
    <row r="84" ht="15" customHeight="1">
      <c r="A84" s="2" t="n"/>
      <c r="B84" s="2" t="n"/>
      <c r="C84" s="2" t="n"/>
      <c r="D84" s="94" t="n"/>
      <c r="E84" s="95" t="n"/>
      <c r="F84" s="95" t="n"/>
      <c r="G84" s="94" t="n"/>
      <c r="H84" s="94" t="n"/>
      <c r="I84" s="94" t="n"/>
      <c r="J84" s="94" t="n"/>
      <c r="K84" s="2" t="n"/>
      <c r="L84" s="37" t="n"/>
      <c r="M84" s="96" t="n"/>
      <c r="N84" s="33" t="n"/>
    </row>
    <row r="85" ht="15" customHeight="1">
      <c r="A85" s="2" t="n"/>
      <c r="B85" s="2" t="n"/>
      <c r="C85" s="2" t="n"/>
      <c r="D85" s="94" t="n"/>
      <c r="E85" s="95" t="n"/>
      <c r="F85" s="95" t="n"/>
      <c r="G85" s="94" t="n"/>
      <c r="H85" s="94" t="n"/>
      <c r="I85" s="94" t="n"/>
      <c r="J85" s="94" t="n"/>
      <c r="K85" s="2" t="n"/>
      <c r="L85" s="37" t="n"/>
      <c r="M85" s="96" t="n"/>
      <c r="N85" s="33" t="n"/>
    </row>
    <row r="86" ht="15" customHeight="1">
      <c r="A86" s="2" t="n"/>
      <c r="B86" s="2" t="n"/>
      <c r="C86" s="2" t="n"/>
      <c r="D86" s="94" t="n"/>
      <c r="E86" s="95" t="n"/>
      <c r="F86" s="95" t="n"/>
      <c r="G86" s="94" t="n"/>
      <c r="H86" s="94" t="n"/>
      <c r="I86" s="94" t="n"/>
      <c r="J86" s="94" t="n"/>
      <c r="K86" s="2" t="n"/>
      <c r="L86" s="37" t="n"/>
      <c r="M86" s="96" t="n"/>
      <c r="N86" s="33" t="n"/>
    </row>
    <row r="87" ht="15" customHeight="1">
      <c r="A87" s="2" t="n"/>
      <c r="B87" s="2" t="n"/>
      <c r="C87" s="2" t="n"/>
      <c r="D87" s="94" t="n"/>
      <c r="E87" s="95" t="n"/>
      <c r="F87" s="95" t="n"/>
      <c r="G87" s="94" t="n"/>
      <c r="H87" s="94" t="n"/>
      <c r="I87" s="94" t="n"/>
      <c r="J87" s="94" t="n"/>
      <c r="K87" s="2" t="n"/>
      <c r="L87" s="37" t="n"/>
      <c r="M87" s="96" t="n"/>
      <c r="N87" s="33" t="n"/>
    </row>
    <row r="88" ht="15" customHeight="1">
      <c r="A88" s="2" t="n"/>
      <c r="B88" s="2" t="n"/>
      <c r="C88" s="2" t="n"/>
      <c r="D88" s="94" t="n"/>
      <c r="E88" s="95" t="n"/>
      <c r="F88" s="95" t="n"/>
      <c r="G88" s="94" t="n"/>
      <c r="H88" s="94" t="n"/>
      <c r="I88" s="94" t="n"/>
      <c r="J88" s="94" t="n"/>
      <c r="K88" s="2" t="n"/>
      <c r="L88" s="37" t="n"/>
      <c r="M88" s="96" t="n"/>
      <c r="N88" s="33" t="n"/>
    </row>
    <row r="89" ht="15" customHeight="1">
      <c r="A89" s="2" t="n"/>
      <c r="B89" s="2" t="n"/>
      <c r="C89" s="2" t="n"/>
      <c r="D89" s="94" t="n"/>
      <c r="E89" s="95" t="n"/>
      <c r="F89" s="95" t="n"/>
      <c r="G89" s="94" t="n"/>
      <c r="H89" s="94" t="n"/>
      <c r="I89" s="94" t="n"/>
      <c r="J89" s="94" t="n"/>
      <c r="K89" s="2" t="n"/>
      <c r="L89" s="37" t="n"/>
      <c r="M89" s="96" t="n"/>
      <c r="N89" s="33" t="n"/>
    </row>
    <row r="90" ht="15" customHeight="1">
      <c r="A90" s="2" t="n"/>
      <c r="B90" s="2" t="n"/>
      <c r="C90" s="2" t="n"/>
      <c r="D90" s="94" t="n"/>
      <c r="E90" s="95" t="n"/>
      <c r="F90" s="95" t="n"/>
      <c r="G90" s="94" t="n"/>
      <c r="H90" s="94" t="n"/>
      <c r="I90" s="94" t="n"/>
      <c r="J90" s="94" t="n"/>
      <c r="K90" s="2" t="n"/>
      <c r="L90" s="37" t="n"/>
      <c r="M90" s="96" t="n"/>
      <c r="N90" s="33" t="n"/>
    </row>
    <row r="91" ht="15" customHeight="1">
      <c r="A91" s="2" t="n"/>
      <c r="B91" s="2" t="n"/>
      <c r="C91" s="2" t="n"/>
      <c r="D91" s="94" t="n"/>
      <c r="E91" s="95" t="n"/>
      <c r="F91" s="95" t="n"/>
      <c r="G91" s="94" t="n"/>
      <c r="H91" s="94" t="n"/>
      <c r="I91" s="94" t="n"/>
      <c r="J91" s="94" t="n"/>
      <c r="K91" s="2" t="n"/>
      <c r="L91" s="37" t="n"/>
      <c r="M91" s="96" t="n"/>
      <c r="N91" s="33" t="n"/>
    </row>
    <row r="92" ht="15" customHeight="1">
      <c r="A92" s="2" t="n"/>
      <c r="B92" s="2" t="n"/>
      <c r="C92" s="2" t="n"/>
      <c r="D92" s="94" t="n"/>
      <c r="E92" s="95" t="n"/>
      <c r="F92" s="95" t="n"/>
      <c r="G92" s="94" t="n"/>
      <c r="H92" s="94" t="n"/>
      <c r="I92" s="94" t="n"/>
      <c r="J92" s="94" t="n"/>
      <c r="K92" s="2" t="n"/>
      <c r="L92" s="37" t="n"/>
      <c r="M92" s="96" t="n"/>
      <c r="N92" s="33" t="n"/>
    </row>
    <row r="93" ht="15" customHeight="1">
      <c r="A93" s="2" t="n"/>
      <c r="B93" s="2" t="n"/>
      <c r="C93" s="2" t="n"/>
      <c r="D93" s="94" t="n"/>
      <c r="E93" s="95" t="n"/>
      <c r="F93" s="95" t="n"/>
      <c r="G93" s="94" t="n"/>
      <c r="H93" s="94" t="n"/>
      <c r="I93" s="94" t="n"/>
      <c r="J93" s="94" t="n"/>
      <c r="K93" s="2" t="n"/>
      <c r="L93" s="37" t="n"/>
      <c r="M93" s="96" t="n"/>
      <c r="N93" s="33" t="n"/>
    </row>
    <row r="94" ht="15" customHeight="1">
      <c r="A94" s="2" t="n"/>
      <c r="B94" s="2" t="n"/>
      <c r="C94" s="2" t="n"/>
      <c r="D94" s="94" t="n"/>
      <c r="E94" s="95" t="n"/>
      <c r="F94" s="95" t="n"/>
      <c r="G94" s="94" t="n"/>
      <c r="H94" s="94" t="n"/>
      <c r="I94" s="94" t="n"/>
      <c r="J94" s="94" t="n"/>
      <c r="K94" s="2" t="n"/>
      <c r="L94" s="37" t="n"/>
      <c r="M94" s="96" t="n"/>
      <c r="N94" s="33" t="n"/>
    </row>
    <row r="95" ht="15" customHeight="1">
      <c r="A95" s="2" t="n"/>
      <c r="B95" s="2" t="n"/>
      <c r="C95" s="2" t="n"/>
      <c r="D95" s="94" t="n"/>
      <c r="E95" s="95" t="n"/>
      <c r="F95" s="95" t="n"/>
      <c r="G95" s="94" t="n"/>
      <c r="H95" s="94" t="n"/>
      <c r="I95" s="94" t="n"/>
      <c r="J95" s="94" t="n"/>
      <c r="K95" s="2" t="n"/>
      <c r="L95" s="37" t="n"/>
      <c r="M95" s="96" t="n"/>
      <c r="N95" s="33" t="n"/>
    </row>
    <row r="96" ht="15" customHeight="1">
      <c r="A96" s="2" t="n"/>
      <c r="B96" s="2" t="n"/>
      <c r="C96" s="2" t="n"/>
      <c r="D96" s="94" t="n"/>
      <c r="E96" s="95" t="n"/>
      <c r="F96" s="95" t="n"/>
      <c r="G96" s="94" t="n"/>
      <c r="H96" s="94" t="n"/>
      <c r="I96" s="94" t="n"/>
      <c r="J96" s="94" t="n"/>
      <c r="K96" s="2" t="n"/>
      <c r="L96" s="37" t="n"/>
      <c r="M96" s="96" t="n"/>
      <c r="N96" s="33" t="n"/>
    </row>
    <row r="97" ht="24" customHeight="1">
      <c r="A97" s="2" t="n"/>
      <c r="B97" s="2" t="n"/>
      <c r="C97" s="2" t="n"/>
      <c r="D97" s="94" t="n"/>
      <c r="E97" s="95" t="n"/>
      <c r="F97" s="95" t="n"/>
      <c r="G97" s="94" t="n"/>
      <c r="H97" s="94" t="n"/>
      <c r="I97" s="94" t="n"/>
      <c r="J97" s="94" t="n"/>
      <c r="K97" s="2" t="n"/>
      <c r="L97" s="2" t="n"/>
      <c r="M97" s="96" t="n"/>
      <c r="N97" s="33" t="n"/>
    </row>
    <row r="98" ht="24" customHeight="1">
      <c r="A98" s="2" t="n"/>
      <c r="B98" s="2" t="n"/>
      <c r="C98" s="2" t="n"/>
      <c r="D98" s="94" t="n"/>
      <c r="E98" s="95" t="n"/>
      <c r="F98" s="95" t="n"/>
      <c r="G98" s="94" t="n"/>
      <c r="H98" s="94" t="n"/>
      <c r="I98" s="94" t="n"/>
      <c r="J98" s="94" t="n"/>
      <c r="K98" s="2" t="n"/>
      <c r="L98" s="2" t="n"/>
      <c r="M98" s="96" t="n"/>
      <c r="N98" s="33" t="n"/>
    </row>
    <row r="99" ht="24" customHeight="1">
      <c r="A99" s="2" t="n"/>
      <c r="B99" s="2" t="n"/>
      <c r="C99" s="2" t="n"/>
      <c r="D99" s="94" t="n"/>
      <c r="E99" s="95" t="n"/>
      <c r="F99" s="95" t="n"/>
      <c r="G99" s="94" t="n"/>
      <c r="H99" s="94" t="n"/>
      <c r="I99" s="94" t="n"/>
      <c r="J99" s="94" t="n"/>
      <c r="K99" s="2" t="n"/>
      <c r="L99" s="2" t="n"/>
      <c r="M99" s="96" t="n"/>
      <c r="N99" s="33" t="n"/>
    </row>
    <row r="100" ht="24" customHeight="1">
      <c r="A100" s="2" t="n"/>
      <c r="B100" s="2" t="n"/>
      <c r="C100" s="2" t="n"/>
      <c r="D100" s="94" t="n"/>
      <c r="E100" s="95" t="n"/>
      <c r="F100" s="95" t="n"/>
      <c r="G100" s="94" t="n"/>
      <c r="H100" s="94" t="n"/>
      <c r="I100" s="94" t="n"/>
      <c r="J100" s="94" t="n"/>
      <c r="K100" s="2" t="n"/>
      <c r="L100" s="2" t="n"/>
      <c r="M100" s="96" t="n"/>
      <c r="N100" s="33" t="n"/>
    </row>
    <row r="101" ht="24" customHeight="1">
      <c r="A101" s="2" t="n"/>
      <c r="B101" s="2" t="n"/>
      <c r="C101" s="2" t="n"/>
      <c r="D101" s="94" t="n"/>
      <c r="E101" s="95" t="n"/>
      <c r="F101" s="95" t="n"/>
      <c r="G101" s="94" t="n"/>
      <c r="H101" s="94" t="n"/>
      <c r="I101" s="94" t="n"/>
      <c r="J101" s="94" t="n"/>
      <c r="K101" s="2" t="n"/>
      <c r="L101" s="2" t="n"/>
      <c r="M101" s="96" t="n"/>
      <c r="N101" s="33" t="n"/>
    </row>
    <row r="102" ht="24" customHeight="1">
      <c r="A102" s="2" t="n"/>
      <c r="B102" s="2" t="n"/>
      <c r="C102" s="2" t="n"/>
      <c r="D102" s="94" t="n"/>
      <c r="E102" s="95" t="n"/>
      <c r="F102" s="95" t="n"/>
      <c r="G102" s="94" t="n"/>
      <c r="H102" s="94" t="n"/>
      <c r="I102" s="94" t="n"/>
      <c r="J102" s="94" t="n"/>
      <c r="K102" s="2" t="n"/>
      <c r="L102" s="2" t="n"/>
      <c r="M102" s="96" t="n"/>
      <c r="N102" s="33" t="n"/>
    </row>
    <row r="103" ht="24" customHeight="1">
      <c r="A103" s="2" t="n"/>
      <c r="B103" s="2" t="n"/>
      <c r="C103" s="2" t="n"/>
      <c r="D103" s="94" t="n"/>
      <c r="E103" s="95" t="n"/>
      <c r="F103" s="95" t="n"/>
      <c r="G103" s="94" t="n"/>
      <c r="H103" s="94" t="n"/>
      <c r="I103" s="94" t="n"/>
      <c r="J103" s="94" t="n"/>
      <c r="K103" s="2" t="n"/>
      <c r="L103" s="2" t="n"/>
      <c r="M103" s="96" t="n"/>
      <c r="N103" s="33" t="n"/>
    </row>
    <row r="104" ht="24" customHeight="1">
      <c r="A104" s="2" t="n"/>
      <c r="B104" s="2" t="n"/>
      <c r="C104" s="2" t="n"/>
      <c r="D104" s="94" t="n"/>
      <c r="E104" s="95" t="n"/>
      <c r="F104" s="95" t="n"/>
      <c r="G104" s="94" t="n"/>
      <c r="H104" s="94" t="n"/>
      <c r="I104" s="94" t="n"/>
      <c r="J104" s="94" t="n"/>
      <c r="K104" s="2" t="n"/>
      <c r="L104" s="2" t="n"/>
      <c r="M104" s="96" t="n"/>
      <c r="N104" s="33" t="n"/>
    </row>
    <row r="105" ht="24" customHeight="1">
      <c r="A105" s="2" t="n"/>
      <c r="B105" s="2" t="n"/>
      <c r="C105" s="2" t="n"/>
      <c r="D105" s="94" t="n"/>
      <c r="E105" s="95" t="n"/>
      <c r="F105" s="95" t="n"/>
      <c r="G105" s="94" t="n"/>
      <c r="H105" s="94" t="n"/>
      <c r="I105" s="94" t="n"/>
      <c r="J105" s="94" t="n"/>
      <c r="K105" s="2" t="n"/>
      <c r="L105" s="2" t="n"/>
      <c r="M105" s="96" t="n"/>
      <c r="N105" s="33" t="n"/>
    </row>
    <row r="106" ht="24" customHeight="1">
      <c r="A106" s="2" t="n"/>
      <c r="B106" s="2" t="n"/>
      <c r="C106" s="2" t="n"/>
      <c r="D106" s="94" t="n"/>
      <c r="E106" s="95" t="n"/>
      <c r="F106" s="95" t="n"/>
      <c r="G106" s="94" t="n"/>
      <c r="H106" s="94" t="n"/>
      <c r="I106" s="94" t="n"/>
      <c r="J106" s="94" t="n"/>
      <c r="K106" s="2" t="n"/>
      <c r="L106" s="2" t="n"/>
      <c r="M106" s="96" t="n"/>
      <c r="N106" s="33" t="n"/>
    </row>
    <row r="107" ht="24" customHeight="1">
      <c r="A107" s="2" t="n"/>
      <c r="B107" s="2" t="n"/>
      <c r="C107" s="2" t="n"/>
      <c r="D107" s="94" t="n"/>
      <c r="E107" s="95" t="n"/>
      <c r="F107" s="95" t="n"/>
      <c r="G107" s="94" t="n"/>
      <c r="H107" s="94" t="n"/>
      <c r="I107" s="94" t="n"/>
      <c r="J107" s="94" t="n"/>
      <c r="K107" s="2" t="n"/>
      <c r="L107" s="2" t="n"/>
      <c r="M107" s="96" t="n"/>
      <c r="N107" s="33" t="n"/>
    </row>
    <row r="108" ht="24" customHeight="1">
      <c r="A108" s="2" t="n"/>
      <c r="B108" s="2" t="n"/>
      <c r="C108" s="2" t="n"/>
      <c r="D108" s="94" t="n"/>
      <c r="E108" s="95" t="n"/>
      <c r="F108" s="95" t="n"/>
      <c r="G108" s="94" t="n"/>
      <c r="H108" s="94" t="n"/>
      <c r="I108" s="94" t="n"/>
      <c r="J108" s="94" t="n"/>
      <c r="K108" s="2" t="n"/>
      <c r="L108" s="2" t="n"/>
      <c r="M108" s="96" t="n"/>
      <c r="N108" s="33" t="n"/>
    </row>
    <row r="109" ht="24" customHeight="1">
      <c r="A109" s="2" t="n"/>
      <c r="B109" s="2" t="n"/>
      <c r="C109" s="2" t="n"/>
      <c r="D109" s="94" t="n"/>
      <c r="E109" s="95" t="n"/>
      <c r="F109" s="95" t="n"/>
      <c r="G109" s="94" t="n"/>
      <c r="H109" s="94" t="n"/>
      <c r="I109" s="94" t="n"/>
      <c r="J109" s="94" t="n"/>
      <c r="K109" s="2" t="n"/>
      <c r="L109" s="2" t="n"/>
      <c r="M109" s="96" t="n"/>
      <c r="N109" s="33" t="n"/>
    </row>
    <row r="110" ht="24" customHeight="1">
      <c r="A110" s="2" t="n"/>
      <c r="B110" s="2" t="n"/>
      <c r="C110" s="2" t="n"/>
      <c r="D110" s="94" t="n"/>
      <c r="E110" s="95" t="n"/>
      <c r="F110" s="95" t="n"/>
      <c r="G110" s="94" t="n"/>
      <c r="H110" s="94" t="n"/>
      <c r="I110" s="94" t="n"/>
      <c r="J110" s="94" t="n"/>
      <c r="K110" s="2" t="n"/>
      <c r="L110" s="2" t="n"/>
      <c r="M110" s="96" t="n"/>
      <c r="N110" s="33" t="n"/>
    </row>
    <row r="111" ht="24" customHeight="1">
      <c r="A111" s="2" t="n"/>
      <c r="B111" s="2" t="n"/>
      <c r="C111" s="2" t="n"/>
      <c r="D111" s="94" t="n"/>
      <c r="E111" s="95" t="n"/>
      <c r="F111" s="95" t="n"/>
      <c r="G111" s="94" t="n"/>
      <c r="H111" s="94" t="n"/>
      <c r="I111" s="94" t="n"/>
      <c r="J111" s="94" t="n"/>
      <c r="K111" s="2" t="n"/>
      <c r="L111" s="2" t="n"/>
      <c r="M111" s="96" t="n"/>
      <c r="N111" s="33" t="n"/>
    </row>
    <row r="112" ht="24" customHeight="1">
      <c r="A112" s="2" t="n"/>
      <c r="B112" s="2" t="n"/>
      <c r="C112" s="2" t="n"/>
      <c r="D112" s="94" t="n"/>
      <c r="E112" s="95" t="n"/>
      <c r="F112" s="95" t="n"/>
      <c r="G112" s="94" t="n"/>
      <c r="H112" s="94" t="n"/>
      <c r="I112" s="94" t="n"/>
      <c r="J112" s="94" t="n"/>
      <c r="K112" s="2" t="n"/>
      <c r="L112" s="2" t="n"/>
      <c r="M112" s="96" t="n"/>
      <c r="N112" s="33" t="n"/>
    </row>
    <row r="113" ht="24" customHeight="1">
      <c r="A113" s="2" t="n"/>
      <c r="B113" s="2" t="n"/>
      <c r="C113" s="2" t="n"/>
      <c r="D113" s="94" t="n"/>
      <c r="E113" s="95" t="n"/>
      <c r="F113" s="95" t="n"/>
      <c r="G113" s="94" t="n"/>
      <c r="H113" s="94" t="n"/>
      <c r="I113" s="94" t="n"/>
      <c r="J113" s="94" t="n"/>
      <c r="K113" s="2" t="n"/>
      <c r="L113" s="2" t="n"/>
      <c r="M113" s="96" t="n"/>
      <c r="N113" s="33" t="n"/>
    </row>
    <row r="114" ht="24" customHeight="1">
      <c r="A114" s="2" t="n"/>
      <c r="B114" s="2" t="n"/>
      <c r="C114" s="2" t="n"/>
      <c r="D114" s="94" t="n"/>
      <c r="E114" s="95" t="n"/>
      <c r="F114" s="95" t="n"/>
      <c r="G114" s="94" t="n"/>
      <c r="H114" s="94" t="n"/>
      <c r="I114" s="94" t="n"/>
      <c r="J114" s="94" t="n"/>
      <c r="K114" s="2" t="n"/>
      <c r="L114" s="2" t="n"/>
      <c r="M114" s="96" t="n"/>
      <c r="N114" s="33" t="n"/>
    </row>
    <row r="115" ht="24" customHeight="1">
      <c r="A115" s="2" t="n"/>
      <c r="B115" s="2" t="n"/>
      <c r="C115" s="2" t="n"/>
      <c r="D115" s="94" t="n"/>
      <c r="E115" s="95" t="n"/>
      <c r="F115" s="95" t="n"/>
      <c r="G115" s="94" t="n"/>
      <c r="H115" s="94" t="n"/>
      <c r="I115" s="94" t="n"/>
      <c r="J115" s="94" t="n"/>
      <c r="K115" s="2" t="n"/>
      <c r="L115" s="2" t="n"/>
      <c r="M115" s="96" t="n"/>
      <c r="N115" s="33" t="n"/>
    </row>
    <row r="116" ht="24" customHeight="1">
      <c r="A116" s="2" t="n"/>
      <c r="B116" s="2" t="n"/>
      <c r="C116" s="2" t="n"/>
      <c r="D116" s="94" t="n"/>
      <c r="E116" s="95" t="n"/>
      <c r="F116" s="95" t="n"/>
      <c r="G116" s="94" t="n"/>
      <c r="H116" s="94" t="n"/>
      <c r="I116" s="94" t="n"/>
      <c r="J116" s="94" t="n"/>
      <c r="K116" s="2" t="n"/>
      <c r="L116" s="2" t="n"/>
      <c r="M116" s="96" t="n"/>
      <c r="N116" s="33" t="n"/>
    </row>
    <row r="117" ht="24" customHeight="1">
      <c r="A117" s="2" t="n"/>
      <c r="B117" s="2" t="n"/>
      <c r="C117" s="2" t="n"/>
      <c r="D117" s="94" t="n"/>
      <c r="E117" s="95" t="n"/>
      <c r="F117" s="95" t="n"/>
      <c r="G117" s="94" t="n"/>
      <c r="H117" s="94" t="n"/>
      <c r="I117" s="94" t="n"/>
      <c r="J117" s="94" t="n"/>
      <c r="K117" s="2" t="n"/>
      <c r="L117" s="2" t="n"/>
      <c r="M117" s="96" t="n"/>
      <c r="N117" s="33" t="n"/>
    </row>
    <row r="118" ht="24" customHeight="1">
      <c r="A118" s="2" t="n"/>
      <c r="B118" s="2" t="n"/>
      <c r="C118" s="2" t="n"/>
      <c r="D118" s="94" t="n"/>
      <c r="E118" s="95" t="n"/>
      <c r="F118" s="95" t="n"/>
      <c r="G118" s="94" t="n"/>
      <c r="H118" s="94" t="n"/>
      <c r="I118" s="94" t="n"/>
      <c r="J118" s="94" t="n"/>
      <c r="K118" s="2" t="n"/>
      <c r="L118" s="2" t="n"/>
      <c r="M118" s="96" t="n"/>
      <c r="N118" s="33" t="n"/>
    </row>
    <row r="119" ht="24" customHeight="1">
      <c r="A119" s="2" t="n"/>
      <c r="B119" s="2" t="n"/>
      <c r="C119" s="2" t="n"/>
      <c r="D119" s="94" t="n"/>
      <c r="E119" s="95" t="n"/>
      <c r="F119" s="95" t="n"/>
      <c r="G119" s="94" t="n"/>
      <c r="H119" s="94" t="n"/>
      <c r="I119" s="94" t="n"/>
      <c r="J119" s="94" t="n"/>
      <c r="K119" s="2" t="n"/>
      <c r="L119" s="2" t="n"/>
      <c r="M119" s="96" t="n"/>
      <c r="N119" s="33" t="n"/>
    </row>
    <row r="120" ht="24" customHeight="1">
      <c r="A120" s="2" t="n"/>
      <c r="B120" s="2" t="n"/>
      <c r="C120" s="2" t="n"/>
      <c r="D120" s="94" t="n"/>
      <c r="E120" s="95" t="n"/>
      <c r="F120" s="95" t="n"/>
      <c r="G120" s="94" t="n"/>
      <c r="H120" s="94" t="n"/>
      <c r="I120" s="94" t="n"/>
      <c r="J120" s="94" t="n"/>
      <c r="K120" s="2" t="n"/>
      <c r="L120" s="2" t="n"/>
      <c r="M120" s="96" t="n"/>
      <c r="N120" s="33" t="n"/>
    </row>
    <row r="121" ht="24" customHeight="1">
      <c r="A121" s="2" t="n"/>
      <c r="B121" s="2" t="n"/>
      <c r="C121" s="2" t="n"/>
      <c r="D121" s="94" t="n"/>
      <c r="E121" s="95" t="n"/>
      <c r="F121" s="95" t="n"/>
      <c r="G121" s="94" t="n"/>
      <c r="H121" s="94" t="n"/>
      <c r="I121" s="94" t="n"/>
      <c r="J121" s="94" t="n"/>
      <c r="K121" s="2" t="n"/>
      <c r="L121" s="2" t="n"/>
      <c r="M121" s="96" t="n"/>
      <c r="N121" s="33" t="n"/>
    </row>
    <row r="122" ht="24" customHeight="1">
      <c r="A122" s="2" t="n"/>
      <c r="B122" s="2" t="n"/>
      <c r="C122" s="2" t="n"/>
      <c r="D122" s="94" t="n"/>
      <c r="E122" s="95" t="n"/>
      <c r="F122" s="95" t="n"/>
      <c r="G122" s="94" t="n"/>
      <c r="H122" s="94" t="n"/>
      <c r="I122" s="94" t="n"/>
      <c r="J122" s="94" t="n"/>
      <c r="K122" s="2" t="n"/>
      <c r="L122" s="2" t="n"/>
      <c r="M122" s="96" t="n"/>
      <c r="N122" s="33" t="n"/>
    </row>
  </sheetData>
  <conditionalFormatting sqref="N2:N122">
    <cfRule type="expression" priority="1" dxfId="0" stopIfTrue="1">
      <formula>AND(N2&lt;&gt;"",N2&lt;&gt;"OK")</formula>
    </cfRule>
  </conditionalFormatting>
  <dataValidations count="2">
    <dataValidation sqref="C2:C122" showDropDown="0" showInputMessage="1" showErrorMessage="1" allowBlank="1" errorTitle="請使用清單中的選項" error="先在對應主檔新增表格列，再於此選取。" type="list">
      <formula1>MediaList</formula1>
    </dataValidation>
    <dataValidation sqref="K2:K122" showDropDown="0" showInputMessage="1" showErrorMessage="1" allowBlank="1" errorTitle="請使用清單中的選項" error="先在對應主檔新增表格列，再於此選取。" type="list">
      <formula1>EnableList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24465A"/>
    <outlinePr summaryBelow="1" summaryRight="1"/>
    <pageSetUpPr/>
  </sheetPr>
  <dimension ref="A1:U231"/>
  <sheetViews>
    <sheetView showGridLines="0" zoomScale="90" zoomScaleNormal="90" workbookViewId="0">
      <pane xSplit="1" ySplit="1" topLeftCell="B188" activePane="bottomRight" state="frozenSplit"/>
      <selection pane="topRight" activeCell="B1" sqref="B1"/>
      <selection pane="bottomLeft" activeCell="A2" sqref="A2"/>
      <selection pane="bottomRight" activeCell="I218" sqref="I218"/>
    </sheetView>
  </sheetViews>
  <sheetFormatPr baseColWidth="8" defaultRowHeight="14.25"/>
  <cols>
    <col width="28.625" customWidth="1" min="1" max="1"/>
    <col width="31.625" customWidth="1" min="2" max="2"/>
    <col width="28.625" customWidth="1" min="3" max="3"/>
    <col width="25.625" customWidth="1" min="4" max="4"/>
    <col width="27.625" customWidth="1" min="5" max="5"/>
    <col width="20.625" customWidth="1" min="6" max="6"/>
    <col width="18.625" customWidth="1" min="7" max="7"/>
    <col hidden="1" width="42.625" customWidth="1" min="8" max="8"/>
    <col width="27.625" customWidth="1" min="9" max="9"/>
    <col width="3.625" customWidth="1" min="10" max="10"/>
    <col width="22.625" customWidth="1" min="11" max="12"/>
    <col width="17.625" customWidth="1" min="13" max="13"/>
    <col width="31.625" customWidth="1" min="14" max="14"/>
    <col width="29.625" customWidth="1" min="15" max="15"/>
    <col width="3.625" customWidth="1" min="16" max="16"/>
    <col width="32.625" customWidth="1" min="17" max="17"/>
    <col width="66.625" customWidth="1" min="18" max="18"/>
    <col width="3.625" customWidth="1" min="19" max="19"/>
    <col width="12.625" customWidth="1" min="20" max="20"/>
    <col width="70.625" customWidth="1" min="21" max="21"/>
  </cols>
  <sheetData>
    <row r="1" ht="44.1" customHeight="1">
      <c r="A1" s="5" t="inlineStr">
        <is>
          <t>介質</t>
        </is>
      </c>
      <c r="B1" s="5" t="inlineStr">
        <is>
          <t>分析項目</t>
        </is>
      </c>
      <c r="C1" s="5" t="inlineStr">
        <is>
          <t>別名/英文</t>
        </is>
      </c>
      <c r="D1" s="5" t="inlineStr">
        <is>
          <t>測項類別</t>
        </is>
      </c>
      <c r="E1" s="5" t="inlineStr">
        <is>
          <t>預設分析方法</t>
        </is>
      </c>
      <c r="F1" s="5" t="inlineStr">
        <is>
          <t>標準單位</t>
        </is>
      </c>
      <c r="G1" s="5" t="inlineStr">
        <is>
          <t>啟用</t>
        </is>
      </c>
      <c r="H1" s="4" t="inlineStr">
        <is>
          <t>測項鍵</t>
        </is>
      </c>
      <c r="I1" s="4" t="inlineStr">
        <is>
          <t>主檔檢查</t>
        </is>
      </c>
      <c r="K1" s="5" t="inlineStr">
        <is>
          <t>來源單位</t>
        </is>
      </c>
      <c r="L1" s="5" t="inlineStr">
        <is>
          <t>目標單位</t>
        </is>
      </c>
      <c r="M1" s="5" t="inlineStr">
        <is>
          <t>乘數</t>
        </is>
      </c>
      <c r="N1" s="4" t="inlineStr">
        <is>
          <t>換算鍵</t>
        </is>
      </c>
      <c r="O1" s="4" t="inlineStr">
        <is>
          <t>換算檢查</t>
        </is>
      </c>
      <c r="P1" s="8" t="n"/>
      <c r="Q1" s="11" t="inlineStr">
        <is>
          <t>版本代碼</t>
        </is>
      </c>
      <c r="R1" s="11" t="inlineStr">
        <is>
          <t>說明</t>
        </is>
      </c>
      <c r="S1" s="8" t="n"/>
      <c r="T1" s="9" t="inlineStr">
        <is>
          <t>設定</t>
        </is>
      </c>
      <c r="U1" s="9" t="inlineStr">
        <is>
          <t>定義</t>
        </is>
      </c>
    </row>
    <row r="2" ht="44.1" customHeight="1">
      <c r="A2" s="2" t="inlineStr">
        <is>
          <t>地下水</t>
        </is>
      </c>
      <c r="B2" s="2" t="inlineStr">
        <is>
          <t>採樣深度</t>
        </is>
      </c>
      <c r="C2" s="2" t="n"/>
      <c r="D2" s="2" t="inlineStr">
        <is>
          <t>現場／檢測項目</t>
        </is>
      </c>
      <c r="E2" s="2" t="n"/>
      <c r="F2" s="2" t="inlineStr">
        <is>
          <t>m</t>
        </is>
      </c>
      <c r="G2" s="2" t="inlineStr">
        <is>
          <t>是</t>
        </is>
      </c>
      <c r="H2" s="1">
        <f>IF(OR(A2="",B2=""),"",A2&amp;"|"&amp;B2)</f>
        <v/>
      </c>
      <c r="I2" s="33">
        <f>IF(COUNTA(A2:G2)=0,"",IF(OR(A2="",B2="",F2="",G2=""),"缺必要欄位",IF(COUNTIFS(DB_04[測項鍵],H2)&gt;1,"測項鍵重複","OK")))</f>
        <v/>
      </c>
      <c r="K2" s="2" t="inlineStr">
        <is>
          <t>mg/L</t>
        </is>
      </c>
      <c r="L2" s="2" t="inlineStr">
        <is>
          <t>mg/L</t>
        </is>
      </c>
      <c r="M2" s="2" t="n">
        <v>1</v>
      </c>
      <c r="N2" s="1">
        <f>IF(OR(K2="",L2=""),"",K2&amp;"|"&amp;L2)</f>
        <v/>
      </c>
      <c r="O2" s="33">
        <f>IF(COUNTA(K2:M2)=0,"",IF(OR(K2="",L2="",NOT(ISNUMBER(M2)),M2&lt;=0),"單位或乘數無效",IF(COUNTIFS(DB_06[換算鍵],N2)&gt;1,"換算鍵重複","OK")))</f>
        <v/>
      </c>
      <c r="P2" s="8" t="n"/>
      <c r="Q2" s="37" t="inlineStr">
        <is>
          <t>TW-GW2-20251223</t>
        </is>
      </c>
      <c r="R2" s="37" t="inlineStr">
        <is>
          <t>地下水第二類；第一類以外；管制2025-12-23版，監測2013-12-18版</t>
        </is>
      </c>
      <c r="S2" s="8" t="n"/>
      <c r="T2" s="9" t="inlineStr">
        <is>
          <t>NA</t>
        </is>
      </c>
      <c r="U2" s="9" t="inlineStr">
        <is>
          <t>不適用，解析值留白。</t>
        </is>
      </c>
    </row>
    <row r="3" ht="44.1" customHeight="1">
      <c r="A3" s="2" t="inlineStr">
        <is>
          <t>地下水</t>
        </is>
      </c>
      <c r="B3" s="2" t="inlineStr">
        <is>
          <t>水位</t>
        </is>
      </c>
      <c r="C3" s="2" t="n"/>
      <c r="D3" s="2" t="inlineStr">
        <is>
          <t>現場／檢測項目</t>
        </is>
      </c>
      <c r="E3" s="2" t="n"/>
      <c r="F3" s="2" t="inlineStr">
        <is>
          <t>m</t>
        </is>
      </c>
      <c r="G3" s="2" t="inlineStr">
        <is>
          <t>是</t>
        </is>
      </c>
      <c r="H3" s="1">
        <f>IF(OR(A3="",B3=""),"",A3&amp;"|"&amp;B3)</f>
        <v/>
      </c>
      <c r="I3" s="33">
        <f>IF(COUNTA(A3:G3)=0,"",IF(OR(A3="",B3="",F3="",G3=""),"缺必要欄位",IF(COUNTIFS(DB_04[測項鍵],H3)&gt;1,"測項鍵重複","OK")))</f>
        <v/>
      </c>
      <c r="K3" s="2" t="inlineStr">
        <is>
          <t>μg/L</t>
        </is>
      </c>
      <c r="L3" s="2" t="inlineStr">
        <is>
          <t>mg/L</t>
        </is>
      </c>
      <c r="M3" s="2" t="n">
        <v>0.001</v>
      </c>
      <c r="N3" s="1">
        <f>IF(OR(K3="",L3=""),"",K3&amp;"|"&amp;L3)</f>
        <v/>
      </c>
      <c r="O3" s="33">
        <f>IF(COUNTA(K3:M3)=0,"",IF(OR(K3="",L3="",NOT(ISNUMBER(M3)),M3&lt;=0),"單位或乘數無效",IF(COUNTIFS(DB_06[換算鍵],N3)&gt;1,"換算鍵重複","OK")))</f>
        <v/>
      </c>
      <c r="P3" s="8" t="n"/>
      <c r="Q3" s="37" t="inlineStr">
        <is>
          <t>TW-GW1-20251223</t>
        </is>
      </c>
      <c r="R3" s="37" t="inlineStr">
        <is>
          <t>地下水第一類；飲用水水源水質保護區內；管制2025-12-23版</t>
        </is>
      </c>
      <c r="S3" s="8" t="n"/>
      <c r="T3" s="9" t="inlineStr">
        <is>
          <t>ND</t>
        </is>
      </c>
      <c r="U3" s="9" t="inlineStr">
        <is>
          <t>未檢出，解析值取0；標準比較不以0代替檢出界限。</t>
        </is>
      </c>
    </row>
    <row r="4" ht="44.1" customHeight="1">
      <c r="A4" s="2" t="inlineStr">
        <is>
          <t>地下水</t>
        </is>
      </c>
      <c r="B4" s="2" t="inlineStr">
        <is>
          <t>pH</t>
        </is>
      </c>
      <c r="C4" s="2" t="n"/>
      <c r="D4" s="2" t="inlineStr">
        <is>
          <t>現場／檢測項目</t>
        </is>
      </c>
      <c r="E4" s="2" t="n"/>
      <c r="F4" s="2" t="inlineStr">
        <is>
          <t>無因次</t>
        </is>
      </c>
      <c r="G4" s="2" t="inlineStr">
        <is>
          <t>是</t>
        </is>
      </c>
      <c r="H4" s="1">
        <f>IF(OR(A4="",B4=""),"",A4&amp;"|"&amp;B4)</f>
        <v/>
      </c>
      <c r="I4" s="33">
        <f>IF(COUNTA(A4:G4)=0,"",IF(OR(A4="",B4="",F4="",G4=""),"缺必要欄位",IF(COUNTIFS(DB_04[測項鍵],H4)&gt;1,"測項鍵重複","OK")))</f>
        <v/>
      </c>
      <c r="K4" s="2" t="inlineStr">
        <is>
          <t>µg/L</t>
        </is>
      </c>
      <c r="L4" s="2" t="inlineStr">
        <is>
          <t>mg/L</t>
        </is>
      </c>
      <c r="M4" s="2" t="n">
        <v>0.001</v>
      </c>
      <c r="N4" s="1">
        <f>IF(OR(K4="",L4=""),"",K4&amp;"|"&amp;L4)</f>
        <v/>
      </c>
      <c r="O4" s="33">
        <f>IF(COUNTA(K4:M4)=0,"",IF(OR(K4="",L4="",NOT(ISNUMBER(M4)),M4&lt;=0),"單位或乘數無效",IF(COUNTIFS(DB_06[換算鍵],N4)&gt;1,"換算鍵重複","OK")))</f>
        <v/>
      </c>
      <c r="P4" s="8" t="n"/>
      <c r="Q4" s="37" t="inlineStr">
        <is>
          <t>TW-SOIL-20110131</t>
        </is>
      </c>
      <c r="R4" s="37" t="inlineStr">
        <is>
          <t>土壤一般；排除食用作物農地的特殊門檻</t>
        </is>
      </c>
      <c r="S4" s="8" t="n"/>
      <c r="T4" s="8" t="n"/>
      <c r="U4" s="8" t="n"/>
    </row>
    <row r="5" ht="44.1" customHeight="1">
      <c r="A5" s="2" t="inlineStr">
        <is>
          <t>地下水</t>
        </is>
      </c>
      <c r="B5" s="2" t="inlineStr">
        <is>
          <t>EC</t>
        </is>
      </c>
      <c r="C5" s="2" t="n"/>
      <c r="D5" s="2" t="inlineStr">
        <is>
          <t>現場／檢測項目</t>
        </is>
      </c>
      <c r="E5" s="2" t="n"/>
      <c r="F5" s="2" t="inlineStr">
        <is>
          <t>μmho/cm</t>
        </is>
      </c>
      <c r="G5" s="2" t="inlineStr">
        <is>
          <t>是</t>
        </is>
      </c>
      <c r="H5" s="1">
        <f>IF(OR(A5="",B5=""),"",A5&amp;"|"&amp;B5)</f>
        <v/>
      </c>
      <c r="I5" s="33">
        <f>IF(COUNTA(A5:G5)=0,"",IF(OR(A5="",B5="",F5="",G5=""),"缺必要欄位",IF(COUNTIFS(DB_04[測項鍵],H5)&gt;1,"測項鍵重複","OK")))</f>
        <v/>
      </c>
      <c r="K5" s="2" t="inlineStr">
        <is>
          <t>ug/L</t>
        </is>
      </c>
      <c r="L5" s="2" t="inlineStr">
        <is>
          <t>mg/L</t>
        </is>
      </c>
      <c r="M5" s="2" t="n">
        <v>0.001</v>
      </c>
      <c r="N5" s="1">
        <f>IF(OR(K5="",L5=""),"",K5&amp;"|"&amp;L5)</f>
        <v/>
      </c>
      <c r="O5" s="33">
        <f>IF(COUNTA(K5:M5)=0,"",IF(OR(K5="",L5="",NOT(ISNUMBER(M5)),M5&lt;=0),"單位或乘數無效",IF(COUNTIFS(DB_06[換算鍵],N5)&gt;1,"換算鍵重複","OK")))</f>
        <v/>
      </c>
      <c r="P5" s="8" t="n"/>
      <c r="Q5" s="37" t="inlineStr">
        <is>
          <t>TW-SOIL-FOOD-20110131</t>
        </is>
      </c>
      <c r="R5" s="37" t="inlineStr">
        <is>
          <t>土壤食用作物農地；鎘、銅、汞、鉛、鋅採農地門檻</t>
        </is>
      </c>
      <c r="S5" s="8" t="n"/>
      <c r="T5" s="8" t="n"/>
      <c r="U5" s="8" t="n"/>
    </row>
    <row r="6" ht="24.95" customHeight="1">
      <c r="A6" s="2" t="inlineStr">
        <is>
          <t>地下水</t>
        </is>
      </c>
      <c r="B6" s="2" t="inlineStr">
        <is>
          <t>DO</t>
        </is>
      </c>
      <c r="C6" s="2" t="n"/>
      <c r="D6" s="2" t="inlineStr">
        <is>
          <t>現場／檢測項目</t>
        </is>
      </c>
      <c r="E6" s="2" t="n"/>
      <c r="F6" s="2" t="inlineStr">
        <is>
          <t>mg/L</t>
        </is>
      </c>
      <c r="G6" s="2" t="inlineStr">
        <is>
          <t>是</t>
        </is>
      </c>
      <c r="H6" s="1">
        <f>IF(OR(A6="",B6=""),"",A6&amp;"|"&amp;B6)</f>
        <v/>
      </c>
      <c r="I6" s="33">
        <f>IF(COUNTA(A6:G6)=0,"",IF(OR(A6="",B6="",F6="",G6=""),"缺必要欄位",IF(COUNTIFS(DB_04[測項鍵],H6)&gt;1,"測項鍵重複","OK")))</f>
        <v/>
      </c>
      <c r="K6" s="2" t="inlineStr">
        <is>
          <t>mg/L</t>
        </is>
      </c>
      <c r="L6" s="2" t="inlineStr">
        <is>
          <t>μg/L</t>
        </is>
      </c>
      <c r="M6" s="2" t="n">
        <v>1000</v>
      </c>
      <c r="N6" s="1">
        <f>IF(OR(K6="",L6=""),"",K6&amp;"|"&amp;L6)</f>
        <v/>
      </c>
      <c r="O6" s="33">
        <f>IF(COUNTA(K6:M6)=0,"",IF(OR(K6="",L6="",NOT(ISNUMBER(M6)),M6&lt;=0),"單位或乘數無效",IF(COUNTIFS(DB_06[換算鍵],N6)&gt;1,"換算鍵重複","OK")))</f>
        <v/>
      </c>
      <c r="P6" s="8" t="n"/>
      <c r="S6" s="8" t="n"/>
      <c r="T6" s="14" t="inlineStr">
        <is>
          <t>介質</t>
        </is>
      </c>
      <c r="U6" s="14" t="inlineStr">
        <is>
          <t>介質清單維護</t>
        </is>
      </c>
    </row>
    <row r="7" ht="24.95" customHeight="1">
      <c r="A7" s="2" t="inlineStr">
        <is>
          <t>地下水</t>
        </is>
      </c>
      <c r="B7" s="2" t="inlineStr">
        <is>
          <t>ORP</t>
        </is>
      </c>
      <c r="C7" s="2" t="n"/>
      <c r="D7" s="2" t="inlineStr">
        <is>
          <t>現場／檢測項目</t>
        </is>
      </c>
      <c r="E7" s="2" t="n"/>
      <c r="F7" s="2" t="inlineStr">
        <is>
          <t>mv</t>
        </is>
      </c>
      <c r="G7" s="2" t="inlineStr">
        <is>
          <t>是</t>
        </is>
      </c>
      <c r="H7" s="1">
        <f>IF(OR(A7="",B7=""),"",A7&amp;"|"&amp;B7)</f>
        <v/>
      </c>
      <c r="I7" s="33">
        <f>IF(COUNTA(A7:G7)=0,"",IF(OR(A7="",B7="",F7="",G7=""),"缺必要欄位",IF(COUNTIFS(DB_04[測項鍵],H7)&gt;1,"測項鍵重複","OK")))</f>
        <v/>
      </c>
      <c r="K7" s="2" t="inlineStr">
        <is>
          <t>μg/L</t>
        </is>
      </c>
      <c r="L7" s="2" t="inlineStr">
        <is>
          <t>μg/L</t>
        </is>
      </c>
      <c r="M7" s="2" t="n">
        <v>1</v>
      </c>
      <c r="N7" s="1">
        <f>IF(OR(K7="",L7=""),"",K7&amp;"|"&amp;L7)</f>
        <v/>
      </c>
      <c r="O7" s="33">
        <f>IF(COUNTA(K7:M7)=0,"",IF(OR(K7="",L7="",NOT(ISNUMBER(M7)),M7&lt;=0),"單位或乘數無效",IF(COUNTIFS(DB_06[換算鍵],N7)&gt;1,"換算鍵重複","OK")))</f>
        <v/>
      </c>
      <c r="P7" s="8" t="n"/>
      <c r="S7" s="8" t="n"/>
      <c r="T7" s="13" t="inlineStr">
        <is>
          <t>地下水</t>
        </is>
      </c>
      <c r="U7" s="73" t="inlineStr">
        <is>
          <t>在介質表格最後一格按 Tab，再輸入新介質。</t>
        </is>
      </c>
    </row>
    <row r="8" ht="24.95" customHeight="1">
      <c r="A8" s="2" t="inlineStr">
        <is>
          <t>地下水</t>
        </is>
      </c>
      <c r="B8" s="2" t="inlineStr">
        <is>
          <t>三氯乙烯</t>
        </is>
      </c>
      <c r="C8" s="2" t="n"/>
      <c r="D8" s="2" t="inlineStr">
        <is>
          <t>氯化碳氫化合物</t>
        </is>
      </c>
      <c r="E8" s="2" t="n"/>
      <c r="F8" s="2" t="inlineStr">
        <is>
          <t>mg/L</t>
        </is>
      </c>
      <c r="G8" s="2" t="inlineStr">
        <is>
          <t>是</t>
        </is>
      </c>
      <c r="H8" s="1">
        <f>IF(OR(A8="",B8=""),"",A8&amp;"|"&amp;B8)</f>
        <v/>
      </c>
      <c r="I8" s="33">
        <f>IF(COUNTA(A8:G8)=0,"",IF(OR(A8="",B8="",F8="",G8=""),"缺必要欄位",IF(COUNTIFS(DB_04[測項鍵],H8)&gt;1,"測項鍵重複","OK")))</f>
        <v/>
      </c>
      <c r="K8" s="2" t="inlineStr">
        <is>
          <t>mg/kg</t>
        </is>
      </c>
      <c r="L8" s="2" t="inlineStr">
        <is>
          <t>mg/kg</t>
        </is>
      </c>
      <c r="M8" s="2" t="n">
        <v>1</v>
      </c>
      <c r="N8" s="1">
        <f>IF(OR(K8="",L8=""),"",K8&amp;"|"&amp;L8)</f>
        <v/>
      </c>
      <c r="O8" s="33">
        <f>IF(COUNTA(K8:M8)=0,"",IF(OR(K8="",L8="",NOT(ISNUMBER(M8)),M8&lt;=0),"單位或乘數無效",IF(COUNTIFS(DB_06[換算鍵],N8)&gt;1,"換算鍵重複","OK")))</f>
        <v/>
      </c>
      <c r="P8" s="8" t="n"/>
      <c r="S8" s="8" t="n"/>
      <c r="T8" s="13" t="inlineStr">
        <is>
          <t>土壤</t>
        </is>
      </c>
      <c r="U8" s="73" t="inlineStr">
        <is>
          <t>四個分頁的介質下拉選單會同步更新。</t>
        </is>
      </c>
    </row>
    <row r="9" ht="24.95" customHeight="1">
      <c r="A9" s="2" t="inlineStr">
        <is>
          <t>地下水</t>
        </is>
      </c>
      <c r="B9" s="2" t="inlineStr">
        <is>
          <t>順-1,2-二氯乙烯</t>
        </is>
      </c>
      <c r="C9" s="2" t="n"/>
      <c r="D9" s="2" t="inlineStr">
        <is>
          <t>氯化碳氫化合物</t>
        </is>
      </c>
      <c r="E9" s="2" t="n"/>
      <c r="F9" s="2" t="inlineStr">
        <is>
          <t>mg/L</t>
        </is>
      </c>
      <c r="G9" s="2" t="inlineStr">
        <is>
          <t>是</t>
        </is>
      </c>
      <c r="H9" s="1">
        <f>IF(OR(A9="",B9=""),"",A9&amp;"|"&amp;B9)</f>
        <v/>
      </c>
      <c r="I9" s="33">
        <f>IF(COUNTA(A9:G9)=0,"",IF(OR(A9="",B9="",F9="",G9=""),"缺必要欄位",IF(COUNTIFS(DB_04[測項鍵],H9)&gt;1,"測項鍵重複","OK")))</f>
        <v/>
      </c>
      <c r="K9" s="2" t="inlineStr">
        <is>
          <t>μg/kg</t>
        </is>
      </c>
      <c r="L9" s="2" t="inlineStr">
        <is>
          <t>mg/kg</t>
        </is>
      </c>
      <c r="M9" s="2" t="n">
        <v>0.001</v>
      </c>
      <c r="N9" s="1">
        <f>IF(OR(K9="",L9=""),"",K9&amp;"|"&amp;L9)</f>
        <v/>
      </c>
      <c r="O9" s="33">
        <f>IF(COUNTA(K9:M9)=0,"",IF(OR(K9="",L9="",NOT(ISNUMBER(M9)),M9&lt;=0),"單位或乘數無效",IF(COUNTIFS(DB_06[換算鍵],N9)&gt;1,"換算鍵重複","OK")))</f>
        <v/>
      </c>
      <c r="P9" s="8" t="n"/>
      <c r="S9" s="8" t="n"/>
      <c r="T9" s="13" t="inlineStr">
        <is>
          <t>系統水</t>
        </is>
      </c>
      <c r="U9" s="73" t="inlineStr">
        <is>
          <t>每列一項，避免空白列與重複名稱。</t>
        </is>
      </c>
    </row>
    <row r="10" ht="24.95" customHeight="1">
      <c r="A10" s="2" t="inlineStr">
        <is>
          <t>地下水</t>
        </is>
      </c>
      <c r="B10" s="2" t="inlineStr">
        <is>
          <t>反-1,2-二氯乙烯</t>
        </is>
      </c>
      <c r="C10" s="2" t="n"/>
      <c r="D10" s="2" t="inlineStr">
        <is>
          <t>氯化碳氫化合物</t>
        </is>
      </c>
      <c r="E10" s="2" t="n"/>
      <c r="F10" s="2" t="inlineStr">
        <is>
          <t>mg/L</t>
        </is>
      </c>
      <c r="G10" s="2" t="inlineStr">
        <is>
          <t>是</t>
        </is>
      </c>
      <c r="H10" s="1">
        <f>IF(OR(A10="",B10=""),"",A10&amp;"|"&amp;B10)</f>
        <v/>
      </c>
      <c r="I10" s="33">
        <f>IF(COUNTA(A10:G10)=0,"",IF(OR(A10="",B10="",F10="",G10=""),"缺必要欄位",IF(COUNTIFS(DB_04[測項鍵],H10)&gt;1,"測項鍵重複","OK")))</f>
        <v/>
      </c>
      <c r="K10" s="2" t="inlineStr">
        <is>
          <t>µg/kg</t>
        </is>
      </c>
      <c r="L10" s="2" t="inlineStr">
        <is>
          <t>mg/kg</t>
        </is>
      </c>
      <c r="M10" s="2" t="n">
        <v>0.001</v>
      </c>
      <c r="N10" s="1">
        <f>IF(OR(K10="",L10=""),"",K10&amp;"|"&amp;L10)</f>
        <v/>
      </c>
      <c r="O10" s="33">
        <f>IF(COUNTA(K10:M10)=0,"",IF(OR(K10="",L10="",NOT(ISNUMBER(M10)),M10&lt;=0),"單位或乘數無效",IF(COUNTIFS(DB_06[換算鍵],N10)&gt;1,"換算鍵重複","OK")))</f>
        <v/>
      </c>
      <c r="P10" s="8" t="n"/>
      <c r="S10" s="8" t="n"/>
      <c r="T10" s="8" t="n"/>
      <c r="U10" s="73" t="inlineStr">
        <is>
          <t>新增介質後，依需要建立點位、測項與標準。</t>
        </is>
      </c>
    </row>
    <row r="11" ht="24.95" customHeight="1">
      <c r="A11" s="2" t="inlineStr">
        <is>
          <t>地下水</t>
        </is>
      </c>
      <c r="B11" s="2" t="inlineStr">
        <is>
          <t>1,1-二氯乙烯</t>
        </is>
      </c>
      <c r="C11" s="2" t="n"/>
      <c r="D11" s="2" t="inlineStr">
        <is>
          <t>氯化碳氫化合物</t>
        </is>
      </c>
      <c r="E11" s="2" t="n"/>
      <c r="F11" s="2" t="inlineStr">
        <is>
          <t>mg/L</t>
        </is>
      </c>
      <c r="G11" s="2" t="inlineStr">
        <is>
          <t>是</t>
        </is>
      </c>
      <c r="H11" s="1">
        <f>IF(OR(A11="",B11=""),"",A11&amp;"|"&amp;B11)</f>
        <v/>
      </c>
      <c r="I11" s="33">
        <f>IF(COUNTA(A11:G11)=0,"",IF(OR(A11="",B11="",F11="",G11=""),"缺必要欄位",IF(COUNTIFS(DB_04[測項鍵],H11)&gt;1,"測項鍵重複","OK")))</f>
        <v/>
      </c>
      <c r="K11" s="2" t="inlineStr">
        <is>
          <t>ug/kg</t>
        </is>
      </c>
      <c r="L11" s="2" t="inlineStr">
        <is>
          <t>mg/kg</t>
        </is>
      </c>
      <c r="M11" s="2" t="n">
        <v>0.001</v>
      </c>
      <c r="N11" s="1">
        <f>IF(OR(K11="",L11=""),"",K11&amp;"|"&amp;L11)</f>
        <v/>
      </c>
      <c r="O11" s="33">
        <f>IF(COUNTA(K11:M11)=0,"",IF(OR(K11="",L11="",NOT(ISNUMBER(M11)),M11&lt;=0),"單位或乘數無效",IF(COUNTIFS(DB_06[換算鍵],N11)&gt;1,"換算鍵重複","OK")))</f>
        <v/>
      </c>
      <c r="P11" s="8" t="n"/>
      <c r="S11" s="8" t="n"/>
      <c r="T11" s="8" t="n"/>
      <c r="U11" s="8" t="n"/>
    </row>
    <row r="12" ht="24.95" customHeight="1">
      <c r="A12" s="2" t="inlineStr">
        <is>
          <t>地下水</t>
        </is>
      </c>
      <c r="B12" s="2" t="inlineStr">
        <is>
          <t>1,1-二氯乙烷</t>
        </is>
      </c>
      <c r="C12" s="2" t="n"/>
      <c r="D12" s="2" t="inlineStr">
        <is>
          <t>氯化碳氫化合物</t>
        </is>
      </c>
      <c r="E12" s="2" t="n"/>
      <c r="F12" s="2" t="inlineStr">
        <is>
          <t>mg/L</t>
        </is>
      </c>
      <c r="G12" s="2" t="inlineStr">
        <is>
          <t>是</t>
        </is>
      </c>
      <c r="H12" s="1">
        <f>IF(OR(A12="",B12=""),"",A12&amp;"|"&amp;B12)</f>
        <v/>
      </c>
      <c r="I12" s="33">
        <f>IF(COUNTA(A12:G12)=0,"",IF(OR(A12="",B12="",F12="",G12=""),"缺必要欄位",IF(COUNTIFS(DB_04[測項鍵],H12)&gt;1,"測項鍵重複","OK")))</f>
        <v/>
      </c>
      <c r="K12" s="2" t="inlineStr">
        <is>
          <t>m</t>
        </is>
      </c>
      <c r="L12" s="2" t="inlineStr">
        <is>
          <t>m</t>
        </is>
      </c>
      <c r="M12" s="2" t="n">
        <v>1</v>
      </c>
      <c r="N12" s="1">
        <f>IF(OR(K12="",L12=""),"",K12&amp;"|"&amp;L12)</f>
        <v/>
      </c>
      <c r="O12" s="33">
        <f>IF(COUNTA(K12:M12)=0,"",IF(OR(K12="",L12="",NOT(ISNUMBER(M12)),M12&lt;=0),"單位或乘數無效",IF(COUNTIFS(DB_06[換算鍵],N12)&gt;1,"換算鍵重複","OK")))</f>
        <v/>
      </c>
      <c r="P12" s="8" t="n"/>
      <c r="S12" s="8" t="n"/>
      <c r="T12" s="8" t="n"/>
      <c r="U12" s="8" t="n"/>
    </row>
    <row r="13" ht="24.95" customHeight="1">
      <c r="A13" s="2" t="inlineStr">
        <is>
          <t>地下水</t>
        </is>
      </c>
      <c r="B13" s="2" t="inlineStr">
        <is>
          <t>氯乙烯</t>
        </is>
      </c>
      <c r="C13" s="2" t="n"/>
      <c r="D13" s="2" t="inlineStr">
        <is>
          <t>氯化碳氫化合物</t>
        </is>
      </c>
      <c r="E13" s="2" t="n"/>
      <c r="F13" s="2" t="inlineStr">
        <is>
          <t>mg/L</t>
        </is>
      </c>
      <c r="G13" s="2" t="inlineStr">
        <is>
          <t>是</t>
        </is>
      </c>
      <c r="H13" s="1">
        <f>IF(OR(A13="",B13=""),"",A13&amp;"|"&amp;B13)</f>
        <v/>
      </c>
      <c r="I13" s="33">
        <f>IF(COUNTA(A13:G13)=0,"",IF(OR(A13="",B13="",F13="",G13=""),"缺必要欄位",IF(COUNTIFS(DB_04[測項鍵],H13)&gt;1,"測項鍵重複","OK")))</f>
        <v/>
      </c>
      <c r="K13" s="2" t="inlineStr">
        <is>
          <t>mV</t>
        </is>
      </c>
      <c r="L13" s="2" t="inlineStr">
        <is>
          <t>mV</t>
        </is>
      </c>
      <c r="M13" s="2" t="n">
        <v>1</v>
      </c>
      <c r="N13" s="1">
        <f>IF(OR(K13="",L13=""),"",K13&amp;"|"&amp;L13)</f>
        <v/>
      </c>
      <c r="O13" s="33">
        <f>IF(COUNTA(K13:M13)=0,"",IF(OR(K13="",L13="",NOT(ISNUMBER(M13)),M13&lt;=0),"單位或乘數無效",IF(COUNTIFS(DB_06[換算鍵],N13)&gt;1,"換算鍵重複","OK")))</f>
        <v/>
      </c>
      <c r="P13" s="8" t="n"/>
      <c r="S13" s="8" t="n"/>
      <c r="T13" s="8" t="n"/>
      <c r="U13" s="8" t="n"/>
    </row>
    <row r="14" ht="24.95" customHeight="1">
      <c r="A14" s="2" t="inlineStr">
        <is>
          <t>地下水</t>
        </is>
      </c>
      <c r="B14" s="2" t="inlineStr">
        <is>
          <t>PID(250ml)頂空</t>
        </is>
      </c>
      <c r="C14" s="2" t="n"/>
      <c r="D14" s="2" t="inlineStr">
        <is>
          <t>現場／檢測項目</t>
        </is>
      </c>
      <c r="E14" s="2" t="n"/>
      <c r="F14" s="2" t="inlineStr">
        <is>
          <t>ppmV</t>
        </is>
      </c>
      <c r="G14" s="2" t="inlineStr">
        <is>
          <t>是</t>
        </is>
      </c>
      <c r="H14" s="1">
        <f>IF(OR(A14="",B14=""),"",A14&amp;"|"&amp;B14)</f>
        <v/>
      </c>
      <c r="I14" s="33">
        <f>IF(COUNTA(A14:G14)=0,"",IF(OR(A14="",B14="",F14="",G14=""),"缺必要欄位",IF(COUNTIFS(DB_04[測項鍵],H14)&gt;1,"測項鍵重複","OK")))</f>
        <v/>
      </c>
      <c r="K14" s="2" t="inlineStr">
        <is>
          <t>μS/cm</t>
        </is>
      </c>
      <c r="L14" s="2" t="inlineStr">
        <is>
          <t>μS/cm</t>
        </is>
      </c>
      <c r="M14" s="2" t="n">
        <v>1</v>
      </c>
      <c r="N14" s="1">
        <f>IF(OR(K14="",L14=""),"",K14&amp;"|"&amp;L14)</f>
        <v/>
      </c>
      <c r="O14" s="33">
        <f>IF(COUNTA(K14:M14)=0,"",IF(OR(K14="",L14="",NOT(ISNUMBER(M14)),M14&lt;=0),"單位或乘數無效",IF(COUNTIFS(DB_06[換算鍵],N14)&gt;1,"換算鍵重複","OK")))</f>
        <v/>
      </c>
      <c r="P14" s="8" t="n"/>
      <c r="S14" s="8" t="n"/>
      <c r="T14" s="8" t="n"/>
      <c r="U14" s="8" t="n"/>
    </row>
    <row r="15" ht="24.95" customHeight="1">
      <c r="A15" s="2" t="inlineStr">
        <is>
          <t>地下水</t>
        </is>
      </c>
      <c r="B15" s="2" t="inlineStr">
        <is>
          <t>總有機碳</t>
        </is>
      </c>
      <c r="C15" s="2" t="n"/>
      <c r="D15" s="2" t="inlineStr">
        <is>
          <t>背景與指標水質</t>
        </is>
      </c>
      <c r="E15" s="2" t="n"/>
      <c r="F15" s="2" t="inlineStr">
        <is>
          <t>mg/L</t>
        </is>
      </c>
      <c r="G15" s="2" t="inlineStr">
        <is>
          <t>是</t>
        </is>
      </c>
      <c r="H15" s="1">
        <f>IF(OR(A15="",B15=""),"",A15&amp;"|"&amp;B15)</f>
        <v/>
      </c>
      <c r="I15" s="33">
        <f>IF(COUNTA(A15:G15)=0,"",IF(OR(A15="",B15="",F15="",G15=""),"缺必要欄位",IF(COUNTIFS(DB_04[測項鍵],H15)&gt;1,"測項鍵重複","OK")))</f>
        <v/>
      </c>
      <c r="K15" s="2" t="inlineStr">
        <is>
          <t>µS/cm</t>
        </is>
      </c>
      <c r="L15" s="2" t="inlineStr">
        <is>
          <t>μS/cm</t>
        </is>
      </c>
      <c r="M15" s="2" t="n">
        <v>1</v>
      </c>
      <c r="N15" s="1">
        <f>IF(OR(K15="",L15=""),"",K15&amp;"|"&amp;L15)</f>
        <v/>
      </c>
      <c r="O15" s="33">
        <f>IF(COUNTA(K15:M15)=0,"",IF(OR(K15="",L15="",NOT(ISNUMBER(M15)),M15&lt;=0),"單位或乘數無效",IF(COUNTIFS(DB_06[換算鍵],N15)&gt;1,"換算鍵重複","OK")))</f>
        <v/>
      </c>
      <c r="P15" s="8" t="n"/>
      <c r="S15" s="8" t="n"/>
      <c r="T15" s="8" t="n"/>
      <c r="U15" s="8" t="n"/>
    </row>
    <row r="16" ht="24.95" customHeight="1">
      <c r="A16" s="2" t="inlineStr">
        <is>
          <t>地下水</t>
        </is>
      </c>
      <c r="B16" s="2" t="inlineStr">
        <is>
          <t>硝酸鹽氮</t>
        </is>
      </c>
      <c r="C16" s="2" t="n"/>
      <c r="D16" s="2" t="inlineStr">
        <is>
          <t>一般項目</t>
        </is>
      </c>
      <c r="E16" s="2" t="n"/>
      <c r="F16" s="2" t="inlineStr">
        <is>
          <t>mg/L</t>
        </is>
      </c>
      <c r="G16" s="2" t="inlineStr">
        <is>
          <t>是</t>
        </is>
      </c>
      <c r="H16" s="1">
        <f>IF(OR(A16="",B16=""),"",A16&amp;"|"&amp;B16)</f>
        <v/>
      </c>
      <c r="I16" s="33">
        <f>IF(COUNTA(A16:G16)=0,"",IF(OR(A16="",B16="",F16="",G16=""),"缺必要欄位",IF(COUNTIFS(DB_04[測項鍵],H16)&gt;1,"測項鍵重複","OK")))</f>
        <v/>
      </c>
      <c r="K16" s="2" t="inlineStr">
        <is>
          <t>uS/cm</t>
        </is>
      </c>
      <c r="L16" s="2" t="inlineStr">
        <is>
          <t>μS/cm</t>
        </is>
      </c>
      <c r="M16" s="2" t="n">
        <v>1</v>
      </c>
      <c r="N16" s="1">
        <f>IF(OR(K16="",L16=""),"",K16&amp;"|"&amp;L16)</f>
        <v/>
      </c>
      <c r="O16" s="33">
        <f>IF(COUNTA(K16:M16)=0,"",IF(OR(K16="",L16="",NOT(ISNUMBER(M16)),M16&lt;=0),"單位或乘數無效",IF(COUNTIFS(DB_06[換算鍵],N16)&gt;1,"換算鍵重複","OK")))</f>
        <v/>
      </c>
      <c r="P16" s="8" t="n"/>
      <c r="S16" s="8" t="n"/>
      <c r="T16" s="8" t="n"/>
      <c r="U16" s="8" t="n"/>
    </row>
    <row r="17" ht="24.95" customHeight="1">
      <c r="A17" s="2" t="inlineStr">
        <is>
          <t>地下水</t>
        </is>
      </c>
      <c r="B17" s="2" t="inlineStr">
        <is>
          <t>亞硝酸鹽氮</t>
        </is>
      </c>
      <c r="C17" s="2" t="n"/>
      <c r="D17" s="2" t="inlineStr">
        <is>
          <t>一般項目</t>
        </is>
      </c>
      <c r="E17" s="2" t="n"/>
      <c r="F17" s="2" t="inlineStr">
        <is>
          <t>mg/L</t>
        </is>
      </c>
      <c r="G17" s="2" t="inlineStr">
        <is>
          <t>是</t>
        </is>
      </c>
      <c r="H17" s="1">
        <f>IF(OR(A17="",B17=""),"",A17&amp;"|"&amp;B17)</f>
        <v/>
      </c>
      <c r="I17" s="33">
        <f>IF(COUNTA(A17:G17)=0,"",IF(OR(A17="",B17="",F17="",G17=""),"缺必要欄位",IF(COUNTIFS(DB_04[測項鍵],H17)&gt;1,"測項鍵重複","OK")))</f>
        <v/>
      </c>
      <c r="K17" s="2" t="inlineStr">
        <is>
          <t>℃</t>
        </is>
      </c>
      <c r="L17" s="2" t="inlineStr">
        <is>
          <t>℃</t>
        </is>
      </c>
      <c r="M17" s="2" t="n">
        <v>1</v>
      </c>
      <c r="N17" s="1">
        <f>IF(OR(K17="",L17=""),"",K17&amp;"|"&amp;L17)</f>
        <v/>
      </c>
      <c r="O17" s="33">
        <f>IF(COUNTA(K17:M17)=0,"",IF(OR(K17="",L17="",NOT(ISNUMBER(M17)),M17&lt;=0),"單位或乘數無效",IF(COUNTIFS(DB_06[換算鍵],N17)&gt;1,"換算鍵重複","OK")))</f>
        <v/>
      </c>
      <c r="P17" s="8" t="n"/>
      <c r="S17" s="8" t="n"/>
      <c r="T17" s="8" t="n"/>
      <c r="U17" s="8" t="n"/>
    </row>
    <row r="18" ht="24.95" customHeight="1">
      <c r="A18" s="2" t="inlineStr">
        <is>
          <t>地下水</t>
        </is>
      </c>
      <c r="B18" s="2" t="inlineStr">
        <is>
          <t>氨氮</t>
        </is>
      </c>
      <c r="C18" s="2" t="n"/>
      <c r="D18" s="2" t="inlineStr">
        <is>
          <t>背景與指標水質</t>
        </is>
      </c>
      <c r="E18" s="2" t="n"/>
      <c r="F18" s="2" t="inlineStr">
        <is>
          <t>mg/L</t>
        </is>
      </c>
      <c r="G18" s="2" t="inlineStr">
        <is>
          <t>是</t>
        </is>
      </c>
      <c r="H18" s="1">
        <f>IF(OR(A18="",B18=""),"",A18&amp;"|"&amp;B18)</f>
        <v/>
      </c>
      <c r="I18" s="33">
        <f>IF(COUNTA(A18:G18)=0,"",IF(OR(A18="",B18="",F18="",G18=""),"缺必要欄位",IF(COUNTIFS(DB_04[測項鍵],H18)&gt;1,"測項鍵重複","OK")))</f>
        <v/>
      </c>
      <c r="K18" s="2" t="inlineStr">
        <is>
          <t>°C</t>
        </is>
      </c>
      <c r="L18" s="2" t="inlineStr">
        <is>
          <t>℃</t>
        </is>
      </c>
      <c r="M18" s="2" t="n">
        <v>1</v>
      </c>
      <c r="N18" s="1">
        <f>IF(OR(K18="",L18=""),"",K18&amp;"|"&amp;L18)</f>
        <v/>
      </c>
      <c r="O18" s="33">
        <f>IF(COUNTA(K18:M18)=0,"",IF(OR(K18="",L18="",NOT(ISNUMBER(M18)),M18&lt;=0),"單位或乘數無效",IF(COUNTIFS(DB_06[換算鍵],N18)&gt;1,"換算鍵重複","OK")))</f>
        <v/>
      </c>
      <c r="P18" s="8" t="n"/>
      <c r="S18" s="8" t="n"/>
      <c r="T18" s="8" t="n"/>
      <c r="U18" s="8" t="n"/>
    </row>
    <row r="19" ht="24.95" customHeight="1">
      <c r="A19" s="2" t="inlineStr">
        <is>
          <t>地下水</t>
        </is>
      </c>
      <c r="B19" s="2" t="inlineStr">
        <is>
          <t>鐵(備註1.)</t>
        </is>
      </c>
      <c r="C19" s="2" t="inlineStr">
        <is>
          <t>鐵</t>
        </is>
      </c>
      <c r="D19" s="2" t="inlineStr">
        <is>
          <t>背景與指標水質</t>
        </is>
      </c>
      <c r="E19" s="2" t="n"/>
      <c r="F19" s="2" t="inlineStr">
        <is>
          <t>mg/L</t>
        </is>
      </c>
      <c r="G19" s="2" t="inlineStr">
        <is>
          <t>是</t>
        </is>
      </c>
      <c r="H19" s="1">
        <f>IF(OR(A19="",B19=""),"",A19&amp;"|"&amp;B19)</f>
        <v/>
      </c>
      <c r="I19" s="33">
        <f>IF(COUNTA(A19:G19)=0,"",IF(OR(A19="",B19="",F19="",G19=""),"缺必要欄位",IF(COUNTIFS(DB_04[測項鍵],H19)&gt;1,"測項鍵重複","OK")))</f>
        <v/>
      </c>
      <c r="K19" s="2" t="inlineStr">
        <is>
          <t>NTU</t>
        </is>
      </c>
      <c r="L19" s="2" t="inlineStr">
        <is>
          <t>NTU</t>
        </is>
      </c>
      <c r="M19" s="2" t="n">
        <v>1</v>
      </c>
      <c r="N19" s="1">
        <f>IF(OR(K19="",L19=""),"",K19&amp;"|"&amp;L19)</f>
        <v/>
      </c>
      <c r="O19" s="33">
        <f>IF(COUNTA(K19:M19)=0,"",IF(OR(K19="",L19="",NOT(ISNUMBER(M19)),M19&lt;=0),"單位或乘數無效",IF(COUNTIFS(DB_06[換算鍵],N19)&gt;1,"換算鍵重複","OK")))</f>
        <v/>
      </c>
      <c r="P19" s="8" t="n"/>
      <c r="S19" s="8" t="n"/>
      <c r="T19" s="8" t="n"/>
      <c r="U19" s="8" t="n"/>
    </row>
    <row r="20" ht="24.95" customHeight="1">
      <c r="A20" s="2" t="inlineStr">
        <is>
          <t>地下水</t>
        </is>
      </c>
      <c r="B20" s="2" t="inlineStr">
        <is>
          <t>硫酸鹽</t>
        </is>
      </c>
      <c r="C20" s="2" t="n"/>
      <c r="D20" s="2" t="inlineStr">
        <is>
          <t>背景與指標水質</t>
        </is>
      </c>
      <c r="E20" s="2" t="n"/>
      <c r="F20" s="2" t="inlineStr">
        <is>
          <t>mg/L</t>
        </is>
      </c>
      <c r="G20" s="2" t="inlineStr">
        <is>
          <t>是</t>
        </is>
      </c>
      <c r="H20" s="1">
        <f>IF(OR(A20="",B20=""),"",A20&amp;"|"&amp;B20)</f>
        <v/>
      </c>
      <c r="I20" s="33">
        <f>IF(COUNTA(A20:G20)=0,"",IF(OR(A20="",B20="",F20="",G20=""),"缺必要欄位",IF(COUNTIFS(DB_04[測項鍵],H20)&gt;1,"測項鍵重複","OK")))</f>
        <v/>
      </c>
      <c r="K20" s="2" t="inlineStr">
        <is>
          <t>無因次</t>
        </is>
      </c>
      <c r="L20" s="2" t="inlineStr">
        <is>
          <t>無因次</t>
        </is>
      </c>
      <c r="M20" s="2" t="n">
        <v>1</v>
      </c>
      <c r="N20" s="1">
        <f>IF(OR(K20="",L20=""),"",K20&amp;"|"&amp;L20)</f>
        <v/>
      </c>
      <c r="O20" s="33">
        <f>IF(COUNTA(K20:M20)=0,"",IF(OR(K20="",L20="",NOT(ISNUMBER(M20)),M20&lt;=0),"單位或乘數無效",IF(COUNTIFS(DB_06[換算鍵],N20)&gt;1,"換算鍵重複","OK")))</f>
        <v/>
      </c>
      <c r="P20" s="8" t="n"/>
      <c r="S20" s="8" t="n"/>
      <c r="T20" s="8" t="n"/>
      <c r="U20" s="8" t="n"/>
    </row>
    <row r="21" ht="24.95" customHeight="1">
      <c r="A21" s="2" t="inlineStr">
        <is>
          <t>地下水</t>
        </is>
      </c>
      <c r="B21" s="2" t="inlineStr">
        <is>
          <t>硫化物</t>
        </is>
      </c>
      <c r="C21" s="2" t="n"/>
      <c r="D21" s="2" t="inlineStr">
        <is>
          <t>現場／檢測項目</t>
        </is>
      </c>
      <c r="E21" s="2" t="n"/>
      <c r="F21" s="2" t="inlineStr">
        <is>
          <t>mg/L</t>
        </is>
      </c>
      <c r="G21" s="2" t="inlineStr">
        <is>
          <t>是</t>
        </is>
      </c>
      <c r="H21" s="1">
        <f>IF(OR(A21="",B21=""),"",A21&amp;"|"&amp;B21)</f>
        <v/>
      </c>
      <c r="I21" s="33">
        <f>IF(COUNTA(A21:G21)=0,"",IF(OR(A21="",B21="",F21="",G21=""),"缺必要欄位",IF(COUNTIFS(DB_04[測項鍵],H21)&gt;1,"測項鍵重複","OK")))</f>
        <v/>
      </c>
      <c r="K21" s="2" t="inlineStr">
        <is>
          <t>μmho/cm</t>
        </is>
      </c>
      <c r="L21" s="2" t="inlineStr">
        <is>
          <t>μmho/cm</t>
        </is>
      </c>
      <c r="M21" s="2" t="n">
        <v>1</v>
      </c>
      <c r="N21" s="1">
        <f>IF(OR(K21="",L21=""),"",K21&amp;"|"&amp;L21)</f>
        <v/>
      </c>
      <c r="O21" s="33">
        <f>IF(COUNTA(K21:M21)=0,"",IF(OR(K21="",L21="",NOT(ISNUMBER(M21)),M21&lt;=0),"單位或乘數無效",IF(COUNTIFS(DB_06[換算鍵],N21)&gt;1,"換算鍵重複","OK")))</f>
        <v/>
      </c>
      <c r="P21" s="8" t="n"/>
      <c r="S21" s="8" t="n"/>
      <c r="T21" s="8" t="n"/>
      <c r="U21" s="8" t="n"/>
    </row>
    <row r="22" ht="24.95" customHeight="1">
      <c r="A22" s="2" t="inlineStr">
        <is>
          <t>地下水</t>
        </is>
      </c>
      <c r="B22" s="2" t="inlineStr">
        <is>
          <t>水溫</t>
        </is>
      </c>
      <c r="C22" s="2" t="n"/>
      <c r="D22" s="2" t="inlineStr">
        <is>
          <t>現場／檢測項目</t>
        </is>
      </c>
      <c r="E22" s="2" t="n"/>
      <c r="F22" s="2" t="inlineStr">
        <is>
          <t>℃</t>
        </is>
      </c>
      <c r="G22" s="2" t="inlineStr">
        <is>
          <t>是</t>
        </is>
      </c>
      <c r="H22" s="1">
        <f>IF(OR(A22="",B22=""),"",A22&amp;"|"&amp;B22)</f>
        <v/>
      </c>
      <c r="I22" s="33">
        <f>IF(COUNTA(A22:G22)=0,"",IF(OR(A22="",B22="",F22="",G22=""),"缺必要欄位",IF(COUNTIFS(DB_04[測項鍵],H22)&gt;1,"測項鍵重複","OK")))</f>
        <v/>
      </c>
      <c r="K22" s="2" t="inlineStr">
        <is>
          <t>μS/cm</t>
        </is>
      </c>
      <c r="L22" s="2" t="inlineStr">
        <is>
          <t>μmho/cm</t>
        </is>
      </c>
      <c r="M22" s="2" t="n">
        <v>1</v>
      </c>
      <c r="N22" s="1">
        <f>IF(OR(K22="",L22=""),"",K22&amp;"|"&amp;L22)</f>
        <v/>
      </c>
      <c r="O22" s="33">
        <f>IF(COUNTA(K22:M22)=0,"",IF(OR(K22="",L22="",NOT(ISNUMBER(M22)),M22&lt;=0),"單位或乘數無效",IF(COUNTIFS(DB_06[換算鍵],N22)&gt;1,"換算鍵重複","OK")))</f>
        <v/>
      </c>
      <c r="P22" s="8" t="n"/>
      <c r="S22" s="8" t="n"/>
      <c r="T22" s="8" t="n"/>
      <c r="U22" s="8" t="n"/>
    </row>
    <row r="23" ht="24.95" customHeight="1">
      <c r="A23" s="2" t="inlineStr">
        <is>
          <t>地下水</t>
        </is>
      </c>
      <c r="B23" s="2" t="inlineStr">
        <is>
          <t>濁度</t>
        </is>
      </c>
      <c r="C23" s="2" t="n"/>
      <c r="D23" s="2" t="inlineStr">
        <is>
          <t>現場／檢測項目</t>
        </is>
      </c>
      <c r="E23" s="2" t="n"/>
      <c r="F23" s="2" t="inlineStr">
        <is>
          <t>NTU</t>
        </is>
      </c>
      <c r="G23" s="2" t="inlineStr">
        <is>
          <t>是</t>
        </is>
      </c>
      <c r="H23" s="1">
        <f>IF(OR(A23="",B23=""),"",A23&amp;"|"&amp;B23)</f>
        <v/>
      </c>
      <c r="I23" s="33">
        <f>IF(COUNTA(A23:G23)=0,"",IF(OR(A23="",B23="",F23="",G23=""),"缺必要欄位",IF(COUNTIFS(DB_04[測項鍵],H23)&gt;1,"測項鍵重複","OK")))</f>
        <v/>
      </c>
      <c r="K23" s="2" t="inlineStr">
        <is>
          <t>μmho/cm</t>
        </is>
      </c>
      <c r="L23" s="2" t="inlineStr">
        <is>
          <t>μS/cm</t>
        </is>
      </c>
      <c r="M23" s="2" t="n">
        <v>1</v>
      </c>
      <c r="N23" s="1">
        <f>IF(OR(K23="",L23=""),"",K23&amp;"|"&amp;L23)</f>
        <v/>
      </c>
      <c r="O23" s="33">
        <f>IF(COUNTA(K23:M23)=0,"",IF(OR(K23="",L23="",NOT(ISNUMBER(M23)),M23&lt;=0),"單位或乘數無效",IF(COUNTIFS(DB_06[換算鍵],N23)&gt;1,"換算鍵重複","OK")))</f>
        <v/>
      </c>
      <c r="P23" s="8" t="n"/>
      <c r="S23" s="8" t="n"/>
      <c r="T23" s="8" t="n"/>
      <c r="U23" s="8" t="n"/>
    </row>
    <row r="24" ht="24.95" customHeight="1">
      <c r="A24" s="2" t="inlineStr">
        <is>
          <t>地下水</t>
        </is>
      </c>
      <c r="B24" s="2" t="inlineStr">
        <is>
          <t>1,1,1-三氯乙烷</t>
        </is>
      </c>
      <c r="C24" s="2" t="n"/>
      <c r="D24" s="2" t="inlineStr">
        <is>
          <t>氯化碳氫化合物</t>
        </is>
      </c>
      <c r="E24" s="2" t="n"/>
      <c r="F24" s="2" t="inlineStr">
        <is>
          <t>mg/L</t>
        </is>
      </c>
      <c r="G24" s="2" t="inlineStr">
        <is>
          <t>是</t>
        </is>
      </c>
      <c r="H24" s="1">
        <f>IF(OR(A24="",B24=""),"",A24&amp;"|"&amp;B24)</f>
        <v/>
      </c>
      <c r="I24" s="33">
        <f>IF(COUNTA(A24:G24)=0,"",IF(OR(A24="",B24="",F24="",G24=""),"缺必要欄位",IF(COUNTIFS(DB_04[測項鍵],H24)&gt;1,"測項鍵重複","OK")))</f>
        <v/>
      </c>
      <c r="K24" s="2" t="inlineStr">
        <is>
          <t>mv</t>
        </is>
      </c>
      <c r="L24" s="2" t="inlineStr">
        <is>
          <t>mV</t>
        </is>
      </c>
      <c r="M24" s="2" t="n">
        <v>1</v>
      </c>
      <c r="N24" s="1">
        <f>IF(OR(K24="",L24=""),"",K24&amp;"|"&amp;L24)</f>
        <v/>
      </c>
      <c r="O24" s="33">
        <f>IF(COUNTA(K24:M24)=0,"",IF(OR(K24="",L24="",NOT(ISNUMBER(M24)),M24&lt;=0),"單位或乘數無效",IF(COUNTIFS(DB_06[換算鍵],N24)&gt;1,"換算鍵重複","OK")))</f>
        <v/>
      </c>
      <c r="P24" s="8" t="n"/>
      <c r="S24" s="8" t="n"/>
      <c r="T24" s="8" t="n"/>
      <c r="U24" s="8" t="n"/>
    </row>
    <row r="25" ht="24.95" customHeight="1">
      <c r="A25" s="2" t="inlineStr">
        <is>
          <t>地下水</t>
        </is>
      </c>
      <c r="B25" s="2" t="inlineStr">
        <is>
          <t>1,1,2-三氯乙烷</t>
        </is>
      </c>
      <c r="C25" s="2" t="n"/>
      <c r="D25" s="2" t="inlineStr">
        <is>
          <t>氯化碳氫化合物</t>
        </is>
      </c>
      <c r="E25" s="2" t="n"/>
      <c r="F25" s="2" t="inlineStr">
        <is>
          <t>mg/L</t>
        </is>
      </c>
      <c r="G25" s="2" t="inlineStr">
        <is>
          <t>是</t>
        </is>
      </c>
      <c r="H25" s="1">
        <f>IF(OR(A25="",B25=""),"",A25&amp;"|"&amp;B25)</f>
        <v/>
      </c>
      <c r="I25" s="33">
        <f>IF(COUNTA(A25:G25)=0,"",IF(OR(A25="",B25="",F25="",G25=""),"缺必要欄位",IF(COUNTIFS(DB_04[測項鍵],H25)&gt;1,"測項鍵重複","OK")))</f>
        <v/>
      </c>
      <c r="K25" s="2" t="inlineStr">
        <is>
          <t>mV</t>
        </is>
      </c>
      <c r="L25" s="2" t="inlineStr">
        <is>
          <t>mv</t>
        </is>
      </c>
      <c r="M25" s="2" t="n">
        <v>1</v>
      </c>
      <c r="N25" s="1">
        <f>IF(OR(K25="",L25=""),"",K25&amp;"|"&amp;L25)</f>
        <v/>
      </c>
      <c r="O25" s="33">
        <f>IF(COUNTA(K25:M25)=0,"",IF(OR(K25="",L25="",NOT(ISNUMBER(M25)),M25&lt;=0),"單位或乘數無效",IF(COUNTIFS(DB_06[換算鍵],N25)&gt;1,"換算鍵重複","OK")))</f>
        <v/>
      </c>
      <c r="P25" s="8" t="n"/>
      <c r="S25" s="8" t="n"/>
      <c r="T25" s="8" t="n"/>
      <c r="U25" s="8" t="n"/>
    </row>
    <row r="26" ht="24.95" customHeight="1">
      <c r="A26" s="2" t="inlineStr">
        <is>
          <t>地下水</t>
        </is>
      </c>
      <c r="B26" s="2" t="inlineStr">
        <is>
          <t>1,2-二氯苯</t>
        </is>
      </c>
      <c r="C26" s="2" t="n"/>
      <c r="D26" s="2" t="inlineStr">
        <is>
          <t>氯化碳氫化合物</t>
        </is>
      </c>
      <c r="E26" s="2" t="n"/>
      <c r="F26" s="2" t="inlineStr">
        <is>
          <t>mg/L</t>
        </is>
      </c>
      <c r="G26" s="2" t="inlineStr">
        <is>
          <t>是</t>
        </is>
      </c>
      <c r="H26" s="1">
        <f>IF(OR(A26="",B26=""),"",A26&amp;"|"&amp;B26)</f>
        <v/>
      </c>
      <c r="I26" s="33">
        <f>IF(COUNTA(A26:G26)=0,"",IF(OR(A26="",B26="",F26="",G26=""),"缺必要欄位",IF(COUNTIFS(DB_04[測項鍵],H26)&gt;1,"測項鍵重複","OK")))</f>
        <v/>
      </c>
      <c r="K26" s="2" t="inlineStr">
        <is>
          <t>µS/cm</t>
        </is>
      </c>
      <c r="L26" s="2" t="inlineStr">
        <is>
          <t>μmho/cm</t>
        </is>
      </c>
      <c r="M26" s="2" t="n">
        <v>1</v>
      </c>
      <c r="N26" s="1">
        <f>IF(OR(K26="",L26=""),"",K26&amp;"|"&amp;L26)</f>
        <v/>
      </c>
      <c r="O26" s="33">
        <f>IF(COUNTA(K26:M26)=0,"",IF(OR(K26="",L26="",NOT(ISNUMBER(M26)),M26&lt;=0),"單位或乘數無效",IF(COUNTIFS(DB_06[換算鍵],N26)&gt;1,"換算鍵重複","OK")))</f>
        <v/>
      </c>
      <c r="P26" s="8" t="n"/>
      <c r="S26" s="8" t="n"/>
      <c r="T26" s="8" t="n"/>
      <c r="U26" s="8" t="n"/>
    </row>
    <row r="27" ht="24.95" customHeight="1">
      <c r="A27" s="2" t="inlineStr">
        <is>
          <t>地下水</t>
        </is>
      </c>
      <c r="B27" s="2" t="inlineStr">
        <is>
          <t>1,2-二氯乙烷</t>
        </is>
      </c>
      <c r="C27" s="2" t="n"/>
      <c r="D27" s="2" t="inlineStr">
        <is>
          <t>氯化碳氫化合物</t>
        </is>
      </c>
      <c r="E27" s="2" t="n"/>
      <c r="F27" s="2" t="inlineStr">
        <is>
          <t>mg/L</t>
        </is>
      </c>
      <c r="G27" s="2" t="inlineStr">
        <is>
          <t>是</t>
        </is>
      </c>
      <c r="H27" s="1">
        <f>IF(OR(A27="",B27=""),"",A27&amp;"|"&amp;B27)</f>
        <v/>
      </c>
      <c r="I27" s="33">
        <f>IF(COUNTA(A27:G27)=0,"",IF(OR(A27="",B27="",F27="",G27=""),"缺必要欄位",IF(COUNTIFS(DB_04[測項鍵],H27)&gt;1,"測項鍵重複","OK")))</f>
        <v/>
      </c>
      <c r="K27" s="2" t="inlineStr">
        <is>
          <t>ppmV</t>
        </is>
      </c>
      <c r="L27" s="2" t="inlineStr">
        <is>
          <t>ppmV</t>
        </is>
      </c>
      <c r="M27" s="2" t="n">
        <v>1</v>
      </c>
      <c r="N27" s="1">
        <f>IF(OR(K27="",L27=""),"",K27&amp;"|"&amp;L27)</f>
        <v/>
      </c>
      <c r="O27" s="33">
        <f>IF(COUNTA(K27:M27)=0,"",IF(OR(K27="",L27="",NOT(ISNUMBER(M27)),M27&lt;=0),"單位或乘數無效",IF(COUNTIFS(DB_06[換算鍵],N27)&gt;1,"換算鍵重複","OK")))</f>
        <v/>
      </c>
      <c r="P27" s="8" t="n"/>
      <c r="S27" s="8" t="n"/>
      <c r="T27" s="8" t="n"/>
      <c r="U27" s="8" t="n"/>
    </row>
    <row r="28" ht="24.95" customHeight="1">
      <c r="A28" s="2" t="inlineStr">
        <is>
          <t>地下水</t>
        </is>
      </c>
      <c r="B28" s="2" t="inlineStr">
        <is>
          <t>1,4-二氯苯</t>
        </is>
      </c>
      <c r="C28" s="2" t="n"/>
      <c r="D28" s="2" t="inlineStr">
        <is>
          <t>氯化碳氫化合物</t>
        </is>
      </c>
      <c r="E28" s="2" t="n"/>
      <c r="F28" s="2" t="inlineStr">
        <is>
          <t>mg/L</t>
        </is>
      </c>
      <c r="G28" s="2" t="inlineStr">
        <is>
          <t>是</t>
        </is>
      </c>
      <c r="H28" s="1">
        <f>IF(OR(A28="",B28=""),"",A28&amp;"|"&amp;B28)</f>
        <v/>
      </c>
      <c r="I28" s="33">
        <f>IF(COUNTA(A28:G28)=0,"",IF(OR(A28="",B28="",F28="",G28=""),"缺必要欄位",IF(COUNTIFS(DB_04[測項鍵],H28)&gt;1,"測項鍵重複","OK")))</f>
        <v/>
      </c>
      <c r="K28" s="2" t="inlineStr">
        <is>
          <t>gene copies/L</t>
        </is>
      </c>
      <c r="L28" s="2" t="inlineStr">
        <is>
          <t>gene copies/L</t>
        </is>
      </c>
      <c r="M28" s="2" t="n">
        <v>1</v>
      </c>
      <c r="N28" s="1">
        <f>IF(OR(K28="",L28=""),"",K28&amp;"|"&amp;L28)</f>
        <v/>
      </c>
      <c r="O28" s="33">
        <f>IF(COUNTA(K28:M28)=0,"",IF(OR(K28="",L28="",NOT(ISNUMBER(M28)),M28&lt;=0),"單位或乘數無效",IF(COUNTIFS(DB_06[換算鍵],N28)&gt;1,"換算鍵重複","OK")))</f>
        <v/>
      </c>
      <c r="P28" s="8" t="n"/>
      <c r="S28" s="8" t="n"/>
      <c r="T28" s="8" t="n"/>
      <c r="U28" s="8" t="n"/>
    </row>
    <row r="29" ht="24.95" customHeight="1">
      <c r="A29" s="2" t="inlineStr">
        <is>
          <t>地下水</t>
        </is>
      </c>
      <c r="B29" s="2" t="inlineStr">
        <is>
          <t>苯</t>
        </is>
      </c>
      <c r="C29" s="2" t="n"/>
      <c r="D29" s="2" t="inlineStr">
        <is>
          <t>單環芳香族碳氫化合物</t>
        </is>
      </c>
      <c r="E29" s="2" t="n"/>
      <c r="F29" s="2" t="inlineStr">
        <is>
          <t>mg/L</t>
        </is>
      </c>
      <c r="G29" s="2" t="inlineStr">
        <is>
          <t>是</t>
        </is>
      </c>
      <c r="H29" s="1">
        <f>IF(OR(A29="",B29=""),"",A29&amp;"|"&amp;B29)</f>
        <v/>
      </c>
      <c r="I29" s="33">
        <f>IF(COUNTA(A29:G29)=0,"",IF(OR(A29="",B29="",F29="",G29=""),"缺必要欄位",IF(COUNTIFS(DB_04[測項鍵],H29)&gt;1,"測項鍵重複","OK")))</f>
        <v/>
      </c>
      <c r="K29" s="2" t="inlineStr">
        <is>
          <t>ng-TEQ/kg</t>
        </is>
      </c>
      <c r="L29" s="2" t="inlineStr">
        <is>
          <t>ng-TEQ/kg</t>
        </is>
      </c>
      <c r="M29" s="2" t="n">
        <v>1</v>
      </c>
      <c r="N29" s="1">
        <f>IF(OR(K29="",L29=""),"",K29&amp;"|"&amp;L29)</f>
        <v/>
      </c>
      <c r="O29" s="33">
        <f>IF(COUNTA(K29:M29)=0,"",IF(OR(K29="",L29="",NOT(ISNUMBER(M29)),M29&lt;=0),"單位或乘數無效",IF(COUNTIFS(DB_06[換算鍵],N29)&gt;1,"換算鍵重複","OK")))</f>
        <v/>
      </c>
      <c r="P29" s="8" t="n"/>
      <c r="S29" s="8" t="n"/>
      <c r="T29" s="8" t="n"/>
      <c r="U29" s="8" t="n"/>
    </row>
    <row r="30" ht="24.95" customHeight="1">
      <c r="A30" s="2" t="inlineStr">
        <is>
          <t>地下水</t>
        </is>
      </c>
      <c r="B30" s="2" t="inlineStr">
        <is>
          <t>四氯化碳</t>
        </is>
      </c>
      <c r="C30" s="2" t="n"/>
      <c r="D30" s="2" t="inlineStr">
        <is>
          <t>氯化碳氫化合物</t>
        </is>
      </c>
      <c r="E30" s="2" t="n"/>
      <c r="F30" s="2" t="inlineStr">
        <is>
          <t>mg/L</t>
        </is>
      </c>
      <c r="G30" s="2" t="inlineStr">
        <is>
          <t>是</t>
        </is>
      </c>
      <c r="H30" s="1">
        <f>IF(OR(A30="",B30=""),"",A30&amp;"|"&amp;B30)</f>
        <v/>
      </c>
      <c r="I30" s="33">
        <f>IF(COUNTA(A30:G30)=0,"",IF(OR(A30="",B30="",F30="",G30=""),"缺必要欄位",IF(COUNTIFS(DB_04[測項鍵],H30)&gt;1,"測項鍵重複","OK")))</f>
        <v/>
      </c>
      <c r="K30" s="2" t="inlineStr">
        <is>
          <t>%</t>
        </is>
      </c>
      <c r="L30" s="2" t="inlineStr">
        <is>
          <t>mg/kg</t>
        </is>
      </c>
      <c r="M30" s="2" t="n">
        <v>10000</v>
      </c>
      <c r="N30" s="1">
        <f>IF(OR(K30="",L30=""),"",K30&amp;"|"&amp;L30)</f>
        <v/>
      </c>
      <c r="O30" s="33">
        <f>IF(COUNTA(K30:M30)=0,"",IF(OR(K30="",L30="",NOT(ISNUMBER(M30)),M30&lt;=0),"單位或乘數無效",IF(COUNTIFS(DB_06[換算鍵],N30)&gt;1,"換算鍵重複","OK")))</f>
        <v/>
      </c>
      <c r="P30" s="8" t="n"/>
      <c r="S30" s="8" t="n"/>
      <c r="T30" s="8" t="n"/>
      <c r="U30" s="8" t="n"/>
    </row>
    <row r="31" ht="24.95" customHeight="1">
      <c r="A31" s="2" t="inlineStr">
        <is>
          <t>地下水</t>
        </is>
      </c>
      <c r="B31" s="2" t="inlineStr">
        <is>
          <t>氯苯</t>
        </is>
      </c>
      <c r="C31" s="2" t="n"/>
      <c r="D31" s="2" t="inlineStr">
        <is>
          <t>氯化碳氫化合物</t>
        </is>
      </c>
      <c r="E31" s="2" t="n"/>
      <c r="F31" s="2" t="inlineStr">
        <is>
          <t>mg/L</t>
        </is>
      </c>
      <c r="G31" s="2" t="inlineStr">
        <is>
          <t>是</t>
        </is>
      </c>
      <c r="H31" s="1">
        <f>IF(OR(A31="",B31=""),"",A31&amp;"|"&amp;B31)</f>
        <v/>
      </c>
      <c r="I31" s="33">
        <f>IF(COUNTA(A31:G31)=0,"",IF(OR(A31="",B31="",F31="",G31=""),"缺必要欄位",IF(COUNTIFS(DB_04[測項鍵],H31)&gt;1,"測項鍵重複","OK")))</f>
        <v/>
      </c>
      <c r="K31" s="2" t="inlineStr">
        <is>
          <t>mS/cm</t>
        </is>
      </c>
      <c r="L31" s="2" t="inlineStr">
        <is>
          <t>μmho/cm</t>
        </is>
      </c>
      <c r="M31" s="2" t="n">
        <v>1000</v>
      </c>
      <c r="N31" s="1">
        <f>IF(OR(K31="",L31=""),"",K31&amp;"|"&amp;L31)</f>
        <v/>
      </c>
      <c r="O31" s="33">
        <f>IF(COUNTA(K31:M31)=0,"",IF(OR(K31="",L31="",NOT(ISNUMBER(M31)),M31&lt;=0),"單位或乘數無效",IF(COUNTIFS(DB_06[換算鍵],N31)&gt;1,"換算鍵重複","OK")))</f>
        <v/>
      </c>
      <c r="P31" s="8" t="n"/>
      <c r="S31" s="8" t="n"/>
      <c r="T31" s="8" t="n"/>
      <c r="U31" s="8" t="n"/>
    </row>
    <row r="32" ht="24.95" customHeight="1">
      <c r="A32" s="2" t="inlineStr">
        <is>
          <t>地下水</t>
        </is>
      </c>
      <c r="B32" s="2" t="inlineStr">
        <is>
          <t>三氯甲烷(氯仿)</t>
        </is>
      </c>
      <c r="C32" s="2" t="inlineStr">
        <is>
          <t>氯仿</t>
        </is>
      </c>
      <c r="D32" s="2" t="inlineStr">
        <is>
          <t>氯化碳氫化合物</t>
        </is>
      </c>
      <c r="E32" s="2" t="n"/>
      <c r="F32" s="2" t="inlineStr">
        <is>
          <t>mg/L</t>
        </is>
      </c>
      <c r="G32" s="2" t="inlineStr">
        <is>
          <t>是</t>
        </is>
      </c>
      <c r="H32" s="1">
        <f>IF(OR(A32="",B32=""),"",A32&amp;"|"&amp;B32)</f>
        <v/>
      </c>
      <c r="I32" s="33">
        <f>IF(COUNTA(A32:G32)=0,"",IF(OR(A32="",B32="",F32="",G32=""),"缺必要欄位",IF(COUNTIFS(DB_04[測項鍵],H32)&gt;1,"測項鍵重複","OK")))</f>
        <v/>
      </c>
      <c r="P32" s="8" t="n"/>
      <c r="S32" s="8" t="n"/>
      <c r="T32" s="8" t="n"/>
      <c r="U32" s="8" t="n"/>
    </row>
    <row r="33" ht="24.95" customHeight="1">
      <c r="A33" s="2" t="inlineStr">
        <is>
          <t>地下水</t>
        </is>
      </c>
      <c r="B33" s="2" t="inlineStr">
        <is>
          <t>氯甲烷</t>
        </is>
      </c>
      <c r="C33" s="2" t="n"/>
      <c r="D33" s="2" t="inlineStr">
        <is>
          <t>氯化碳氫化合物</t>
        </is>
      </c>
      <c r="E33" s="2" t="n"/>
      <c r="F33" s="2" t="inlineStr">
        <is>
          <t>mg/L</t>
        </is>
      </c>
      <c r="G33" s="2" t="inlineStr">
        <is>
          <t>是</t>
        </is>
      </c>
      <c r="H33" s="1">
        <f>IF(OR(A33="",B33=""),"",A33&amp;"|"&amp;B33)</f>
        <v/>
      </c>
      <c r="I33" s="33">
        <f>IF(COUNTA(A33:G33)=0,"",IF(OR(A33="",B33="",F33="",G33=""),"缺必要欄位",IF(COUNTIFS(DB_04[測項鍵],H33)&gt;1,"測項鍵重複","OK")))</f>
        <v/>
      </c>
      <c r="P33" s="8" t="n"/>
      <c r="S33" s="8" t="n"/>
      <c r="T33" s="8" t="n"/>
      <c r="U33" s="8" t="n"/>
    </row>
    <row r="34" ht="24.95" customHeight="1">
      <c r="A34" s="2" t="inlineStr">
        <is>
          <t>地下水</t>
        </is>
      </c>
      <c r="B34" s="2" t="inlineStr">
        <is>
          <t>乙苯</t>
        </is>
      </c>
      <c r="C34" s="2" t="n"/>
      <c r="D34" s="2" t="inlineStr">
        <is>
          <t>單環芳香族碳氫化合物</t>
        </is>
      </c>
      <c r="E34" s="2" t="n"/>
      <c r="F34" s="2" t="inlineStr">
        <is>
          <t>mg/L</t>
        </is>
      </c>
      <c r="G34" s="2" t="inlineStr">
        <is>
          <t>是</t>
        </is>
      </c>
      <c r="H34" s="1">
        <f>IF(OR(A34="",B34=""),"",A34&amp;"|"&amp;B34)</f>
        <v/>
      </c>
      <c r="I34" s="33">
        <f>IF(COUNTA(A34:G34)=0,"",IF(OR(A34="",B34="",F34="",G34=""),"缺必要欄位",IF(COUNTIFS(DB_04[測項鍵],H34)&gt;1,"測項鍵重複","OK")))</f>
        <v/>
      </c>
      <c r="P34" s="8" t="n"/>
      <c r="S34" s="8" t="n"/>
      <c r="T34" s="8" t="n"/>
      <c r="U34" s="8" t="n"/>
    </row>
    <row r="35" ht="24.95" customHeight="1">
      <c r="A35" s="2" t="inlineStr">
        <is>
          <t>地下水</t>
        </is>
      </c>
      <c r="B35" s="2" t="inlineStr">
        <is>
          <t>甲基第三丁基醚</t>
        </is>
      </c>
      <c r="C35" s="2" t="n"/>
      <c r="D35" s="2" t="inlineStr">
        <is>
          <t>其他污染物</t>
        </is>
      </c>
      <c r="E35" s="2" t="n"/>
      <c r="F35" s="2" t="inlineStr">
        <is>
          <t>mg/L</t>
        </is>
      </c>
      <c r="G35" s="2" t="inlineStr">
        <is>
          <t>是</t>
        </is>
      </c>
      <c r="H35" s="1">
        <f>IF(OR(A35="",B35=""),"",A35&amp;"|"&amp;B35)</f>
        <v/>
      </c>
      <c r="I35" s="33">
        <f>IF(COUNTA(A35:G35)=0,"",IF(OR(A35="",B35="",F35="",G35=""),"缺必要欄位",IF(COUNTIFS(DB_04[測項鍵],H35)&gt;1,"測項鍵重複","OK")))</f>
        <v/>
      </c>
      <c r="P35" s="8" t="n"/>
      <c r="S35" s="8" t="n"/>
      <c r="T35" s="8" t="n"/>
      <c r="U35" s="8" t="n"/>
    </row>
    <row r="36" ht="24.95" customHeight="1">
      <c r="A36" s="2" t="inlineStr">
        <is>
          <t>地下水</t>
        </is>
      </c>
      <c r="B36" s="2" t="inlineStr">
        <is>
          <t>二氯甲烷</t>
        </is>
      </c>
      <c r="C36" s="2" t="n"/>
      <c r="D36" s="2" t="inlineStr">
        <is>
          <t>氯化碳氫化合物</t>
        </is>
      </c>
      <c r="E36" s="2" t="n"/>
      <c r="F36" s="2" t="inlineStr">
        <is>
          <t>mg/L</t>
        </is>
      </c>
      <c r="G36" s="2" t="inlineStr">
        <is>
          <t>是</t>
        </is>
      </c>
      <c r="H36" s="1">
        <f>IF(OR(A36="",B36=""),"",A36&amp;"|"&amp;B36)</f>
        <v/>
      </c>
      <c r="I36" s="33">
        <f>IF(COUNTA(A36:G36)=0,"",IF(OR(A36="",B36="",F36="",G36=""),"缺必要欄位",IF(COUNTIFS(DB_04[測項鍵],H36)&gt;1,"測項鍵重複","OK")))</f>
        <v/>
      </c>
      <c r="P36" s="8" t="n"/>
      <c r="S36" s="8" t="n"/>
      <c r="T36" s="8" t="n"/>
      <c r="U36" s="8" t="n"/>
    </row>
    <row r="37" ht="24.95" customHeight="1">
      <c r="A37" s="2" t="inlineStr">
        <is>
          <t>地下水</t>
        </is>
      </c>
      <c r="B37" s="2" t="inlineStr">
        <is>
          <t>萘</t>
        </is>
      </c>
      <c r="C37" s="2" t="n"/>
      <c r="D37" s="2" t="inlineStr">
        <is>
          <t>多環芳香族碳氫化合物</t>
        </is>
      </c>
      <c r="E37" s="2" t="n"/>
      <c r="F37" s="2" t="inlineStr">
        <is>
          <t>mg/L</t>
        </is>
      </c>
      <c r="G37" s="2" t="inlineStr">
        <is>
          <t>是</t>
        </is>
      </c>
      <c r="H37" s="1">
        <f>IF(OR(A37="",B37=""),"",A37&amp;"|"&amp;B37)</f>
        <v/>
      </c>
      <c r="I37" s="33">
        <f>IF(COUNTA(A37:G37)=0,"",IF(OR(A37="",B37="",F37="",G37=""),"缺必要欄位",IF(COUNTIFS(DB_04[測項鍵],H37)&gt;1,"測項鍵重複","OK")))</f>
        <v/>
      </c>
      <c r="P37" s="8" t="n"/>
      <c r="S37" s="8" t="n"/>
      <c r="T37" s="8" t="n"/>
      <c r="U37" s="8" t="n"/>
    </row>
    <row r="38" ht="24.95" customHeight="1">
      <c r="A38" s="2" t="inlineStr">
        <is>
          <t>地下水</t>
        </is>
      </c>
      <c r="B38" s="2" t="inlineStr">
        <is>
          <t>四氯乙烯</t>
        </is>
      </c>
      <c r="C38" s="2" t="n"/>
      <c r="D38" s="2" t="inlineStr">
        <is>
          <t>氯化碳氫化合物</t>
        </is>
      </c>
      <c r="E38" s="2" t="n"/>
      <c r="F38" s="2" t="inlineStr">
        <is>
          <t>mg/L</t>
        </is>
      </c>
      <c r="G38" s="2" t="inlineStr">
        <is>
          <t>是</t>
        </is>
      </c>
      <c r="H38" s="1">
        <f>IF(OR(A38="",B38=""),"",A38&amp;"|"&amp;B38)</f>
        <v/>
      </c>
      <c r="I38" s="33">
        <f>IF(COUNTA(A38:G38)=0,"",IF(OR(A38="",B38="",F38="",G38=""),"缺必要欄位",IF(COUNTIFS(DB_04[測項鍵],H38)&gt;1,"測項鍵重複","OK")))</f>
        <v/>
      </c>
      <c r="P38" s="8" t="n"/>
      <c r="S38" s="8" t="n"/>
      <c r="T38" s="8" t="n"/>
      <c r="U38" s="8" t="n"/>
    </row>
    <row r="39" ht="24.95" customHeight="1">
      <c r="A39" s="2" t="inlineStr">
        <is>
          <t>地下水</t>
        </is>
      </c>
      <c r="B39" s="2" t="inlineStr">
        <is>
          <t>甲苯</t>
        </is>
      </c>
      <c r="C39" s="2" t="n"/>
      <c r="D39" s="2" t="inlineStr">
        <is>
          <t>單環芳香族碳氫化合物</t>
        </is>
      </c>
      <c r="E39" s="2" t="n"/>
      <c r="F39" s="2" t="inlineStr">
        <is>
          <t>mg/L</t>
        </is>
      </c>
      <c r="G39" s="2" t="inlineStr">
        <is>
          <t>是</t>
        </is>
      </c>
      <c r="H39" s="1">
        <f>IF(OR(A39="",B39=""),"",A39&amp;"|"&amp;B39)</f>
        <v/>
      </c>
      <c r="I39" s="33">
        <f>IF(COUNTA(A39:G39)=0,"",IF(OR(A39="",B39="",F39="",G39=""),"缺必要欄位",IF(COUNTIFS(DB_04[測項鍵],H39)&gt;1,"測項鍵重複","OK")))</f>
        <v/>
      </c>
      <c r="P39" s="8" t="n"/>
      <c r="S39" s="8" t="n"/>
      <c r="T39" s="8" t="n"/>
      <c r="U39" s="8" t="n"/>
    </row>
    <row r="40" ht="24.95" customHeight="1">
      <c r="A40" s="2" t="inlineStr">
        <is>
          <t>地下水</t>
        </is>
      </c>
      <c r="B40" s="2" t="inlineStr">
        <is>
          <t>二甲苯(備註1.)</t>
        </is>
      </c>
      <c r="C40" s="2" t="inlineStr">
        <is>
          <t>二甲苯</t>
        </is>
      </c>
      <c r="D40" s="2" t="inlineStr">
        <is>
          <t>單環芳香族碳氫化合物</t>
        </is>
      </c>
      <c r="E40" s="2" t="n"/>
      <c r="F40" s="2" t="inlineStr">
        <is>
          <t>mg/L</t>
        </is>
      </c>
      <c r="G40" s="2" t="inlineStr">
        <is>
          <t>是</t>
        </is>
      </c>
      <c r="H40" s="1">
        <f>IF(OR(A40="",B40=""),"",A40&amp;"|"&amp;B40)</f>
        <v/>
      </c>
      <c r="I40" s="33">
        <f>IF(COUNTA(A40:G40)=0,"",IF(OR(A40="",B40="",F40="",G40=""),"缺必要欄位",IF(COUNTIFS(DB_04[測項鍵],H40)&gt;1,"測項鍵重複","OK")))</f>
        <v/>
      </c>
      <c r="P40" s="8" t="n"/>
      <c r="S40" s="8" t="n"/>
      <c r="T40" s="8" t="n"/>
      <c r="U40" s="8" t="n"/>
    </row>
    <row r="41" ht="24.95" customHeight="1">
      <c r="A41" s="2" t="inlineStr">
        <is>
          <t>地下水</t>
        </is>
      </c>
      <c r="B41" s="2" t="inlineStr">
        <is>
          <t>氯鹽</t>
        </is>
      </c>
      <c r="C41" s="2" t="n"/>
      <c r="D41" s="2" t="inlineStr">
        <is>
          <t>背景與指標水質</t>
        </is>
      </c>
      <c r="E41" s="2" t="n"/>
      <c r="F41" s="2" t="inlineStr">
        <is>
          <t>mg/L</t>
        </is>
      </c>
      <c r="G41" s="2" t="inlineStr">
        <is>
          <t>是</t>
        </is>
      </c>
      <c r="H41" s="1">
        <f>IF(OR(A41="",B41=""),"",A41&amp;"|"&amp;B41)</f>
        <v/>
      </c>
      <c r="I41" s="33">
        <f>IF(COUNTA(A41:G41)=0,"",IF(OR(A41="",B41="",F41="",G41=""),"缺必要欄位",IF(COUNTIFS(DB_04[測項鍵],H41)&gt;1,"測項鍵重複","OK")))</f>
        <v/>
      </c>
      <c r="P41" s="8" t="n"/>
      <c r="S41" s="8" t="n"/>
      <c r="T41" s="8" t="n"/>
      <c r="U41" s="8" t="n"/>
    </row>
    <row r="42" ht="24.95" customHeight="1">
      <c r="A42" s="2" t="inlineStr">
        <is>
          <t>地下水</t>
        </is>
      </c>
      <c r="B42" s="2" t="inlineStr">
        <is>
          <t>亞鐵</t>
        </is>
      </c>
      <c r="C42" s="2" t="n"/>
      <c r="D42" s="2" t="inlineStr">
        <is>
          <t>現場／檢測項目</t>
        </is>
      </c>
      <c r="E42" s="2" t="n"/>
      <c r="F42" s="2" t="inlineStr">
        <is>
          <t>mg/L</t>
        </is>
      </c>
      <c r="G42" s="2" t="inlineStr">
        <is>
          <t>是</t>
        </is>
      </c>
      <c r="H42" s="1">
        <f>IF(OR(A42="",B42=""),"",A42&amp;"|"&amp;B42)</f>
        <v/>
      </c>
      <c r="I42" s="33">
        <f>IF(COUNTA(A42:G42)=0,"",IF(OR(A42="",B42="",F42="",G42=""),"缺必要欄位",IF(COUNTIFS(DB_04[測項鍵],H42)&gt;1,"測項鍵重複","OK")))</f>
        <v/>
      </c>
      <c r="P42" s="8" t="n"/>
      <c r="S42" s="8" t="n"/>
      <c r="T42" s="8" t="n"/>
      <c r="U42" s="8" t="n"/>
    </row>
    <row r="43" ht="24.95" customHeight="1">
      <c r="A43" s="2" t="inlineStr">
        <is>
          <t>地下水</t>
        </is>
      </c>
      <c r="B43" s="2" t="inlineStr">
        <is>
          <t>DHC</t>
        </is>
      </c>
      <c r="C43" s="2" t="n"/>
      <c r="D43" s="2" t="inlineStr">
        <is>
          <t>現場／檢測項目</t>
        </is>
      </c>
      <c r="E43" s="2" t="n"/>
      <c r="F43" s="2" t="inlineStr">
        <is>
          <t>gene copies/L</t>
        </is>
      </c>
      <c r="G43" s="2" t="inlineStr">
        <is>
          <t>是</t>
        </is>
      </c>
      <c r="H43" s="1">
        <f>IF(OR(A43="",B43=""),"",A43&amp;"|"&amp;B43)</f>
        <v/>
      </c>
      <c r="I43" s="33">
        <f>IF(COUNTA(A43:G43)=0,"",IF(OR(A43="",B43="",F43="",G43=""),"缺必要欄位",IF(COUNTIFS(DB_04[測項鍵],H43)&gt;1,"測項鍵重複","OK")))</f>
        <v/>
      </c>
      <c r="P43" s="8" t="n"/>
      <c r="S43" s="8" t="n"/>
      <c r="T43" s="8" t="n"/>
      <c r="U43" s="8" t="n"/>
    </row>
    <row r="44" ht="24.95" customHeight="1">
      <c r="A44" s="2" t="inlineStr">
        <is>
          <t>地下水</t>
        </is>
      </c>
      <c r="B44" s="2" t="inlineStr">
        <is>
          <t>DCA1</t>
        </is>
      </c>
      <c r="C44" s="2" t="n"/>
      <c r="D44" s="2" t="inlineStr">
        <is>
          <t>現場／檢測項目</t>
        </is>
      </c>
      <c r="E44" s="2" t="n"/>
      <c r="F44" s="2" t="inlineStr">
        <is>
          <t>gene copies/L</t>
        </is>
      </c>
      <c r="G44" s="2" t="inlineStr">
        <is>
          <t>是</t>
        </is>
      </c>
      <c r="H44" s="1">
        <f>IF(OR(A44="",B44=""),"",A44&amp;"|"&amp;B44)</f>
        <v/>
      </c>
      <c r="I44" s="33">
        <f>IF(COUNTA(A44:G44)=0,"",IF(OR(A44="",B44="",F44="",G44=""),"缺必要欄位",IF(COUNTIFS(DB_04[測項鍵],H44)&gt;1,"測項鍵重複","OK")))</f>
        <v/>
      </c>
      <c r="P44" s="8" t="n"/>
      <c r="S44" s="8" t="n"/>
      <c r="T44" s="8" t="n"/>
      <c r="U44" s="8" t="n"/>
    </row>
    <row r="45" ht="24.95" customHeight="1">
      <c r="A45" s="2" t="inlineStr">
        <is>
          <t>地下水</t>
        </is>
      </c>
      <c r="B45" s="2" t="inlineStr">
        <is>
          <t>總菌落數</t>
        </is>
      </c>
      <c r="C45" s="2" t="n"/>
      <c r="D45" s="2" t="inlineStr">
        <is>
          <t>現場／檢測項目</t>
        </is>
      </c>
      <c r="E45" s="2" t="n"/>
      <c r="F45" s="2" t="inlineStr">
        <is>
          <t>CFU/ml</t>
        </is>
      </c>
      <c r="G45" s="2" t="inlineStr">
        <is>
          <t>是</t>
        </is>
      </c>
      <c r="H45" s="1">
        <f>IF(OR(A45="",B45=""),"",A45&amp;"|"&amp;B45)</f>
        <v/>
      </c>
      <c r="I45" s="33">
        <f>IF(COUNTA(A45:G45)=0,"",IF(OR(A45="",B45="",F45="",G45=""),"缺必要欄位",IF(COUNTIFS(DB_04[測項鍵],H45)&gt;1,"測項鍵重複","OK")))</f>
        <v/>
      </c>
      <c r="P45" s="8" t="n"/>
      <c r="S45" s="8" t="n"/>
      <c r="T45" s="8" t="n"/>
      <c r="U45" s="8" t="n"/>
    </row>
    <row r="46" ht="24.95" customHeight="1">
      <c r="A46" s="2" t="inlineStr">
        <is>
          <t>地下水</t>
        </is>
      </c>
      <c r="B46" s="2" t="inlineStr">
        <is>
          <t>鉛</t>
        </is>
      </c>
      <c r="C46" s="2" t="n"/>
      <c r="D46" s="2" t="inlineStr">
        <is>
          <t>重金屬</t>
        </is>
      </c>
      <c r="E46" s="2" t="n"/>
      <c r="F46" s="2" t="inlineStr">
        <is>
          <t>mg/L</t>
        </is>
      </c>
      <c r="G46" s="2" t="inlineStr">
        <is>
          <t>是</t>
        </is>
      </c>
      <c r="H46" s="1">
        <f>IF(OR(A46="",B46=""),"",A46&amp;"|"&amp;B46)</f>
        <v/>
      </c>
      <c r="I46" s="33">
        <f>IF(COUNTA(A46:G46)=0,"",IF(OR(A46="",B46="",F46="",G46=""),"缺必要欄位",IF(COUNTIFS(DB_04[測項鍵],H46)&gt;1,"測項鍵重複","OK")))</f>
        <v/>
      </c>
      <c r="P46" s="8" t="n"/>
      <c r="S46" s="8" t="n"/>
      <c r="T46" s="8" t="n"/>
      <c r="U46" s="8" t="n"/>
    </row>
    <row r="47" ht="24.95" customHeight="1">
      <c r="A47" s="2" t="inlineStr">
        <is>
          <t>地下水</t>
        </is>
      </c>
      <c r="B47" s="2" t="inlineStr">
        <is>
          <t>鎘</t>
        </is>
      </c>
      <c r="C47" s="2" t="n"/>
      <c r="D47" s="2" t="inlineStr">
        <is>
          <t>重金屬</t>
        </is>
      </c>
      <c r="E47" s="2" t="n"/>
      <c r="F47" s="2" t="inlineStr">
        <is>
          <t>mg/L</t>
        </is>
      </c>
      <c r="G47" s="2" t="inlineStr">
        <is>
          <t>是</t>
        </is>
      </c>
      <c r="H47" s="1">
        <f>IF(OR(A47="",B47=""),"",A47&amp;"|"&amp;B47)</f>
        <v/>
      </c>
      <c r="I47" s="33">
        <f>IF(COUNTA(A47:G47)=0,"",IF(OR(A47="",B47="",F47="",G47=""),"缺必要欄位",IF(COUNTIFS(DB_04[測項鍵],H47)&gt;1,"測項鍵重複","OK")))</f>
        <v/>
      </c>
      <c r="P47" s="8" t="n"/>
      <c r="S47" s="8" t="n"/>
      <c r="T47" s="8" t="n"/>
      <c r="U47" s="8" t="n"/>
    </row>
    <row r="48" ht="24.95" customHeight="1">
      <c r="A48" s="2" t="inlineStr">
        <is>
          <t>地下水</t>
        </is>
      </c>
      <c r="B48" s="2" t="inlineStr">
        <is>
          <t>鉻</t>
        </is>
      </c>
      <c r="C48" s="2" t="n"/>
      <c r="D48" s="2" t="inlineStr">
        <is>
          <t>重金屬</t>
        </is>
      </c>
      <c r="E48" s="2" t="n"/>
      <c r="F48" s="2" t="inlineStr">
        <is>
          <t>mg/L</t>
        </is>
      </c>
      <c r="G48" s="2" t="inlineStr">
        <is>
          <t>是</t>
        </is>
      </c>
      <c r="H48" s="1">
        <f>IF(OR(A48="",B48=""),"",A48&amp;"|"&amp;B48)</f>
        <v/>
      </c>
      <c r="I48" s="33">
        <f>IF(COUNTA(A48:G48)=0,"",IF(OR(A48="",B48="",F48="",G48=""),"缺必要欄位",IF(COUNTIFS(DB_04[測項鍵],H48)&gt;1,"測項鍵重複","OK")))</f>
        <v/>
      </c>
      <c r="P48" s="8" t="n"/>
      <c r="S48" s="8" t="n"/>
      <c r="T48" s="8" t="n"/>
      <c r="U48" s="8" t="n"/>
    </row>
    <row r="49" ht="24.95" customHeight="1">
      <c r="A49" s="2" t="inlineStr">
        <is>
          <t>地下水</t>
        </is>
      </c>
      <c r="B49" s="2" t="inlineStr">
        <is>
          <t>銅</t>
        </is>
      </c>
      <c r="C49" s="2" t="n"/>
      <c r="D49" s="2" t="inlineStr">
        <is>
          <t>重金屬</t>
        </is>
      </c>
      <c r="E49" s="2" t="n"/>
      <c r="F49" s="2" t="inlineStr">
        <is>
          <t>mg/L</t>
        </is>
      </c>
      <c r="G49" s="2" t="inlineStr">
        <is>
          <t>是</t>
        </is>
      </c>
      <c r="H49" s="1">
        <f>IF(OR(A49="",B49=""),"",A49&amp;"|"&amp;B49)</f>
        <v/>
      </c>
      <c r="I49" s="33">
        <f>IF(COUNTA(A49:G49)=0,"",IF(OR(A49="",B49="",F49="",G49=""),"缺必要欄位",IF(COUNTIFS(DB_04[測項鍵],H49)&gt;1,"測項鍵重複","OK")))</f>
        <v/>
      </c>
      <c r="P49" s="8" t="n"/>
      <c r="S49" s="8" t="n"/>
      <c r="T49" s="8" t="n"/>
      <c r="U49" s="8" t="n"/>
    </row>
    <row r="50" ht="24.95" customHeight="1">
      <c r="A50" s="2" t="inlineStr">
        <is>
          <t>地下水</t>
        </is>
      </c>
      <c r="B50" s="2" t="inlineStr">
        <is>
          <t>鋅</t>
        </is>
      </c>
      <c r="C50" s="2" t="n"/>
      <c r="D50" s="2" t="inlineStr">
        <is>
          <t>重金屬</t>
        </is>
      </c>
      <c r="E50" s="2" t="n"/>
      <c r="F50" s="2" t="inlineStr">
        <is>
          <t>mg/L</t>
        </is>
      </c>
      <c r="G50" s="2" t="inlineStr">
        <is>
          <t>是</t>
        </is>
      </c>
      <c r="H50" s="1">
        <f>IF(OR(A50="",B50=""),"",A50&amp;"|"&amp;B50)</f>
        <v/>
      </c>
      <c r="I50" s="33">
        <f>IF(COUNTA(A50:G50)=0,"",IF(OR(A50="",B50="",F50="",G50=""),"缺必要欄位",IF(COUNTIFS(DB_04[測項鍵],H50)&gt;1,"測項鍵重複","OK")))</f>
        <v/>
      </c>
      <c r="P50" s="8" t="n"/>
      <c r="S50" s="8" t="n"/>
      <c r="T50" s="8" t="n"/>
      <c r="U50" s="8" t="n"/>
    </row>
    <row r="51" ht="24.95" customHeight="1">
      <c r="A51" s="2" t="inlineStr">
        <is>
          <t>地下水</t>
        </is>
      </c>
      <c r="B51" s="2" t="inlineStr">
        <is>
          <t>鎳</t>
        </is>
      </c>
      <c r="C51" s="2" t="n"/>
      <c r="D51" s="2" t="inlineStr">
        <is>
          <t>重金屬</t>
        </is>
      </c>
      <c r="E51" s="2" t="n"/>
      <c r="F51" s="2" t="inlineStr">
        <is>
          <t>mg/L</t>
        </is>
      </c>
      <c r="G51" s="2" t="inlineStr">
        <is>
          <t>是</t>
        </is>
      </c>
      <c r="H51" s="1">
        <f>IF(OR(A51="",B51=""),"",A51&amp;"|"&amp;B51)</f>
        <v/>
      </c>
      <c r="I51" s="33">
        <f>IF(COUNTA(A51:G51)=0,"",IF(OR(A51="",B51="",F51="",G51=""),"缺必要欄位",IF(COUNTIFS(DB_04[測項鍵],H51)&gt;1,"測項鍵重複","OK")))</f>
        <v/>
      </c>
      <c r="P51" s="8" t="n"/>
      <c r="S51" s="8" t="n"/>
      <c r="T51" s="8" t="n"/>
      <c r="U51" s="8" t="n"/>
    </row>
    <row r="52" ht="24.95" customHeight="1">
      <c r="A52" s="2" t="inlineStr">
        <is>
          <t>地下水</t>
        </is>
      </c>
      <c r="B52" s="2" t="inlineStr">
        <is>
          <t>砷</t>
        </is>
      </c>
      <c r="C52" s="2" t="n"/>
      <c r="D52" s="2" t="inlineStr">
        <is>
          <t>重金屬</t>
        </is>
      </c>
      <c r="E52" s="2" t="n"/>
      <c r="F52" s="2" t="inlineStr">
        <is>
          <t>mg/L</t>
        </is>
      </c>
      <c r="G52" s="2" t="inlineStr">
        <is>
          <t>是</t>
        </is>
      </c>
      <c r="H52" s="1">
        <f>IF(OR(A52="",B52=""),"",A52&amp;"|"&amp;B52)</f>
        <v/>
      </c>
      <c r="I52" s="33">
        <f>IF(COUNTA(A52:G52)=0,"",IF(OR(A52="",B52="",F52="",G52=""),"缺必要欄位",IF(COUNTIFS(DB_04[測項鍵],H52)&gt;1,"測項鍵重複","OK")))</f>
        <v/>
      </c>
      <c r="P52" s="8" t="n"/>
      <c r="S52" s="8" t="n"/>
      <c r="T52" s="8" t="n"/>
      <c r="U52" s="8" t="n"/>
    </row>
    <row r="53" ht="24.95" customHeight="1">
      <c r="A53" s="2" t="inlineStr">
        <is>
          <t>地下水</t>
        </is>
      </c>
      <c r="B53" s="2" t="inlineStr">
        <is>
          <t>汞</t>
        </is>
      </c>
      <c r="C53" s="2" t="n"/>
      <c r="D53" s="2" t="inlineStr">
        <is>
          <t>重金屬</t>
        </is>
      </c>
      <c r="E53" s="2" t="n"/>
      <c r="F53" s="2" t="inlineStr">
        <is>
          <t>mg/L</t>
        </is>
      </c>
      <c r="G53" s="2" t="inlineStr">
        <is>
          <t>是</t>
        </is>
      </c>
      <c r="H53" s="1">
        <f>IF(OR(A53="",B53=""),"",A53&amp;"|"&amp;B53)</f>
        <v/>
      </c>
      <c r="I53" s="33">
        <f>IF(COUNTA(A53:G53)=0,"",IF(OR(A53="",B53="",F53="",G53=""),"缺必要欄位",IF(COUNTIFS(DB_04[測項鍵],H53)&gt;1,"測項鍵重複","OK")))</f>
        <v/>
      </c>
      <c r="P53" s="8" t="n"/>
      <c r="S53" s="8" t="n"/>
      <c r="T53" s="8" t="n"/>
      <c r="U53" s="8" t="n"/>
    </row>
    <row r="54" ht="24.95" customHeight="1">
      <c r="A54" s="2" t="inlineStr">
        <is>
          <t>地下水</t>
        </is>
      </c>
      <c r="B54" s="2" t="inlineStr">
        <is>
          <t>間,對-二甲苯</t>
        </is>
      </c>
      <c r="C54" s="2" t="n"/>
      <c r="D54" s="2" t="inlineStr">
        <is>
          <t>現場／檢測項目</t>
        </is>
      </c>
      <c r="E54" s="2" t="n"/>
      <c r="F54" s="2" t="inlineStr">
        <is>
          <t>mg/L</t>
        </is>
      </c>
      <c r="G54" s="2" t="inlineStr">
        <is>
          <t>是</t>
        </is>
      </c>
      <c r="H54" s="1">
        <f>IF(OR(A54="",B54=""),"",A54&amp;"|"&amp;B54)</f>
        <v/>
      </c>
      <c r="I54" s="33">
        <f>IF(COUNTA(A54:G54)=0,"",IF(OR(A54="",B54="",F54="",G54=""),"缺必要欄位",IF(COUNTIFS(DB_04[測項鍵],H54)&gt;1,"測項鍵重複","OK")))</f>
        <v/>
      </c>
      <c r="P54" s="8" t="n"/>
      <c r="S54" s="8" t="n"/>
      <c r="T54" s="8" t="n"/>
      <c r="U54" s="8" t="n"/>
    </row>
    <row r="55" ht="24.95" customHeight="1">
      <c r="A55" s="2" t="inlineStr">
        <is>
          <t>地下水</t>
        </is>
      </c>
      <c r="B55" s="2" t="inlineStr">
        <is>
          <t>鄰-二甲苯</t>
        </is>
      </c>
      <c r="C55" s="2" t="n"/>
      <c r="D55" s="2" t="inlineStr">
        <is>
          <t>現場／檢測項目</t>
        </is>
      </c>
      <c r="E55" s="2" t="n"/>
      <c r="F55" s="2" t="inlineStr">
        <is>
          <t>mg/L</t>
        </is>
      </c>
      <c r="G55" s="2" t="inlineStr">
        <is>
          <t>是</t>
        </is>
      </c>
      <c r="H55" s="1">
        <f>IF(OR(A55="",B55=""),"",A55&amp;"|"&amp;B55)</f>
        <v/>
      </c>
      <c r="I55" s="33">
        <f>IF(COUNTA(A55:G55)=0,"",IF(OR(A55="",B55="",F55="",G55=""),"缺必要欄位",IF(COUNTIFS(DB_04[測項鍵],H55)&gt;1,"測項鍵重複","OK")))</f>
        <v/>
      </c>
      <c r="P55" s="8" t="n"/>
      <c r="S55" s="8" t="n"/>
      <c r="T55" s="8" t="n"/>
      <c r="U55" s="8" t="n"/>
    </row>
    <row r="56" ht="24.95" customHeight="1">
      <c r="A56" s="2" t="inlineStr">
        <is>
          <t>地下水</t>
        </is>
      </c>
      <c r="B56" s="2" t="inlineStr">
        <is>
          <t>總石油碳氫化合物</t>
        </is>
      </c>
      <c r="C56" s="2" t="n"/>
      <c r="D56" s="2" t="inlineStr">
        <is>
          <t>其他污染物</t>
        </is>
      </c>
      <c r="E56" s="2" t="n"/>
      <c r="F56" s="2" t="inlineStr">
        <is>
          <t>mg/L</t>
        </is>
      </c>
      <c r="G56" s="2" t="inlineStr">
        <is>
          <t>是</t>
        </is>
      </c>
      <c r="H56" s="1">
        <f>IF(OR(A56="",B56=""),"",A56&amp;"|"&amp;B56)</f>
        <v/>
      </c>
      <c r="I56" s="33">
        <f>IF(COUNTA(A56:G56)=0,"",IF(OR(A56="",B56="",F56="",G56=""),"缺必要欄位",IF(COUNTIFS(DB_04[測項鍵],H56)&gt;1,"測項鍵重複","OK")))</f>
        <v/>
      </c>
      <c r="P56" s="8" t="n"/>
      <c r="S56" s="8" t="n"/>
      <c r="T56" s="8" t="n"/>
      <c r="U56" s="8" t="n"/>
    </row>
    <row r="57" ht="24.95" customHeight="1">
      <c r="A57" s="2" t="inlineStr">
        <is>
          <t>地下水</t>
        </is>
      </c>
      <c r="B57" s="2" t="inlineStr">
        <is>
          <t>總溶解固體物</t>
        </is>
      </c>
      <c r="C57" s="2" t="n"/>
      <c r="D57" s="2" t="inlineStr">
        <is>
          <t>背景與指標水質</t>
        </is>
      </c>
      <c r="E57" s="2" t="n"/>
      <c r="F57" s="2" t="inlineStr">
        <is>
          <t>mg/L</t>
        </is>
      </c>
      <c r="G57" s="2" t="inlineStr">
        <is>
          <t>是</t>
        </is>
      </c>
      <c r="H57" s="1">
        <f>IF(OR(A57="",B57=""),"",A57&amp;"|"&amp;B57)</f>
        <v/>
      </c>
      <c r="I57" s="33">
        <f>IF(COUNTA(A57:G57)=0,"",IF(OR(A57="",B57="",F57="",G57=""),"缺必要欄位",IF(COUNTIFS(DB_04[測項鍵],H57)&gt;1,"測項鍵重複","OK")))</f>
        <v/>
      </c>
      <c r="P57" s="8" t="n"/>
      <c r="S57" s="8" t="n"/>
      <c r="T57" s="8" t="n"/>
      <c r="U57" s="8" t="n"/>
    </row>
    <row r="58" ht="24.95" customHeight="1">
      <c r="A58" s="2" t="inlineStr">
        <is>
          <t>地下水</t>
        </is>
      </c>
      <c r="B58" s="2" t="inlineStr">
        <is>
          <t>總硬度</t>
        </is>
      </c>
      <c r="C58" s="2" t="n"/>
      <c r="D58" s="2" t="inlineStr">
        <is>
          <t>背景與指標水質</t>
        </is>
      </c>
      <c r="E58" s="2" t="n"/>
      <c r="F58" s="2" t="inlineStr">
        <is>
          <t>mg/L</t>
        </is>
      </c>
      <c r="G58" s="2" t="inlineStr">
        <is>
          <t>是</t>
        </is>
      </c>
      <c r="H58" s="1">
        <f>IF(OR(A58="",B58=""),"",A58&amp;"|"&amp;B58)</f>
        <v/>
      </c>
      <c r="I58" s="33">
        <f>IF(COUNTA(A58:G58)=0,"",IF(OR(A58="",B58="",F58="",G58=""),"缺必要欄位",IF(COUNTIFS(DB_04[測項鍵],H58)&gt;1,"測項鍵重複","OK")))</f>
        <v/>
      </c>
      <c r="P58" s="8" t="n"/>
      <c r="S58" s="8" t="n"/>
      <c r="T58" s="8" t="n"/>
      <c r="U58" s="8" t="n"/>
    </row>
    <row r="59" ht="24.95" customHeight="1">
      <c r="A59" s="2" t="inlineStr">
        <is>
          <t>系統水</t>
        </is>
      </c>
      <c r="B59" s="2" t="inlineStr">
        <is>
          <t>採樣深度</t>
        </is>
      </c>
      <c r="C59" s="2" t="n"/>
      <c r="D59" s="2" t="inlineStr">
        <is>
          <t>現場／檢測項目</t>
        </is>
      </c>
      <c r="E59" s="2" t="n"/>
      <c r="F59" s="2" t="inlineStr">
        <is>
          <t>m</t>
        </is>
      </c>
      <c r="G59" s="2" t="inlineStr">
        <is>
          <t>是</t>
        </is>
      </c>
      <c r="H59" s="1">
        <f>IF(OR(A59="",B59=""),"",A59&amp;"|"&amp;B59)</f>
        <v/>
      </c>
      <c r="I59" s="33">
        <f>IF(COUNTA(A59:G59)=0,"",IF(OR(A59="",B59="",F59="",G59=""),"缺必要欄位",IF(COUNTIFS(DB_04[測項鍵],H59)&gt;1,"測項鍵重複","OK")))</f>
        <v/>
      </c>
      <c r="P59" s="8" t="n"/>
      <c r="S59" s="8" t="n"/>
      <c r="T59" s="8" t="n"/>
      <c r="U59" s="8" t="n"/>
    </row>
    <row r="60" ht="24.95" customHeight="1">
      <c r="A60" s="2" t="inlineStr">
        <is>
          <t>系統水</t>
        </is>
      </c>
      <c r="B60" s="2" t="inlineStr">
        <is>
          <t>水位</t>
        </is>
      </c>
      <c r="C60" s="2" t="n"/>
      <c r="D60" s="2" t="inlineStr">
        <is>
          <t>現場／檢測項目</t>
        </is>
      </c>
      <c r="E60" s="2" t="n"/>
      <c r="F60" s="2" t="inlineStr">
        <is>
          <t>m</t>
        </is>
      </c>
      <c r="G60" s="2" t="inlineStr">
        <is>
          <t>是</t>
        </is>
      </c>
      <c r="H60" s="1">
        <f>IF(OR(A60="",B60=""),"",A60&amp;"|"&amp;B60)</f>
        <v/>
      </c>
      <c r="I60" s="33">
        <f>IF(COUNTA(A60:G60)=0,"",IF(OR(A60="",B60="",F60="",G60=""),"缺必要欄位",IF(COUNTIFS(DB_04[測項鍵],H60)&gt;1,"測項鍵重複","OK")))</f>
        <v/>
      </c>
      <c r="P60" s="8" t="n"/>
      <c r="S60" s="8" t="n"/>
      <c r="T60" s="8" t="n"/>
      <c r="U60" s="8" t="n"/>
    </row>
    <row r="61" ht="24.95" customHeight="1">
      <c r="A61" s="2" t="inlineStr">
        <is>
          <t>系統水</t>
        </is>
      </c>
      <c r="B61" s="2" t="inlineStr">
        <is>
          <t>pH</t>
        </is>
      </c>
      <c r="C61" s="2" t="n"/>
      <c r="D61" s="2" t="inlineStr">
        <is>
          <t>現場／檢測項目</t>
        </is>
      </c>
      <c r="E61" s="2" t="n"/>
      <c r="F61" s="2" t="inlineStr">
        <is>
          <t>無因次</t>
        </is>
      </c>
      <c r="G61" s="2" t="inlineStr">
        <is>
          <t>是</t>
        </is>
      </c>
      <c r="H61" s="1">
        <f>IF(OR(A61="",B61=""),"",A61&amp;"|"&amp;B61)</f>
        <v/>
      </c>
      <c r="I61" s="33">
        <f>IF(COUNTA(A61:G61)=0,"",IF(OR(A61="",B61="",F61="",G61=""),"缺必要欄位",IF(COUNTIFS(DB_04[測項鍵],H61)&gt;1,"測項鍵重複","OK")))</f>
        <v/>
      </c>
      <c r="P61" s="8" t="n"/>
      <c r="S61" s="8" t="n"/>
      <c r="T61" s="8" t="n"/>
      <c r="U61" s="8" t="n"/>
    </row>
    <row r="62" ht="24.95" customHeight="1">
      <c r="A62" s="2" t="inlineStr">
        <is>
          <t>系統水</t>
        </is>
      </c>
      <c r="B62" s="2" t="inlineStr">
        <is>
          <t>EC</t>
        </is>
      </c>
      <c r="C62" s="2" t="n"/>
      <c r="D62" s="2" t="inlineStr">
        <is>
          <t>現場／檢測項目</t>
        </is>
      </c>
      <c r="E62" s="2" t="n"/>
      <c r="F62" s="2" t="inlineStr">
        <is>
          <t>μmho/cm</t>
        </is>
      </c>
      <c r="G62" s="2" t="inlineStr">
        <is>
          <t>是</t>
        </is>
      </c>
      <c r="H62" s="1">
        <f>IF(OR(A62="",B62=""),"",A62&amp;"|"&amp;B62)</f>
        <v/>
      </c>
      <c r="I62" s="33">
        <f>IF(COUNTA(A62:G62)=0,"",IF(OR(A62="",B62="",F62="",G62=""),"缺必要欄位",IF(COUNTIFS(DB_04[測項鍵],H62)&gt;1,"測項鍵重複","OK")))</f>
        <v/>
      </c>
      <c r="P62" s="8" t="n"/>
      <c r="S62" s="8" t="n"/>
      <c r="T62" s="8" t="n"/>
      <c r="U62" s="8" t="n"/>
    </row>
    <row r="63" ht="24.95" customHeight="1">
      <c r="A63" s="2" t="inlineStr">
        <is>
          <t>系統水</t>
        </is>
      </c>
      <c r="B63" s="2" t="inlineStr">
        <is>
          <t>DO</t>
        </is>
      </c>
      <c r="C63" s="2" t="n"/>
      <c r="D63" s="2" t="inlineStr">
        <is>
          <t>現場／檢測項目</t>
        </is>
      </c>
      <c r="E63" s="2" t="n"/>
      <c r="F63" s="2" t="inlineStr">
        <is>
          <t>mg/L</t>
        </is>
      </c>
      <c r="G63" s="2" t="inlineStr">
        <is>
          <t>是</t>
        </is>
      </c>
      <c r="H63" s="1">
        <f>IF(OR(A63="",B63=""),"",A63&amp;"|"&amp;B63)</f>
        <v/>
      </c>
      <c r="I63" s="33">
        <f>IF(COUNTA(A63:G63)=0,"",IF(OR(A63="",B63="",F63="",G63=""),"缺必要欄位",IF(COUNTIFS(DB_04[測項鍵],H63)&gt;1,"測項鍵重複","OK")))</f>
        <v/>
      </c>
      <c r="P63" s="8" t="n"/>
      <c r="S63" s="8" t="n"/>
      <c r="T63" s="8" t="n"/>
      <c r="U63" s="8" t="n"/>
    </row>
    <row r="64" ht="24.95" customHeight="1">
      <c r="A64" s="2" t="inlineStr">
        <is>
          <t>系統水</t>
        </is>
      </c>
      <c r="B64" s="2" t="inlineStr">
        <is>
          <t>ORP</t>
        </is>
      </c>
      <c r="C64" s="2" t="n"/>
      <c r="D64" s="2" t="inlineStr">
        <is>
          <t>現場／檢測項目</t>
        </is>
      </c>
      <c r="E64" s="2" t="n"/>
      <c r="F64" s="2" t="inlineStr">
        <is>
          <t>mv</t>
        </is>
      </c>
      <c r="G64" s="2" t="inlineStr">
        <is>
          <t>是</t>
        </is>
      </c>
      <c r="H64" s="1">
        <f>IF(OR(A64="",B64=""),"",A64&amp;"|"&amp;B64)</f>
        <v/>
      </c>
      <c r="I64" s="33">
        <f>IF(COUNTA(A64:G64)=0,"",IF(OR(A64="",B64="",F64="",G64=""),"缺必要欄位",IF(COUNTIFS(DB_04[測項鍵],H64)&gt;1,"測項鍵重複","OK")))</f>
        <v/>
      </c>
      <c r="P64" s="8" t="n"/>
      <c r="S64" s="8" t="n"/>
      <c r="T64" s="8" t="n"/>
      <c r="U64" s="8" t="n"/>
    </row>
    <row r="65" ht="24.95" customHeight="1">
      <c r="A65" s="2" t="inlineStr">
        <is>
          <t>系統水</t>
        </is>
      </c>
      <c r="B65" s="2" t="inlineStr">
        <is>
          <t>三氯乙烯</t>
        </is>
      </c>
      <c r="C65" s="2" t="n"/>
      <c r="D65" s="2" t="inlineStr">
        <is>
          <t>現場／檢測項目</t>
        </is>
      </c>
      <c r="E65" s="2" t="n"/>
      <c r="F65" s="2" t="inlineStr">
        <is>
          <t>mg/L</t>
        </is>
      </c>
      <c r="G65" s="2" t="inlineStr">
        <is>
          <t>是</t>
        </is>
      </c>
      <c r="H65" s="1">
        <f>IF(OR(A65="",B65=""),"",A65&amp;"|"&amp;B65)</f>
        <v/>
      </c>
      <c r="I65" s="33">
        <f>IF(COUNTA(A65:G65)=0,"",IF(OR(A65="",B65="",F65="",G65=""),"缺必要欄位",IF(COUNTIFS(DB_04[測項鍵],H65)&gt;1,"測項鍵重複","OK")))</f>
        <v/>
      </c>
      <c r="P65" s="8" t="n"/>
      <c r="S65" s="8" t="n"/>
      <c r="T65" s="8" t="n"/>
      <c r="U65" s="8" t="n"/>
    </row>
    <row r="66" ht="24.95" customHeight="1">
      <c r="A66" s="2" t="inlineStr">
        <is>
          <t>系統水</t>
        </is>
      </c>
      <c r="B66" s="2" t="inlineStr">
        <is>
          <t>順-1,2-二氯乙烯</t>
        </is>
      </c>
      <c r="C66" s="2" t="n"/>
      <c r="D66" s="2" t="inlineStr">
        <is>
          <t>現場／檢測項目</t>
        </is>
      </c>
      <c r="E66" s="2" t="n"/>
      <c r="F66" s="2" t="inlineStr">
        <is>
          <t>mg/L</t>
        </is>
      </c>
      <c r="G66" s="2" t="inlineStr">
        <is>
          <t>是</t>
        </is>
      </c>
      <c r="H66" s="1">
        <f>IF(OR(A66="",B66=""),"",A66&amp;"|"&amp;B66)</f>
        <v/>
      </c>
      <c r="I66" s="33">
        <f>IF(COUNTA(A66:G66)=0,"",IF(OR(A66="",B66="",F66="",G66=""),"缺必要欄位",IF(COUNTIFS(DB_04[測項鍵],H66)&gt;1,"測項鍵重複","OK")))</f>
        <v/>
      </c>
      <c r="P66" s="8" t="n"/>
      <c r="S66" s="8" t="n"/>
      <c r="T66" s="8" t="n"/>
      <c r="U66" s="8" t="n"/>
    </row>
    <row r="67" ht="24.95" customHeight="1">
      <c r="A67" s="2" t="inlineStr">
        <is>
          <t>系統水</t>
        </is>
      </c>
      <c r="B67" s="2" t="inlineStr">
        <is>
          <t>反-1,2-二氯乙烯</t>
        </is>
      </c>
      <c r="C67" s="2" t="n"/>
      <c r="D67" s="2" t="inlineStr">
        <is>
          <t>現場／檢測項目</t>
        </is>
      </c>
      <c r="E67" s="2" t="n"/>
      <c r="F67" s="2" t="inlineStr">
        <is>
          <t>mg/L</t>
        </is>
      </c>
      <c r="G67" s="2" t="inlineStr">
        <is>
          <t>是</t>
        </is>
      </c>
      <c r="H67" s="1">
        <f>IF(OR(A67="",B67=""),"",A67&amp;"|"&amp;B67)</f>
        <v/>
      </c>
      <c r="I67" s="33">
        <f>IF(COUNTA(A67:G67)=0,"",IF(OR(A67="",B67="",F67="",G67=""),"缺必要欄位",IF(COUNTIFS(DB_04[測項鍵],H67)&gt;1,"測項鍵重複","OK")))</f>
        <v/>
      </c>
      <c r="P67" s="8" t="n"/>
      <c r="S67" s="8" t="n"/>
      <c r="T67" s="8" t="n"/>
      <c r="U67" s="8" t="n"/>
    </row>
    <row r="68" ht="24.95" customHeight="1">
      <c r="A68" s="2" t="inlineStr">
        <is>
          <t>系統水</t>
        </is>
      </c>
      <c r="B68" s="2" t="inlineStr">
        <is>
          <t>1,1-二氯乙烯</t>
        </is>
      </c>
      <c r="C68" s="2" t="n"/>
      <c r="D68" s="2" t="inlineStr">
        <is>
          <t>現場／檢測項目</t>
        </is>
      </c>
      <c r="E68" s="2" t="n"/>
      <c r="F68" s="2" t="inlineStr">
        <is>
          <t>mg/L</t>
        </is>
      </c>
      <c r="G68" s="2" t="inlineStr">
        <is>
          <t>是</t>
        </is>
      </c>
      <c r="H68" s="1">
        <f>IF(OR(A68="",B68=""),"",A68&amp;"|"&amp;B68)</f>
        <v/>
      </c>
      <c r="I68" s="33">
        <f>IF(COUNTA(A68:G68)=0,"",IF(OR(A68="",B68="",F68="",G68=""),"缺必要欄位",IF(COUNTIFS(DB_04[測項鍵],H68)&gt;1,"測項鍵重複","OK")))</f>
        <v/>
      </c>
      <c r="P68" s="8" t="n"/>
      <c r="S68" s="8" t="n"/>
      <c r="T68" s="8" t="n"/>
      <c r="U68" s="8" t="n"/>
    </row>
    <row r="69" ht="24.95" customHeight="1">
      <c r="A69" s="2" t="inlineStr">
        <is>
          <t>系統水</t>
        </is>
      </c>
      <c r="B69" s="2" t="inlineStr">
        <is>
          <t>1,1-二氯乙烷</t>
        </is>
      </c>
      <c r="C69" s="2" t="n"/>
      <c r="D69" s="2" t="inlineStr">
        <is>
          <t>現場／檢測項目</t>
        </is>
      </c>
      <c r="E69" s="2" t="n"/>
      <c r="F69" s="2" t="inlineStr">
        <is>
          <t>mg/L</t>
        </is>
      </c>
      <c r="G69" s="2" t="inlineStr">
        <is>
          <t>是</t>
        </is>
      </c>
      <c r="H69" s="1">
        <f>IF(OR(A69="",B69=""),"",A69&amp;"|"&amp;B69)</f>
        <v/>
      </c>
      <c r="I69" s="33">
        <f>IF(COUNTA(A69:G69)=0,"",IF(OR(A69="",B69="",F69="",G69=""),"缺必要欄位",IF(COUNTIFS(DB_04[測項鍵],H69)&gt;1,"測項鍵重複","OK")))</f>
        <v/>
      </c>
      <c r="P69" s="8" t="n"/>
      <c r="S69" s="8" t="n"/>
      <c r="T69" s="8" t="n"/>
      <c r="U69" s="8" t="n"/>
    </row>
    <row r="70" ht="24.95" customHeight="1">
      <c r="A70" s="2" t="inlineStr">
        <is>
          <t>系統水</t>
        </is>
      </c>
      <c r="B70" s="2" t="inlineStr">
        <is>
          <t>氯乙烯</t>
        </is>
      </c>
      <c r="C70" s="2" t="n"/>
      <c r="D70" s="2" t="inlineStr">
        <is>
          <t>現場／檢測項目</t>
        </is>
      </c>
      <c r="E70" s="2" t="n"/>
      <c r="F70" s="2" t="inlineStr">
        <is>
          <t>mg/L</t>
        </is>
      </c>
      <c r="G70" s="2" t="inlineStr">
        <is>
          <t>是</t>
        </is>
      </c>
      <c r="H70" s="1">
        <f>IF(OR(A70="",B70=""),"",A70&amp;"|"&amp;B70)</f>
        <v/>
      </c>
      <c r="I70" s="33">
        <f>IF(COUNTA(A70:G70)=0,"",IF(OR(A70="",B70="",F70="",G70=""),"缺必要欄位",IF(COUNTIFS(DB_04[測項鍵],H70)&gt;1,"測項鍵重複","OK")))</f>
        <v/>
      </c>
      <c r="P70" s="8" t="n"/>
      <c r="S70" s="8" t="n"/>
      <c r="T70" s="8" t="n"/>
      <c r="U70" s="8" t="n"/>
    </row>
    <row r="71" ht="24.95" customHeight="1">
      <c r="A71" s="2" t="inlineStr">
        <is>
          <t>系統水</t>
        </is>
      </c>
      <c r="B71" s="2" t="inlineStr">
        <is>
          <t>1,1,1-三氯乙烷</t>
        </is>
      </c>
      <c r="C71" s="2" t="n"/>
      <c r="D71" s="2" t="inlineStr">
        <is>
          <t>現場／檢測項目</t>
        </is>
      </c>
      <c r="E71" s="2" t="n"/>
      <c r="F71" s="2" t="inlineStr">
        <is>
          <t>mg/L</t>
        </is>
      </c>
      <c r="G71" s="2" t="inlineStr">
        <is>
          <t>是</t>
        </is>
      </c>
      <c r="H71" s="1">
        <f>IF(OR(A71="",B71=""),"",A71&amp;"|"&amp;B71)</f>
        <v/>
      </c>
      <c r="I71" s="33">
        <f>IF(COUNTA(A71:G71)=0,"",IF(OR(A71="",B71="",F71="",G71=""),"缺必要欄位",IF(COUNTIFS(DB_04[測項鍵],H71)&gt;1,"測項鍵重複","OK")))</f>
        <v/>
      </c>
      <c r="P71" s="8" t="n"/>
      <c r="S71" s="8" t="n"/>
      <c r="T71" s="8" t="n"/>
      <c r="U71" s="8" t="n"/>
    </row>
    <row r="72" ht="24.95" customHeight="1">
      <c r="A72" s="2" t="inlineStr">
        <is>
          <t>系統水</t>
        </is>
      </c>
      <c r="B72" s="2" t="inlineStr">
        <is>
          <t>1,1,2-三氯乙烷</t>
        </is>
      </c>
      <c r="C72" s="2" t="n"/>
      <c r="D72" s="2" t="inlineStr">
        <is>
          <t>現場／檢測項目</t>
        </is>
      </c>
      <c r="E72" s="2" t="n"/>
      <c r="F72" s="2" t="inlineStr">
        <is>
          <t>mg/L</t>
        </is>
      </c>
      <c r="G72" s="2" t="inlineStr">
        <is>
          <t>是</t>
        </is>
      </c>
      <c r="H72" s="1">
        <f>IF(OR(A72="",B72=""),"",A72&amp;"|"&amp;B72)</f>
        <v/>
      </c>
      <c r="I72" s="33">
        <f>IF(COUNTA(A72:G72)=0,"",IF(OR(A72="",B72="",F72="",G72=""),"缺必要欄位",IF(COUNTIFS(DB_04[測項鍵],H72)&gt;1,"測項鍵重複","OK")))</f>
        <v/>
      </c>
      <c r="P72" s="8" t="n"/>
      <c r="S72" s="8" t="n"/>
      <c r="T72" s="8" t="n"/>
      <c r="U72" s="8" t="n"/>
    </row>
    <row r="73" ht="24.95" customHeight="1">
      <c r="A73" s="2" t="inlineStr">
        <is>
          <t>系統水</t>
        </is>
      </c>
      <c r="B73" s="2" t="inlineStr">
        <is>
          <t>1,2-二氯苯</t>
        </is>
      </c>
      <c r="C73" s="2" t="n"/>
      <c r="D73" s="2" t="inlineStr">
        <is>
          <t>現場／檢測項目</t>
        </is>
      </c>
      <c r="E73" s="2" t="n"/>
      <c r="F73" s="2" t="inlineStr">
        <is>
          <t>mg/L</t>
        </is>
      </c>
      <c r="G73" s="2" t="inlineStr">
        <is>
          <t>是</t>
        </is>
      </c>
      <c r="H73" s="1">
        <f>IF(OR(A73="",B73=""),"",A73&amp;"|"&amp;B73)</f>
        <v/>
      </c>
      <c r="I73" s="33">
        <f>IF(COUNTA(A73:G73)=0,"",IF(OR(A73="",B73="",F73="",G73=""),"缺必要欄位",IF(COUNTIFS(DB_04[測項鍵],H73)&gt;1,"測項鍵重複","OK")))</f>
        <v/>
      </c>
      <c r="P73" s="8" t="n"/>
      <c r="S73" s="8" t="n"/>
      <c r="T73" s="8" t="n"/>
      <c r="U73" s="8" t="n"/>
    </row>
    <row r="74" ht="24.95" customHeight="1">
      <c r="A74" s="2" t="inlineStr">
        <is>
          <t>系統水</t>
        </is>
      </c>
      <c r="B74" s="2" t="inlineStr">
        <is>
          <t>1,2-二氯乙烷</t>
        </is>
      </c>
      <c r="C74" s="2" t="n"/>
      <c r="D74" s="2" t="inlineStr">
        <is>
          <t>現場／檢測項目</t>
        </is>
      </c>
      <c r="E74" s="2" t="n"/>
      <c r="F74" s="2" t="inlineStr">
        <is>
          <t>mg/L</t>
        </is>
      </c>
      <c r="G74" s="2" t="inlineStr">
        <is>
          <t>是</t>
        </is>
      </c>
      <c r="H74" s="1">
        <f>IF(OR(A74="",B74=""),"",A74&amp;"|"&amp;B74)</f>
        <v/>
      </c>
      <c r="I74" s="33">
        <f>IF(COUNTA(A74:G74)=0,"",IF(OR(A74="",B74="",F74="",G74=""),"缺必要欄位",IF(COUNTIFS(DB_04[測項鍵],H74)&gt;1,"測項鍵重複","OK")))</f>
        <v/>
      </c>
      <c r="P74" s="8" t="n"/>
      <c r="S74" s="8" t="n"/>
      <c r="T74" s="8" t="n"/>
      <c r="U74" s="8" t="n"/>
    </row>
    <row r="75" ht="24.95" customHeight="1">
      <c r="A75" s="2" t="inlineStr">
        <is>
          <t>系統水</t>
        </is>
      </c>
      <c r="B75" s="2" t="inlineStr">
        <is>
          <t>1,4-二氯苯</t>
        </is>
      </c>
      <c r="C75" s="2" t="n"/>
      <c r="D75" s="2" t="inlineStr">
        <is>
          <t>現場／檢測項目</t>
        </is>
      </c>
      <c r="E75" s="2" t="n"/>
      <c r="F75" s="2" t="inlineStr">
        <is>
          <t>mg/L</t>
        </is>
      </c>
      <c r="G75" s="2" t="inlineStr">
        <is>
          <t>是</t>
        </is>
      </c>
      <c r="H75" s="1">
        <f>IF(OR(A75="",B75=""),"",A75&amp;"|"&amp;B75)</f>
        <v/>
      </c>
      <c r="I75" s="33">
        <f>IF(COUNTA(A75:G75)=0,"",IF(OR(A75="",B75="",F75="",G75=""),"缺必要欄位",IF(COUNTIFS(DB_04[測項鍵],H75)&gt;1,"測項鍵重複","OK")))</f>
        <v/>
      </c>
      <c r="P75" s="8" t="n"/>
      <c r="S75" s="8" t="n"/>
      <c r="T75" s="8" t="n"/>
      <c r="U75" s="8" t="n"/>
    </row>
    <row r="76" ht="24.95" customHeight="1">
      <c r="A76" s="2" t="inlineStr">
        <is>
          <t>系統水</t>
        </is>
      </c>
      <c r="B76" s="2" t="inlineStr">
        <is>
          <t>苯</t>
        </is>
      </c>
      <c r="C76" s="2" t="n"/>
      <c r="D76" s="2" t="inlineStr">
        <is>
          <t>現場／檢測項目</t>
        </is>
      </c>
      <c r="E76" s="2" t="n"/>
      <c r="F76" s="2" t="inlineStr">
        <is>
          <t>mg/L</t>
        </is>
      </c>
      <c r="G76" s="2" t="inlineStr">
        <is>
          <t>是</t>
        </is>
      </c>
      <c r="H76" s="1">
        <f>IF(OR(A76="",B76=""),"",A76&amp;"|"&amp;B76)</f>
        <v/>
      </c>
      <c r="I76" s="33">
        <f>IF(COUNTA(A76:G76)=0,"",IF(OR(A76="",B76="",F76="",G76=""),"缺必要欄位",IF(COUNTIFS(DB_04[測項鍵],H76)&gt;1,"測項鍵重複","OK")))</f>
        <v/>
      </c>
      <c r="P76" s="8" t="n"/>
      <c r="S76" s="8" t="n"/>
      <c r="T76" s="8" t="n"/>
      <c r="U76" s="8" t="n"/>
    </row>
    <row r="77" ht="24.95" customHeight="1">
      <c r="A77" s="2" t="inlineStr">
        <is>
          <t>系統水</t>
        </is>
      </c>
      <c r="B77" s="2" t="inlineStr">
        <is>
          <t>四氯化碳</t>
        </is>
      </c>
      <c r="C77" s="2" t="n"/>
      <c r="D77" s="2" t="inlineStr">
        <is>
          <t>現場／檢測項目</t>
        </is>
      </c>
      <c r="E77" s="2" t="n"/>
      <c r="F77" s="2" t="inlineStr">
        <is>
          <t>mg/L</t>
        </is>
      </c>
      <c r="G77" s="2" t="inlineStr">
        <is>
          <t>是</t>
        </is>
      </c>
      <c r="H77" s="1">
        <f>IF(OR(A77="",B77=""),"",A77&amp;"|"&amp;B77)</f>
        <v/>
      </c>
      <c r="I77" s="33">
        <f>IF(COUNTA(A77:G77)=0,"",IF(OR(A77="",B77="",F77="",G77=""),"缺必要欄位",IF(COUNTIFS(DB_04[測項鍵],H77)&gt;1,"測項鍵重複","OK")))</f>
        <v/>
      </c>
      <c r="P77" s="8" t="n"/>
      <c r="S77" s="8" t="n"/>
      <c r="T77" s="8" t="n"/>
      <c r="U77" s="8" t="n"/>
    </row>
    <row r="78" ht="24.95" customHeight="1">
      <c r="A78" s="2" t="inlineStr">
        <is>
          <t>系統水</t>
        </is>
      </c>
      <c r="B78" s="2" t="inlineStr">
        <is>
          <t>氯苯</t>
        </is>
      </c>
      <c r="C78" s="2" t="n"/>
      <c r="D78" s="2" t="inlineStr">
        <is>
          <t>現場／檢測項目</t>
        </is>
      </c>
      <c r="E78" s="2" t="n"/>
      <c r="F78" s="2" t="inlineStr">
        <is>
          <t>mg/L</t>
        </is>
      </c>
      <c r="G78" s="2" t="inlineStr">
        <is>
          <t>是</t>
        </is>
      </c>
      <c r="H78" s="1">
        <f>IF(OR(A78="",B78=""),"",A78&amp;"|"&amp;B78)</f>
        <v/>
      </c>
      <c r="I78" s="33">
        <f>IF(COUNTA(A78:G78)=0,"",IF(OR(A78="",B78="",F78="",G78=""),"缺必要欄位",IF(COUNTIFS(DB_04[測項鍵],H78)&gt;1,"測項鍵重複","OK")))</f>
        <v/>
      </c>
      <c r="P78" s="8" t="n"/>
      <c r="S78" s="8" t="n"/>
      <c r="T78" s="8" t="n"/>
      <c r="U78" s="8" t="n"/>
    </row>
    <row r="79" ht="24.95" customHeight="1">
      <c r="A79" s="2" t="inlineStr">
        <is>
          <t>系統水</t>
        </is>
      </c>
      <c r="B79" s="2" t="inlineStr">
        <is>
          <t>三氯甲烷(氯仿)</t>
        </is>
      </c>
      <c r="C79" s="2" t="inlineStr">
        <is>
          <t>氯仿</t>
        </is>
      </c>
      <c r="D79" s="2" t="inlineStr">
        <is>
          <t>現場／檢測項目</t>
        </is>
      </c>
      <c r="E79" s="2" t="n"/>
      <c r="F79" s="2" t="inlineStr">
        <is>
          <t>mg/L</t>
        </is>
      </c>
      <c r="G79" s="2" t="inlineStr">
        <is>
          <t>是</t>
        </is>
      </c>
      <c r="H79" s="1">
        <f>IF(OR(A79="",B79=""),"",A79&amp;"|"&amp;B79)</f>
        <v/>
      </c>
      <c r="I79" s="33">
        <f>IF(COUNTA(A79:G79)=0,"",IF(OR(A79="",B79="",F79="",G79=""),"缺必要欄位",IF(COUNTIFS(DB_04[測項鍵],H79)&gt;1,"測項鍵重複","OK")))</f>
        <v/>
      </c>
      <c r="P79" s="8" t="n"/>
      <c r="S79" s="8" t="n"/>
      <c r="T79" s="8" t="n"/>
      <c r="U79" s="8" t="n"/>
    </row>
    <row r="80" ht="24.95" customHeight="1">
      <c r="A80" s="2" t="inlineStr">
        <is>
          <t>系統水</t>
        </is>
      </c>
      <c r="B80" s="2" t="inlineStr">
        <is>
          <t>氯甲烷</t>
        </is>
      </c>
      <c r="C80" s="2" t="n"/>
      <c r="D80" s="2" t="inlineStr">
        <is>
          <t>現場／檢測項目</t>
        </is>
      </c>
      <c r="E80" s="2" t="n"/>
      <c r="F80" s="2" t="inlineStr">
        <is>
          <t>mg/L</t>
        </is>
      </c>
      <c r="G80" s="2" t="inlineStr">
        <is>
          <t>是</t>
        </is>
      </c>
      <c r="H80" s="1">
        <f>IF(OR(A80="",B80=""),"",A80&amp;"|"&amp;B80)</f>
        <v/>
      </c>
      <c r="I80" s="33">
        <f>IF(COUNTA(A80:G80)=0,"",IF(OR(A80="",B80="",F80="",G80=""),"缺必要欄位",IF(COUNTIFS(DB_04[測項鍵],H80)&gt;1,"測項鍵重複","OK")))</f>
        <v/>
      </c>
      <c r="P80" s="8" t="n"/>
      <c r="S80" s="8" t="n"/>
      <c r="T80" s="8" t="n"/>
      <c r="U80" s="8" t="n"/>
    </row>
    <row r="81" ht="24.95" customHeight="1">
      <c r="A81" s="2" t="inlineStr">
        <is>
          <t>系統水</t>
        </is>
      </c>
      <c r="B81" s="2" t="inlineStr">
        <is>
          <t>乙苯</t>
        </is>
      </c>
      <c r="C81" s="2" t="n"/>
      <c r="D81" s="2" t="inlineStr">
        <is>
          <t>現場／檢測項目</t>
        </is>
      </c>
      <c r="E81" s="2" t="n"/>
      <c r="F81" s="2" t="inlineStr">
        <is>
          <t>mg/L</t>
        </is>
      </c>
      <c r="G81" s="2" t="inlineStr">
        <is>
          <t>是</t>
        </is>
      </c>
      <c r="H81" s="1">
        <f>IF(OR(A81="",B81=""),"",A81&amp;"|"&amp;B81)</f>
        <v/>
      </c>
      <c r="I81" s="33">
        <f>IF(COUNTA(A81:G81)=0,"",IF(OR(A81="",B81="",F81="",G81=""),"缺必要欄位",IF(COUNTIFS(DB_04[測項鍵],H81)&gt;1,"測項鍵重複","OK")))</f>
        <v/>
      </c>
      <c r="P81" s="8" t="n"/>
      <c r="S81" s="8" t="n"/>
      <c r="T81" s="8" t="n"/>
      <c r="U81" s="8" t="n"/>
    </row>
    <row r="82" ht="24.95" customHeight="1">
      <c r="A82" s="2" t="inlineStr">
        <is>
          <t>系統水</t>
        </is>
      </c>
      <c r="B82" s="2" t="inlineStr">
        <is>
          <t>甲基第三丁基醚</t>
        </is>
      </c>
      <c r="C82" s="2" t="n"/>
      <c r="D82" s="2" t="inlineStr">
        <is>
          <t>現場／檢測項目</t>
        </is>
      </c>
      <c r="E82" s="2" t="n"/>
      <c r="F82" s="2" t="inlineStr">
        <is>
          <t>mg/L</t>
        </is>
      </c>
      <c r="G82" s="2" t="inlineStr">
        <is>
          <t>是</t>
        </is>
      </c>
      <c r="H82" s="1">
        <f>IF(OR(A82="",B82=""),"",A82&amp;"|"&amp;B82)</f>
        <v/>
      </c>
      <c r="I82" s="33">
        <f>IF(COUNTA(A82:G82)=0,"",IF(OR(A82="",B82="",F82="",G82=""),"缺必要欄位",IF(COUNTIFS(DB_04[測項鍵],H82)&gt;1,"測項鍵重複","OK")))</f>
        <v/>
      </c>
      <c r="P82" s="8" t="n"/>
      <c r="S82" s="8" t="n"/>
      <c r="T82" s="8" t="n"/>
      <c r="U82" s="8" t="n"/>
    </row>
    <row r="83" ht="24.95" customHeight="1">
      <c r="A83" s="2" t="inlineStr">
        <is>
          <t>系統水</t>
        </is>
      </c>
      <c r="B83" s="2" t="inlineStr">
        <is>
          <t>二氯甲烷</t>
        </is>
      </c>
      <c r="C83" s="2" t="n"/>
      <c r="D83" s="2" t="inlineStr">
        <is>
          <t>現場／檢測項目</t>
        </is>
      </c>
      <c r="E83" s="2" t="n"/>
      <c r="F83" s="2" t="inlineStr">
        <is>
          <t>mg/L</t>
        </is>
      </c>
      <c r="G83" s="2" t="inlineStr">
        <is>
          <t>是</t>
        </is>
      </c>
      <c r="H83" s="1">
        <f>IF(OR(A83="",B83=""),"",A83&amp;"|"&amp;B83)</f>
        <v/>
      </c>
      <c r="I83" s="33">
        <f>IF(COUNTA(A83:G83)=0,"",IF(OR(A83="",B83="",F83="",G83=""),"缺必要欄位",IF(COUNTIFS(DB_04[測項鍵],H83)&gt;1,"測項鍵重複","OK")))</f>
        <v/>
      </c>
      <c r="P83" s="8" t="n"/>
      <c r="S83" s="8" t="n"/>
      <c r="T83" s="8" t="n"/>
      <c r="U83" s="8" t="n"/>
    </row>
    <row r="84" ht="24.95" customHeight="1">
      <c r="A84" s="2" t="inlineStr">
        <is>
          <t>系統水</t>
        </is>
      </c>
      <c r="B84" s="2" t="inlineStr">
        <is>
          <t>萘</t>
        </is>
      </c>
      <c r="C84" s="2" t="n"/>
      <c r="D84" s="2" t="inlineStr">
        <is>
          <t>現場／檢測項目</t>
        </is>
      </c>
      <c r="E84" s="2" t="n"/>
      <c r="F84" s="2" t="inlineStr">
        <is>
          <t>mg/L</t>
        </is>
      </c>
      <c r="G84" s="2" t="inlineStr">
        <is>
          <t>是</t>
        </is>
      </c>
      <c r="H84" s="1">
        <f>IF(OR(A84="",B84=""),"",A84&amp;"|"&amp;B84)</f>
        <v/>
      </c>
      <c r="I84" s="33">
        <f>IF(COUNTA(A84:G84)=0,"",IF(OR(A84="",B84="",F84="",G84=""),"缺必要欄位",IF(COUNTIFS(DB_04[測項鍵],H84)&gt;1,"測項鍵重複","OK")))</f>
        <v/>
      </c>
      <c r="P84" s="8" t="n"/>
      <c r="S84" s="8" t="n"/>
      <c r="T84" s="8" t="n"/>
      <c r="U84" s="8" t="n"/>
    </row>
    <row r="85" ht="24.95" customHeight="1">
      <c r="A85" s="2" t="inlineStr">
        <is>
          <t>系統水</t>
        </is>
      </c>
      <c r="B85" s="2" t="inlineStr">
        <is>
          <t>四氯乙烯</t>
        </is>
      </c>
      <c r="C85" s="2" t="n"/>
      <c r="D85" s="2" t="inlineStr">
        <is>
          <t>現場／檢測項目</t>
        </is>
      </c>
      <c r="E85" s="2" t="n"/>
      <c r="F85" s="2" t="inlineStr">
        <is>
          <t>mg/L</t>
        </is>
      </c>
      <c r="G85" s="2" t="inlineStr">
        <is>
          <t>是</t>
        </is>
      </c>
      <c r="H85" s="1">
        <f>IF(OR(A85="",B85=""),"",A85&amp;"|"&amp;B85)</f>
        <v/>
      </c>
      <c r="I85" s="33">
        <f>IF(COUNTA(A85:G85)=0,"",IF(OR(A85="",B85="",F85="",G85=""),"缺必要欄位",IF(COUNTIFS(DB_04[測項鍵],H85)&gt;1,"測項鍵重複","OK")))</f>
        <v/>
      </c>
      <c r="P85" s="8" t="n"/>
      <c r="S85" s="8" t="n"/>
      <c r="T85" s="8" t="n"/>
      <c r="U85" s="8" t="n"/>
    </row>
    <row r="86" ht="24.95" customHeight="1">
      <c r="A86" s="2" t="inlineStr">
        <is>
          <t>系統水</t>
        </is>
      </c>
      <c r="B86" s="2" t="inlineStr">
        <is>
          <t>甲苯</t>
        </is>
      </c>
      <c r="C86" s="2" t="n"/>
      <c r="D86" s="2" t="inlineStr">
        <is>
          <t>現場／檢測項目</t>
        </is>
      </c>
      <c r="E86" s="2" t="n"/>
      <c r="F86" s="2" t="inlineStr">
        <is>
          <t>mg/L</t>
        </is>
      </c>
      <c r="G86" s="2" t="inlineStr">
        <is>
          <t>是</t>
        </is>
      </c>
      <c r="H86" s="1">
        <f>IF(OR(A86="",B86=""),"",A86&amp;"|"&amp;B86)</f>
        <v/>
      </c>
      <c r="I86" s="33">
        <f>IF(COUNTA(A86:G86)=0,"",IF(OR(A86="",B86="",F86="",G86=""),"缺必要欄位",IF(COUNTIFS(DB_04[測項鍵],H86)&gt;1,"測項鍵重複","OK")))</f>
        <v/>
      </c>
      <c r="P86" s="8" t="n"/>
      <c r="S86" s="8" t="n"/>
      <c r="T86" s="8" t="n"/>
      <c r="U86" s="8" t="n"/>
    </row>
    <row r="87" ht="24.95" customHeight="1">
      <c r="A87" s="2" t="inlineStr">
        <is>
          <t>系統水</t>
        </is>
      </c>
      <c r="B87" s="2" t="inlineStr">
        <is>
          <t>二甲苯(備註1.)</t>
        </is>
      </c>
      <c r="C87" s="2" t="inlineStr">
        <is>
          <t>二甲苯</t>
        </is>
      </c>
      <c r="D87" s="2" t="inlineStr">
        <is>
          <t>現場／檢測項目</t>
        </is>
      </c>
      <c r="E87" s="2" t="n"/>
      <c r="F87" s="2" t="inlineStr">
        <is>
          <t>mg/L</t>
        </is>
      </c>
      <c r="G87" s="2" t="inlineStr">
        <is>
          <t>是</t>
        </is>
      </c>
      <c r="H87" s="1">
        <f>IF(OR(A87="",B87=""),"",A87&amp;"|"&amp;B87)</f>
        <v/>
      </c>
      <c r="I87" s="33">
        <f>IF(COUNTA(A87:G87)=0,"",IF(OR(A87="",B87="",F87="",G87=""),"缺必要欄位",IF(COUNTIFS(DB_04[測項鍵],H87)&gt;1,"測項鍵重複","OK")))</f>
        <v/>
      </c>
      <c r="P87" s="8" t="n"/>
      <c r="S87" s="8" t="n"/>
      <c r="T87" s="8" t="n"/>
      <c r="U87" s="8" t="n"/>
    </row>
    <row r="88" ht="24.95" customHeight="1">
      <c r="A88" s="2" t="inlineStr">
        <is>
          <t>系統水</t>
        </is>
      </c>
      <c r="B88" s="2" t="inlineStr">
        <is>
          <t>總有機碳</t>
        </is>
      </c>
      <c r="C88" s="2" t="n"/>
      <c r="D88" s="2" t="inlineStr">
        <is>
          <t>現場／檢測項目</t>
        </is>
      </c>
      <c r="E88" s="2" t="n"/>
      <c r="F88" s="2" t="inlineStr">
        <is>
          <t>mg/L</t>
        </is>
      </c>
      <c r="G88" s="2" t="inlineStr">
        <is>
          <t>是</t>
        </is>
      </c>
      <c r="H88" s="1">
        <f>IF(OR(A88="",B88=""),"",A88&amp;"|"&amp;B88)</f>
        <v/>
      </c>
      <c r="I88" s="33">
        <f>IF(COUNTA(A88:G88)=0,"",IF(OR(A88="",B88="",F88="",G88=""),"缺必要欄位",IF(COUNTIFS(DB_04[測項鍵],H88)&gt;1,"測項鍵重複","OK")))</f>
        <v/>
      </c>
      <c r="P88" s="8" t="n"/>
      <c r="S88" s="8" t="n"/>
      <c r="T88" s="8" t="n"/>
      <c r="U88" s="8" t="n"/>
    </row>
    <row r="89" ht="24.95" customHeight="1">
      <c r="A89" s="2" t="inlineStr">
        <is>
          <t>系統水</t>
        </is>
      </c>
      <c r="B89" s="2" t="inlineStr">
        <is>
          <t>氯鹽</t>
        </is>
      </c>
      <c r="C89" s="2" t="n"/>
      <c r="D89" s="2" t="inlineStr">
        <is>
          <t>現場／檢測項目</t>
        </is>
      </c>
      <c r="E89" s="2" t="n"/>
      <c r="F89" s="2" t="inlineStr">
        <is>
          <t>mg/L</t>
        </is>
      </c>
      <c r="G89" s="2" t="inlineStr">
        <is>
          <t>是</t>
        </is>
      </c>
      <c r="H89" s="1">
        <f>IF(OR(A89="",B89=""),"",A89&amp;"|"&amp;B89)</f>
        <v/>
      </c>
      <c r="I89" s="33">
        <f>IF(COUNTA(A89:G89)=0,"",IF(OR(A89="",B89="",F89="",G89=""),"缺必要欄位",IF(COUNTIFS(DB_04[測項鍵],H89)&gt;1,"測項鍵重複","OK")))</f>
        <v/>
      </c>
      <c r="P89" s="8" t="n"/>
      <c r="S89" s="8" t="n"/>
      <c r="T89" s="8" t="n"/>
      <c r="U89" s="8" t="n"/>
    </row>
    <row r="90" ht="24.95" customHeight="1">
      <c r="A90" s="2" t="inlineStr">
        <is>
          <t>地下水</t>
        </is>
      </c>
      <c r="B90" s="2" t="inlineStr">
        <is>
          <t>土氣測量</t>
        </is>
      </c>
      <c r="C90" s="2" t="n"/>
      <c r="D90" s="2" t="inlineStr">
        <is>
          <t>現場／檢測項目</t>
        </is>
      </c>
      <c r="E90" s="2" t="n"/>
      <c r="F90" s="2" t="inlineStr">
        <is>
          <t>ppmV</t>
        </is>
      </c>
      <c r="G90" s="2" t="inlineStr">
        <is>
          <t>是</t>
        </is>
      </c>
      <c r="H90" s="1">
        <f>IF(OR(A90="",B90=""),"",A90&amp;"|"&amp;B90)</f>
        <v/>
      </c>
      <c r="I90" s="33">
        <f>IF(COUNTA(A90:G90)=0,"",IF(OR(A90="",B90="",F90="",G90=""),"缺必要欄位",IF(COUNTIFS(DB_04[測項鍵],H90)&gt;1,"測項鍵重複","OK")))</f>
        <v/>
      </c>
      <c r="P90" s="8" t="n"/>
      <c r="S90" s="8" t="n"/>
      <c r="T90" s="8" t="n"/>
      <c r="U90" s="8" t="n"/>
    </row>
    <row r="91" ht="24.95" customHeight="1">
      <c r="A91" s="2" t="inlineStr">
        <is>
          <t>地下水</t>
        </is>
      </c>
      <c r="B91" s="2" t="inlineStr">
        <is>
          <t>井深</t>
        </is>
      </c>
      <c r="C91" s="2" t="n"/>
      <c r="D91" s="2" t="inlineStr">
        <is>
          <t>現場／檢測項目</t>
        </is>
      </c>
      <c r="E91" s="2" t="n"/>
      <c r="F91" s="2" t="inlineStr">
        <is>
          <t>m</t>
        </is>
      </c>
      <c r="G91" s="2" t="inlineStr">
        <is>
          <t>是</t>
        </is>
      </c>
      <c r="H91" s="1">
        <f>IF(OR(A91="",B91=""),"",A91&amp;"|"&amp;B91)</f>
        <v/>
      </c>
      <c r="I91" s="33">
        <f>IF(COUNTA(A91:G91)=0,"",IF(OR(A91="",B91="",F91="",G91=""),"缺必要欄位",IF(COUNTIFS(DB_04[測項鍵],H91)&gt;1,"測項鍵重複","OK")))</f>
        <v/>
      </c>
      <c r="P91" s="8" t="n"/>
      <c r="S91" s="8" t="n"/>
      <c r="T91" s="8" t="n"/>
      <c r="U91" s="8" t="n"/>
    </row>
    <row r="92" ht="24.95" customHeight="1">
      <c r="A92" s="2" t="inlineStr">
        <is>
          <t>地下水</t>
        </is>
      </c>
      <c r="B92" s="2" t="inlineStr">
        <is>
          <t>二甲苯</t>
        </is>
      </c>
      <c r="C92" s="2" t="n"/>
      <c r="D92" s="2" t="inlineStr">
        <is>
          <t>單環芳香族碳氫化合物</t>
        </is>
      </c>
      <c r="E92" s="2" t="n"/>
      <c r="F92" s="2" t="inlineStr">
        <is>
          <t>mg/L</t>
        </is>
      </c>
      <c r="G92" s="2" t="inlineStr">
        <is>
          <t>是</t>
        </is>
      </c>
      <c r="H92" s="1">
        <f>IF(OR(A92="",B92=""),"",A92&amp;"|"&amp;B92)</f>
        <v/>
      </c>
      <c r="I92" s="33">
        <f>IF(COUNTA(A92:G92)=0,"",IF(OR(A92="",B92="",F92="",G92=""),"缺必要欄位",IF(COUNTIFS(DB_04[測項鍵],H92)&gt;1,"測項鍵重複","OK")))</f>
        <v/>
      </c>
      <c r="P92" s="8" t="n"/>
      <c r="S92" s="8" t="n"/>
      <c r="T92" s="8" t="n"/>
      <c r="U92" s="8" t="n"/>
    </row>
    <row r="93" ht="24.95" customHeight="1">
      <c r="A93" s="2" t="inlineStr">
        <is>
          <t>地下水</t>
        </is>
      </c>
      <c r="B93" s="2" t="inlineStr">
        <is>
          <t>氯仿</t>
        </is>
      </c>
      <c r="C93" s="2" t="n"/>
      <c r="D93" s="2" t="inlineStr">
        <is>
          <t>氯化碳氫化合物</t>
        </is>
      </c>
      <c r="E93" s="2" t="n"/>
      <c r="F93" s="2" t="inlineStr">
        <is>
          <t>mg/L</t>
        </is>
      </c>
      <c r="G93" s="2" t="inlineStr">
        <is>
          <t>是</t>
        </is>
      </c>
      <c r="H93" s="1">
        <f>IF(OR(A93="",B93=""),"",A93&amp;"|"&amp;B93)</f>
        <v/>
      </c>
      <c r="I93" s="33">
        <f>IF(COUNTA(A93:G93)=0,"",IF(OR(A93="",B93="",F93="",G93=""),"缺必要欄位",IF(COUNTIFS(DB_04[測項鍵],H93)&gt;1,"測項鍵重複","OK")))</f>
        <v/>
      </c>
      <c r="P93" s="8" t="n"/>
      <c r="S93" s="8" t="n"/>
      <c r="T93" s="8" t="n"/>
      <c r="U93" s="8" t="n"/>
    </row>
    <row r="94" ht="24.95" customHeight="1">
      <c r="A94" s="2" t="inlineStr">
        <is>
          <t>地下水</t>
        </is>
      </c>
      <c r="B94" s="2" t="inlineStr">
        <is>
          <t>2,4,5-三氯酚</t>
        </is>
      </c>
      <c r="C94" s="2" t="n"/>
      <c r="D94" s="2" t="inlineStr">
        <is>
          <t>氯化碳氫化合物</t>
        </is>
      </c>
      <c r="E94" s="2" t="n"/>
      <c r="F94" s="2" t="inlineStr">
        <is>
          <t>mg/L</t>
        </is>
      </c>
      <c r="G94" s="2" t="inlineStr">
        <is>
          <t>是</t>
        </is>
      </c>
      <c r="H94" s="1">
        <f>IF(OR(A94="",B94=""),"",A94&amp;"|"&amp;B94)</f>
        <v/>
      </c>
      <c r="I94" s="33">
        <f>IF(COUNTA(A94:G94)=0,"",IF(OR(A94="",B94="",F94="",G94=""),"缺必要欄位",IF(COUNTIFS(DB_04[測項鍵],H94)&gt;1,"測項鍵重複","OK")))</f>
        <v/>
      </c>
      <c r="P94" s="8" t="n"/>
      <c r="S94" s="8" t="n"/>
      <c r="T94" s="8" t="n"/>
      <c r="U94" s="8" t="n"/>
    </row>
    <row r="95" ht="24.95" customHeight="1">
      <c r="A95" s="2" t="inlineStr">
        <is>
          <t>地下水</t>
        </is>
      </c>
      <c r="B95" s="2" t="inlineStr">
        <is>
          <t>2,4,6-三氯酚</t>
        </is>
      </c>
      <c r="C95" s="2" t="n"/>
      <c r="D95" s="2" t="inlineStr">
        <is>
          <t>氯化碳氫化合物</t>
        </is>
      </c>
      <c r="E95" s="2" t="n"/>
      <c r="F95" s="2" t="inlineStr">
        <is>
          <t>mg/L</t>
        </is>
      </c>
      <c r="G95" s="2" t="inlineStr">
        <is>
          <t>是</t>
        </is>
      </c>
      <c r="H95" s="1">
        <f>IF(OR(A95="",B95=""),"",A95&amp;"|"&amp;B95)</f>
        <v/>
      </c>
      <c r="I95" s="33">
        <f>IF(COUNTA(A95:G95)=0,"",IF(OR(A95="",B95="",F95="",G95=""),"缺必要欄位",IF(COUNTIFS(DB_04[測項鍵],H95)&gt;1,"測項鍵重複","OK")))</f>
        <v/>
      </c>
      <c r="P95" s="8" t="n"/>
      <c r="S95" s="8" t="n"/>
      <c r="T95" s="8" t="n"/>
      <c r="U95" s="8" t="n"/>
    </row>
    <row r="96" ht="24.95" customHeight="1">
      <c r="A96" s="2" t="inlineStr">
        <is>
          <t>地下水</t>
        </is>
      </c>
      <c r="B96" s="2" t="inlineStr">
        <is>
          <t>五氯酚</t>
        </is>
      </c>
      <c r="C96" s="2" t="n"/>
      <c r="D96" s="2" t="inlineStr">
        <is>
          <t>氯化碳氫化合物</t>
        </is>
      </c>
      <c r="E96" s="2" t="n"/>
      <c r="F96" s="2" t="inlineStr">
        <is>
          <t>mg/L</t>
        </is>
      </c>
      <c r="G96" s="2" t="inlineStr">
        <is>
          <t>是</t>
        </is>
      </c>
      <c r="H96" s="1">
        <f>IF(OR(A96="",B96=""),"",A96&amp;"|"&amp;B96)</f>
        <v/>
      </c>
      <c r="I96" s="33">
        <f>IF(COUNTA(A96:G96)=0,"",IF(OR(A96="",B96="",F96="",G96=""),"缺必要欄位",IF(COUNTIFS(DB_04[測項鍵],H96)&gt;1,"測項鍵重複","OK")))</f>
        <v/>
      </c>
      <c r="P96" s="8" t="n"/>
      <c r="S96" s="8" t="n"/>
      <c r="T96" s="8" t="n"/>
      <c r="U96" s="8" t="n"/>
    </row>
    <row r="97" ht="24.95" customHeight="1">
      <c r="A97" s="2" t="inlineStr">
        <is>
          <t>地下水</t>
        </is>
      </c>
      <c r="B97" s="2" t="inlineStr">
        <is>
          <t>3,3’-二氯聯苯胺</t>
        </is>
      </c>
      <c r="C97" s="2" t="n"/>
      <c r="D97" s="2" t="inlineStr">
        <is>
          <t>氯化碳氫化合物</t>
        </is>
      </c>
      <c r="E97" s="2" t="n"/>
      <c r="F97" s="2" t="inlineStr">
        <is>
          <t>mg/L</t>
        </is>
      </c>
      <c r="G97" s="2" t="inlineStr">
        <is>
          <t>是</t>
        </is>
      </c>
      <c r="H97" s="1">
        <f>IF(OR(A97="",B97=""),"",A97&amp;"|"&amp;B97)</f>
        <v/>
      </c>
      <c r="I97" s="33">
        <f>IF(COUNTA(A97:G97)=0,"",IF(OR(A97="",B97="",F97="",G97=""),"缺必要欄位",IF(COUNTIFS(DB_04[測項鍵],H97)&gt;1,"測項鍵重複","OK")))</f>
        <v/>
      </c>
      <c r="P97" s="8" t="n"/>
      <c r="S97" s="8" t="n"/>
      <c r="T97" s="8" t="n"/>
      <c r="U97" s="8" t="n"/>
    </row>
    <row r="98" ht="24.95" customHeight="1">
      <c r="A98" s="2" t="inlineStr">
        <is>
          <t>地下水</t>
        </is>
      </c>
      <c r="B98" s="2" t="inlineStr">
        <is>
          <t>2,4-地</t>
        </is>
      </c>
      <c r="C98" s="2" t="n"/>
      <c r="D98" s="2" t="inlineStr">
        <is>
          <t>農藥</t>
        </is>
      </c>
      <c r="E98" s="2" t="n"/>
      <c r="F98" s="2" t="inlineStr">
        <is>
          <t>mg/L</t>
        </is>
      </c>
      <c r="G98" s="2" t="inlineStr">
        <is>
          <t>是</t>
        </is>
      </c>
      <c r="H98" s="1">
        <f>IF(OR(A98="",B98=""),"",A98&amp;"|"&amp;B98)</f>
        <v/>
      </c>
      <c r="I98" s="33">
        <f>IF(COUNTA(A98:G98)=0,"",IF(OR(A98="",B98="",F98="",G98=""),"缺必要欄位",IF(COUNTIFS(DB_04[測項鍵],H98)&gt;1,"測項鍵重複","OK")))</f>
        <v/>
      </c>
      <c r="P98" s="8" t="n"/>
      <c r="S98" s="8" t="n"/>
      <c r="T98" s="8" t="n"/>
      <c r="U98" s="8" t="n"/>
    </row>
    <row r="99" ht="24.95" customHeight="1">
      <c r="A99" s="2" t="inlineStr">
        <is>
          <t>地下水</t>
        </is>
      </c>
      <c r="B99" s="2" t="inlineStr">
        <is>
          <t>加保扶</t>
        </is>
      </c>
      <c r="C99" s="2" t="n"/>
      <c r="D99" s="2" t="inlineStr">
        <is>
          <t>農藥</t>
        </is>
      </c>
      <c r="E99" s="2" t="n"/>
      <c r="F99" s="2" t="inlineStr">
        <is>
          <t>mg/L</t>
        </is>
      </c>
      <c r="G99" s="2" t="inlineStr">
        <is>
          <t>是</t>
        </is>
      </c>
      <c r="H99" s="1">
        <f>IF(OR(A99="",B99=""),"",A99&amp;"|"&amp;B99)</f>
        <v/>
      </c>
      <c r="I99" s="33">
        <f>IF(COUNTA(A99:G99)=0,"",IF(OR(A99="",B99="",F99="",G99=""),"缺必要欄位",IF(COUNTIFS(DB_04[測項鍵],H99)&gt;1,"測項鍵重複","OK")))</f>
        <v/>
      </c>
      <c r="P99" s="8" t="n"/>
      <c r="S99" s="8" t="n"/>
      <c r="T99" s="8" t="n"/>
      <c r="U99" s="8" t="n"/>
    </row>
    <row r="100" ht="24.95" customHeight="1">
      <c r="A100" s="2" t="inlineStr">
        <is>
          <t>地下水</t>
        </is>
      </c>
      <c r="B100" s="2" t="inlineStr">
        <is>
          <t>可氯丹</t>
        </is>
      </c>
      <c r="C100" s="2" t="n"/>
      <c r="D100" s="2" t="inlineStr">
        <is>
          <t>農藥</t>
        </is>
      </c>
      <c r="E100" s="2" t="n"/>
      <c r="F100" s="2" t="inlineStr">
        <is>
          <t>mg/L</t>
        </is>
      </c>
      <c r="G100" s="2" t="inlineStr">
        <is>
          <t>是</t>
        </is>
      </c>
      <c r="H100" s="1">
        <f>IF(OR(A100="",B100=""),"",A100&amp;"|"&amp;B100)</f>
        <v/>
      </c>
      <c r="I100" s="33">
        <f>IF(COUNTA(A100:G100)=0,"",IF(OR(A100="",B100="",F100="",G100=""),"缺必要欄位",IF(COUNTIFS(DB_04[測項鍵],H100)&gt;1,"測項鍵重複","OK")))</f>
        <v/>
      </c>
      <c r="P100" s="8" t="n"/>
      <c r="S100" s="8" t="n"/>
      <c r="T100" s="8" t="n"/>
      <c r="U100" s="8" t="n"/>
    </row>
    <row r="101" ht="24.95" customHeight="1">
      <c r="A101" s="2" t="inlineStr">
        <is>
          <t>地下水</t>
        </is>
      </c>
      <c r="B101" s="2" t="inlineStr">
        <is>
          <t>大利松</t>
        </is>
      </c>
      <c r="C101" s="2" t="n"/>
      <c r="D101" s="2" t="inlineStr">
        <is>
          <t>農藥</t>
        </is>
      </c>
      <c r="E101" s="2" t="n"/>
      <c r="F101" s="2" t="inlineStr">
        <is>
          <t>mg/L</t>
        </is>
      </c>
      <c r="G101" s="2" t="inlineStr">
        <is>
          <t>是</t>
        </is>
      </c>
      <c r="H101" s="1">
        <f>IF(OR(A101="",B101=""),"",A101&amp;"|"&amp;B101)</f>
        <v/>
      </c>
      <c r="I101" s="33">
        <f>IF(COUNTA(A101:G101)=0,"",IF(OR(A101="",B101="",F101="",G101=""),"缺必要欄位",IF(COUNTIFS(DB_04[測項鍵],H101)&gt;1,"測項鍵重複","OK")))</f>
        <v/>
      </c>
      <c r="P101" s="8" t="n"/>
      <c r="S101" s="8" t="n"/>
      <c r="T101" s="8" t="n"/>
      <c r="U101" s="8" t="n"/>
    </row>
    <row r="102" ht="15" customHeight="1">
      <c r="A102" s="2" t="inlineStr">
        <is>
          <t>地下水</t>
        </is>
      </c>
      <c r="B102" s="2" t="inlineStr">
        <is>
          <t>達馬松</t>
        </is>
      </c>
      <c r="C102" s="2" t="n"/>
      <c r="D102" s="2" t="inlineStr">
        <is>
          <t>農藥</t>
        </is>
      </c>
      <c r="E102" s="2" t="n"/>
      <c r="F102" s="2" t="inlineStr">
        <is>
          <t>mg/L</t>
        </is>
      </c>
      <c r="G102" s="2" t="inlineStr">
        <is>
          <t>是</t>
        </is>
      </c>
      <c r="H102" s="1">
        <f>IF(OR(A102="",B102=""),"",A102&amp;"|"&amp;B102)</f>
        <v/>
      </c>
      <c r="I102" s="33">
        <f>IF(COUNTA(A102:G102)=0,"",IF(OR(A102="",B102="",F102="",G102=""),"缺必要欄位",IF(COUNTIFS(DB_04[測項鍵],H102)&gt;1,"測項鍵重複","OK")))</f>
        <v/>
      </c>
    </row>
    <row r="103" ht="15" customHeight="1">
      <c r="A103" s="2" t="inlineStr">
        <is>
          <t>地下水</t>
        </is>
      </c>
      <c r="B103" s="2" t="inlineStr">
        <is>
          <t>巴拉刈</t>
        </is>
      </c>
      <c r="C103" s="2" t="n"/>
      <c r="D103" s="2" t="inlineStr">
        <is>
          <t>農藥</t>
        </is>
      </c>
      <c r="E103" s="2" t="n"/>
      <c r="F103" s="2" t="inlineStr">
        <is>
          <t>mg/L</t>
        </is>
      </c>
      <c r="G103" s="2" t="inlineStr">
        <is>
          <t>是</t>
        </is>
      </c>
      <c r="H103" s="1">
        <f>IF(OR(A103="",B103=""),"",A103&amp;"|"&amp;B103)</f>
        <v/>
      </c>
      <c r="I103" s="33">
        <f>IF(COUNTA(A103:G103)=0,"",IF(OR(A103="",B103="",F103="",G103=""),"缺必要欄位",IF(COUNTIFS(DB_04[測項鍵],H103)&gt;1,"測項鍵重複","OK")))</f>
        <v/>
      </c>
    </row>
    <row r="104" ht="15" customHeight="1">
      <c r="A104" s="2" t="inlineStr">
        <is>
          <t>地下水</t>
        </is>
      </c>
      <c r="B104" s="2" t="inlineStr">
        <is>
          <t>巴拉松</t>
        </is>
      </c>
      <c r="C104" s="2" t="n"/>
      <c r="D104" s="2" t="inlineStr">
        <is>
          <t>農藥</t>
        </is>
      </c>
      <c r="E104" s="2" t="n"/>
      <c r="F104" s="2" t="inlineStr">
        <is>
          <t>mg/L</t>
        </is>
      </c>
      <c r="G104" s="2" t="inlineStr">
        <is>
          <t>是</t>
        </is>
      </c>
      <c r="H104" s="1">
        <f>IF(OR(A104="",B104=""),"",A104&amp;"|"&amp;B104)</f>
        <v/>
      </c>
      <c r="I104" s="33">
        <f>IF(COUNTA(A104:G104)=0,"",IF(OR(A104="",B104="",F104="",G104=""),"缺必要欄位",IF(COUNTIFS(DB_04[測項鍵],H104)&gt;1,"測項鍵重複","OK")))</f>
        <v/>
      </c>
    </row>
    <row r="105" ht="15" customHeight="1">
      <c r="A105" s="2" t="inlineStr">
        <is>
          <t>地下水</t>
        </is>
      </c>
      <c r="B105" s="2" t="inlineStr">
        <is>
          <t>毒殺芬</t>
        </is>
      </c>
      <c r="C105" s="2" t="n"/>
      <c r="D105" s="2" t="inlineStr">
        <is>
          <t>農藥</t>
        </is>
      </c>
      <c r="E105" s="2" t="n"/>
      <c r="F105" s="2" t="inlineStr">
        <is>
          <t>mg/L</t>
        </is>
      </c>
      <c r="G105" s="2" t="inlineStr">
        <is>
          <t>是</t>
        </is>
      </c>
      <c r="H105" s="1">
        <f>IF(OR(A105="",B105=""),"",A105&amp;"|"&amp;B105)</f>
        <v/>
      </c>
      <c r="I105" s="33">
        <f>IF(COUNTA(A105:G105)=0,"",IF(OR(A105="",B105="",F105="",G105=""),"缺必要欄位",IF(COUNTIFS(DB_04[測項鍵],H105)&gt;1,"測項鍵重複","OK")))</f>
        <v/>
      </c>
    </row>
    <row r="106" ht="15" customHeight="1">
      <c r="A106" s="2" t="inlineStr">
        <is>
          <t>地下水</t>
        </is>
      </c>
      <c r="B106" s="2" t="inlineStr">
        <is>
          <t>銦</t>
        </is>
      </c>
      <c r="C106" s="2" t="n"/>
      <c r="D106" s="2" t="inlineStr">
        <is>
          <t>重金屬</t>
        </is>
      </c>
      <c r="E106" s="2" t="n"/>
      <c r="F106" s="2" t="inlineStr">
        <is>
          <t>mg/L</t>
        </is>
      </c>
      <c r="G106" s="2" t="inlineStr">
        <is>
          <t>是</t>
        </is>
      </c>
      <c r="H106" s="1">
        <f>IF(OR(A106="",B106=""),"",A106&amp;"|"&amp;B106)</f>
        <v/>
      </c>
      <c r="I106" s="33">
        <f>IF(COUNTA(A106:G106)=0,"",IF(OR(A106="",B106="",F106="",G106=""),"缺必要欄位",IF(COUNTIFS(DB_04[測項鍵],H106)&gt;1,"測項鍵重複","OK")))</f>
        <v/>
      </c>
    </row>
    <row r="107" ht="15" customHeight="1">
      <c r="A107" s="2" t="inlineStr">
        <is>
          <t>地下水</t>
        </is>
      </c>
      <c r="B107" s="2" t="inlineStr">
        <is>
          <t>鉬</t>
        </is>
      </c>
      <c r="C107" s="2" t="n"/>
      <c r="D107" s="2" t="inlineStr">
        <is>
          <t>重金屬</t>
        </is>
      </c>
      <c r="E107" s="2" t="n"/>
      <c r="F107" s="2" t="inlineStr">
        <is>
          <t>mg/L</t>
        </is>
      </c>
      <c r="G107" s="2" t="inlineStr">
        <is>
          <t>是</t>
        </is>
      </c>
      <c r="H107" s="1">
        <f>IF(OR(A107="",B107=""),"",A107&amp;"|"&amp;B107)</f>
        <v/>
      </c>
      <c r="I107" s="33">
        <f>IF(COUNTA(A107:G107)=0,"",IF(OR(A107="",B107="",F107="",G107=""),"缺必要欄位",IF(COUNTIFS(DB_04[測項鍵],H107)&gt;1,"測項鍵重複","OK")))</f>
        <v/>
      </c>
    </row>
    <row r="108" ht="15" customHeight="1">
      <c r="A108" s="2" t="inlineStr">
        <is>
          <t>地下水</t>
        </is>
      </c>
      <c r="B108" s="2" t="inlineStr">
        <is>
          <t>氟鹽</t>
        </is>
      </c>
      <c r="C108" s="2" t="n"/>
      <c r="D108" s="2" t="inlineStr">
        <is>
          <t>一般項目</t>
        </is>
      </c>
      <c r="E108" s="2" t="n"/>
      <c r="F108" s="2" t="inlineStr">
        <is>
          <t>mg/L</t>
        </is>
      </c>
      <c r="G108" s="2" t="inlineStr">
        <is>
          <t>是</t>
        </is>
      </c>
      <c r="H108" s="1">
        <f>IF(OR(A108="",B108=""),"",A108&amp;"|"&amp;B108)</f>
        <v/>
      </c>
      <c r="I108" s="33">
        <f>IF(COUNTA(A108:G108)=0,"",IF(OR(A108="",B108="",F108="",G108=""),"缺必要欄位",IF(COUNTIFS(DB_04[測項鍵],H108)&gt;1,"測項鍵重複","OK")))</f>
        <v/>
      </c>
    </row>
    <row r="109" ht="15" customHeight="1">
      <c r="A109" s="2" t="inlineStr">
        <is>
          <t>地下水</t>
        </is>
      </c>
      <c r="B109" s="2" t="inlineStr">
        <is>
          <t>氰化物</t>
        </is>
      </c>
      <c r="C109" s="2" t="n"/>
      <c r="D109" s="2" t="inlineStr">
        <is>
          <t>其他污染物</t>
        </is>
      </c>
      <c r="E109" s="2" t="n"/>
      <c r="F109" s="2" t="inlineStr">
        <is>
          <t>mg/L</t>
        </is>
      </c>
      <c r="G109" s="2" t="inlineStr">
        <is>
          <t>是</t>
        </is>
      </c>
      <c r="H109" s="1">
        <f>IF(OR(A109="",B109=""),"",A109&amp;"|"&amp;B109)</f>
        <v/>
      </c>
      <c r="I109" s="33">
        <f>IF(COUNTA(A109:G109)=0,"",IF(OR(A109="",B109="",F109="",G109=""),"缺必要欄位",IF(COUNTIFS(DB_04[測項鍵],H109)&gt;1,"測項鍵重複","OK")))</f>
        <v/>
      </c>
    </row>
    <row r="110" ht="15" customHeight="1">
      <c r="A110" s="2" t="inlineStr">
        <is>
          <t>地下水</t>
        </is>
      </c>
      <c r="B110" s="2" t="inlineStr">
        <is>
          <t>鐵</t>
        </is>
      </c>
      <c r="C110" s="2" t="n"/>
      <c r="D110" s="2" t="inlineStr">
        <is>
          <t>背景與指標水質</t>
        </is>
      </c>
      <c r="E110" s="2" t="n"/>
      <c r="F110" s="2" t="inlineStr">
        <is>
          <t>mg/L</t>
        </is>
      </c>
      <c r="G110" s="2" t="inlineStr">
        <is>
          <t>是</t>
        </is>
      </c>
      <c r="H110" s="1">
        <f>IF(OR(A110="",B110=""),"",A110&amp;"|"&amp;B110)</f>
        <v/>
      </c>
      <c r="I110" s="33">
        <f>IF(COUNTA(A110:G110)=0,"",IF(OR(A110="",B110="",F110="",G110=""),"缺必要欄位",IF(COUNTIFS(DB_04[測項鍵],H110)&gt;1,"測項鍵重複","OK")))</f>
        <v/>
      </c>
    </row>
    <row r="111" ht="15" customHeight="1">
      <c r="A111" s="2" t="inlineStr">
        <is>
          <t>地下水</t>
        </is>
      </c>
      <c r="B111" s="2" t="inlineStr">
        <is>
          <t>錳</t>
        </is>
      </c>
      <c r="C111" s="2" t="n"/>
      <c r="D111" s="2" t="inlineStr">
        <is>
          <t>背景與指標水質</t>
        </is>
      </c>
      <c r="E111" s="2" t="n"/>
      <c r="F111" s="2" t="inlineStr">
        <is>
          <t>mg/L</t>
        </is>
      </c>
      <c r="G111" s="2" t="inlineStr">
        <is>
          <t>是</t>
        </is>
      </c>
      <c r="H111" s="1">
        <f>IF(OR(A111="",B111=""),"",A111&amp;"|"&amp;B111)</f>
        <v/>
      </c>
      <c r="I111" s="33">
        <f>IF(COUNTA(A111:G111)=0,"",IF(OR(A111="",B111="",F111="",G111=""),"缺必要欄位",IF(COUNTIFS(DB_04[測項鍵],H111)&gt;1,"測項鍵重複","OK")))</f>
        <v/>
      </c>
    </row>
    <row r="112" ht="15" customHeight="1">
      <c r="A112" s="2" t="inlineStr">
        <is>
          <t>地下水</t>
        </is>
      </c>
      <c r="B112" s="2" t="inlineStr">
        <is>
          <t>總酚</t>
        </is>
      </c>
      <c r="C112" s="2" t="n"/>
      <c r="D112" s="2" t="inlineStr">
        <is>
          <t>背景與指標水質</t>
        </is>
      </c>
      <c r="E112" s="2" t="n"/>
      <c r="F112" s="2" t="inlineStr">
        <is>
          <t>mg/L</t>
        </is>
      </c>
      <c r="G112" s="2" t="inlineStr">
        <is>
          <t>是</t>
        </is>
      </c>
      <c r="H112" s="1">
        <f>IF(OR(A112="",B112=""),"",A112&amp;"|"&amp;B112)</f>
        <v/>
      </c>
      <c r="I112" s="33">
        <f>IF(COUNTA(A112:G112)=0,"",IF(OR(A112="",B112="",F112="",G112=""),"缺必要欄位",IF(COUNTIFS(DB_04[測項鍵],H112)&gt;1,"測項鍵重複","OK")))</f>
        <v/>
      </c>
    </row>
    <row r="113" ht="15" customHeight="1">
      <c r="A113" s="2" t="inlineStr">
        <is>
          <t>土壤</t>
        </is>
      </c>
      <c r="B113" s="2" t="inlineStr">
        <is>
          <t>砷</t>
        </is>
      </c>
      <c r="C113" s="2" t="n"/>
      <c r="D113" s="2" t="inlineStr">
        <is>
          <t>重金屬</t>
        </is>
      </c>
      <c r="E113" s="2" t="n"/>
      <c r="F113" s="2" t="inlineStr">
        <is>
          <t>mg/kg</t>
        </is>
      </c>
      <c r="G113" s="2" t="inlineStr">
        <is>
          <t>是</t>
        </is>
      </c>
      <c r="H113" s="1">
        <f>IF(OR(A113="",B113=""),"",A113&amp;"|"&amp;B113)</f>
        <v/>
      </c>
      <c r="I113" s="33">
        <f>IF(COUNTA(A113:G113)=0,"",IF(OR(A113="",B113="",F113="",G113=""),"缺必要欄位",IF(COUNTIFS(DB_04[測項鍵],H113)&gt;1,"測項鍵重複","OK")))</f>
        <v/>
      </c>
    </row>
    <row r="114" ht="15" customHeight="1">
      <c r="A114" s="2" t="inlineStr">
        <is>
          <t>土壤</t>
        </is>
      </c>
      <c r="B114" s="2" t="inlineStr">
        <is>
          <t>鎘</t>
        </is>
      </c>
      <c r="C114" s="2" t="n"/>
      <c r="D114" s="2" t="inlineStr">
        <is>
          <t>重金屬</t>
        </is>
      </c>
      <c r="E114" s="2" t="n"/>
      <c r="F114" s="2" t="inlineStr">
        <is>
          <t>mg/kg</t>
        </is>
      </c>
      <c r="G114" s="2" t="inlineStr">
        <is>
          <t>是</t>
        </is>
      </c>
      <c r="H114" s="1">
        <f>IF(OR(A114="",B114=""),"",A114&amp;"|"&amp;B114)</f>
        <v/>
      </c>
      <c r="I114" s="33">
        <f>IF(COUNTA(A114:G114)=0,"",IF(OR(A114="",B114="",F114="",G114=""),"缺必要欄位",IF(COUNTIFS(DB_04[測項鍵],H114)&gt;1,"測項鍵重複","OK")))</f>
        <v/>
      </c>
    </row>
    <row r="115" ht="15" customHeight="1">
      <c r="A115" s="2" t="inlineStr">
        <is>
          <t>土壤</t>
        </is>
      </c>
      <c r="B115" s="2" t="inlineStr">
        <is>
          <t>鉻</t>
        </is>
      </c>
      <c r="C115" s="2" t="n"/>
      <c r="D115" s="2" t="inlineStr">
        <is>
          <t>重金屬</t>
        </is>
      </c>
      <c r="E115" s="2" t="n"/>
      <c r="F115" s="2" t="inlineStr">
        <is>
          <t>mg/kg</t>
        </is>
      </c>
      <c r="G115" s="2" t="inlineStr">
        <is>
          <t>是</t>
        </is>
      </c>
      <c r="H115" s="1">
        <f>IF(OR(A115="",B115=""),"",A115&amp;"|"&amp;B115)</f>
        <v/>
      </c>
      <c r="I115" s="33">
        <f>IF(COUNTA(A115:G115)=0,"",IF(OR(A115="",B115="",F115="",G115=""),"缺必要欄位",IF(COUNTIFS(DB_04[測項鍵],H115)&gt;1,"測項鍵重複","OK")))</f>
        <v/>
      </c>
    </row>
    <row r="116" ht="15" customHeight="1">
      <c r="A116" s="2" t="inlineStr">
        <is>
          <t>土壤</t>
        </is>
      </c>
      <c r="B116" s="2" t="inlineStr">
        <is>
          <t>銅</t>
        </is>
      </c>
      <c r="C116" s="2" t="n"/>
      <c r="D116" s="2" t="inlineStr">
        <is>
          <t>重金屬</t>
        </is>
      </c>
      <c r="E116" s="2" t="n"/>
      <c r="F116" s="2" t="inlineStr">
        <is>
          <t>mg/kg</t>
        </is>
      </c>
      <c r="G116" s="2" t="inlineStr">
        <is>
          <t>是</t>
        </is>
      </c>
      <c r="H116" s="1">
        <f>IF(OR(A116="",B116=""),"",A116&amp;"|"&amp;B116)</f>
        <v/>
      </c>
      <c r="I116" s="33">
        <f>IF(COUNTA(A116:G116)=0,"",IF(OR(A116="",B116="",F116="",G116=""),"缺必要欄位",IF(COUNTIFS(DB_04[測項鍵],H116)&gt;1,"測項鍵重複","OK")))</f>
        <v/>
      </c>
    </row>
    <row r="117" ht="15" customHeight="1">
      <c r="A117" s="2" t="inlineStr">
        <is>
          <t>土壤</t>
        </is>
      </c>
      <c r="B117" s="2" t="inlineStr">
        <is>
          <t>汞</t>
        </is>
      </c>
      <c r="C117" s="2" t="n"/>
      <c r="D117" s="2" t="inlineStr">
        <is>
          <t>重金屬</t>
        </is>
      </c>
      <c r="E117" s="2" t="n"/>
      <c r="F117" s="2" t="inlineStr">
        <is>
          <t>mg/kg</t>
        </is>
      </c>
      <c r="G117" s="2" t="inlineStr">
        <is>
          <t>是</t>
        </is>
      </c>
      <c r="H117" s="1">
        <f>IF(OR(A117="",B117=""),"",A117&amp;"|"&amp;B117)</f>
        <v/>
      </c>
      <c r="I117" s="33">
        <f>IF(COUNTA(A117:G117)=0,"",IF(OR(A117="",B117="",F117="",G117=""),"缺必要欄位",IF(COUNTIFS(DB_04[測項鍵],H117)&gt;1,"測項鍵重複","OK")))</f>
        <v/>
      </c>
    </row>
    <row r="118" ht="15" customHeight="1">
      <c r="A118" s="2" t="inlineStr">
        <is>
          <t>土壤</t>
        </is>
      </c>
      <c r="B118" s="2" t="inlineStr">
        <is>
          <t>鎳</t>
        </is>
      </c>
      <c r="C118" s="2" t="n"/>
      <c r="D118" s="2" t="inlineStr">
        <is>
          <t>重金屬</t>
        </is>
      </c>
      <c r="E118" s="2" t="n"/>
      <c r="F118" s="2" t="inlineStr">
        <is>
          <t>mg/kg</t>
        </is>
      </c>
      <c r="G118" s="2" t="inlineStr">
        <is>
          <t>是</t>
        </is>
      </c>
      <c r="H118" s="1">
        <f>IF(OR(A118="",B118=""),"",A118&amp;"|"&amp;B118)</f>
        <v/>
      </c>
      <c r="I118" s="33">
        <f>IF(COUNTA(A118:G118)=0,"",IF(OR(A118="",B118="",F118="",G118=""),"缺必要欄位",IF(COUNTIFS(DB_04[測項鍵],H118)&gt;1,"測項鍵重複","OK")))</f>
        <v/>
      </c>
    </row>
    <row r="119" ht="15" customHeight="1">
      <c r="A119" s="2" t="inlineStr">
        <is>
          <t>土壤</t>
        </is>
      </c>
      <c r="B119" s="2" t="inlineStr">
        <is>
          <t>鉛</t>
        </is>
      </c>
      <c r="C119" s="2" t="n"/>
      <c r="D119" s="2" t="inlineStr">
        <is>
          <t>重金屬</t>
        </is>
      </c>
      <c r="E119" s="2" t="n"/>
      <c r="F119" s="2" t="inlineStr">
        <is>
          <t>mg/kg</t>
        </is>
      </c>
      <c r="G119" s="2" t="inlineStr">
        <is>
          <t>是</t>
        </is>
      </c>
      <c r="H119" s="1">
        <f>IF(OR(A119="",B119=""),"",A119&amp;"|"&amp;B119)</f>
        <v/>
      </c>
      <c r="I119" s="33">
        <f>IF(COUNTA(A119:G119)=0,"",IF(OR(A119="",B119="",F119="",G119=""),"缺必要欄位",IF(COUNTIFS(DB_04[測項鍵],H119)&gt;1,"測項鍵重複","OK")))</f>
        <v/>
      </c>
    </row>
    <row r="120" ht="15" customHeight="1">
      <c r="A120" s="2" t="inlineStr">
        <is>
          <t>土壤</t>
        </is>
      </c>
      <c r="B120" s="2" t="inlineStr">
        <is>
          <t>鋅</t>
        </is>
      </c>
      <c r="C120" s="2" t="n"/>
      <c r="D120" s="2" t="inlineStr">
        <is>
          <t>重金屬</t>
        </is>
      </c>
      <c r="E120" s="2" t="n"/>
      <c r="F120" s="2" t="inlineStr">
        <is>
          <t>mg/kg</t>
        </is>
      </c>
      <c r="G120" s="2" t="inlineStr">
        <is>
          <t>是</t>
        </is>
      </c>
      <c r="H120" s="1">
        <f>IF(OR(A120="",B120=""),"",A120&amp;"|"&amp;B120)</f>
        <v/>
      </c>
      <c r="I120" s="33">
        <f>IF(COUNTA(A120:G120)=0,"",IF(OR(A120="",B120="",F120="",G120=""),"缺必要欄位",IF(COUNTIFS(DB_04[測項鍵],H120)&gt;1,"測項鍵重複","OK")))</f>
        <v/>
      </c>
    </row>
    <row r="121" ht="15" customHeight="1">
      <c r="A121" s="2" t="inlineStr">
        <is>
          <t>土壤</t>
        </is>
      </c>
      <c r="B121" s="2" t="inlineStr">
        <is>
          <t>苯</t>
        </is>
      </c>
      <c r="C121" s="2" t="n"/>
      <c r="D121" s="2" t="inlineStr">
        <is>
          <t>有機化合物</t>
        </is>
      </c>
      <c r="E121" s="2" t="n"/>
      <c r="F121" s="2" t="inlineStr">
        <is>
          <t>mg/kg</t>
        </is>
      </c>
      <c r="G121" s="2" t="inlineStr">
        <is>
          <t>是</t>
        </is>
      </c>
      <c r="H121" s="1">
        <f>IF(OR(A121="",B121=""),"",A121&amp;"|"&amp;B121)</f>
        <v/>
      </c>
      <c r="I121" s="33">
        <f>IF(COUNTA(A121:G121)=0,"",IF(OR(A121="",B121="",F121="",G121=""),"缺必要欄位",IF(COUNTIFS(DB_04[測項鍵],H121)&gt;1,"測項鍵重複","OK")))</f>
        <v/>
      </c>
    </row>
    <row r="122" ht="15" customHeight="1">
      <c r="A122" s="2" t="inlineStr">
        <is>
          <t>土壤</t>
        </is>
      </c>
      <c r="B122" s="2" t="inlineStr">
        <is>
          <t>四氯化碳</t>
        </is>
      </c>
      <c r="C122" s="2" t="n"/>
      <c r="D122" s="2" t="inlineStr">
        <is>
          <t>有機化合物</t>
        </is>
      </c>
      <c r="E122" s="2" t="n"/>
      <c r="F122" s="2" t="inlineStr">
        <is>
          <t>mg/kg</t>
        </is>
      </c>
      <c r="G122" s="2" t="inlineStr">
        <is>
          <t>是</t>
        </is>
      </c>
      <c r="H122" s="1">
        <f>IF(OR(A122="",B122=""),"",A122&amp;"|"&amp;B122)</f>
        <v/>
      </c>
      <c r="I122" s="33">
        <f>IF(COUNTA(A122:G122)=0,"",IF(OR(A122="",B122="",F122="",G122=""),"缺必要欄位",IF(COUNTIFS(DB_04[測項鍵],H122)&gt;1,"測項鍵重複","OK")))</f>
        <v/>
      </c>
    </row>
    <row r="123" ht="15" customHeight="1">
      <c r="A123" s="2" t="inlineStr">
        <is>
          <t>土壤</t>
        </is>
      </c>
      <c r="B123" s="2" t="inlineStr">
        <is>
          <t>氯仿</t>
        </is>
      </c>
      <c r="C123" s="2" t="n"/>
      <c r="D123" s="2" t="inlineStr">
        <is>
          <t>有機化合物</t>
        </is>
      </c>
      <c r="E123" s="2" t="n"/>
      <c r="F123" s="2" t="inlineStr">
        <is>
          <t>mg/kg</t>
        </is>
      </c>
      <c r="G123" s="2" t="inlineStr">
        <is>
          <t>是</t>
        </is>
      </c>
      <c r="H123" s="1">
        <f>IF(OR(A123="",B123=""),"",A123&amp;"|"&amp;B123)</f>
        <v/>
      </c>
      <c r="I123" s="33">
        <f>IF(COUNTA(A123:G123)=0,"",IF(OR(A123="",B123="",F123="",G123=""),"缺必要欄位",IF(COUNTIFS(DB_04[測項鍵],H123)&gt;1,"測項鍵重複","OK")))</f>
        <v/>
      </c>
    </row>
    <row r="124" ht="15" customHeight="1">
      <c r="A124" s="2" t="inlineStr">
        <is>
          <t>土壤</t>
        </is>
      </c>
      <c r="B124" s="2" t="inlineStr">
        <is>
          <t>1,2-二氯乙烷</t>
        </is>
      </c>
      <c r="C124" s="2" t="n"/>
      <c r="D124" s="2" t="inlineStr">
        <is>
          <t>有機化合物</t>
        </is>
      </c>
      <c r="E124" s="2" t="n"/>
      <c r="F124" s="2" t="inlineStr">
        <is>
          <t>mg/kg</t>
        </is>
      </c>
      <c r="G124" s="2" t="inlineStr">
        <is>
          <t>是</t>
        </is>
      </c>
      <c r="H124" s="1">
        <f>IF(OR(A124="",B124=""),"",A124&amp;"|"&amp;B124)</f>
        <v/>
      </c>
      <c r="I124" s="33">
        <f>IF(COUNTA(A124:G124)=0,"",IF(OR(A124="",B124="",F124="",G124=""),"缺必要欄位",IF(COUNTIFS(DB_04[測項鍵],H124)&gt;1,"測項鍵重複","OK")))</f>
        <v/>
      </c>
    </row>
    <row r="125" ht="15" customHeight="1">
      <c r="A125" s="2" t="inlineStr">
        <is>
          <t>土壤</t>
        </is>
      </c>
      <c r="B125" s="2" t="inlineStr">
        <is>
          <t>順-1,2-二氯乙烯</t>
        </is>
      </c>
      <c r="C125" s="2" t="n"/>
      <c r="D125" s="2" t="inlineStr">
        <is>
          <t>有機化合物</t>
        </is>
      </c>
      <c r="E125" s="2" t="n"/>
      <c r="F125" s="2" t="inlineStr">
        <is>
          <t>mg/kg</t>
        </is>
      </c>
      <c r="G125" s="2" t="inlineStr">
        <is>
          <t>是</t>
        </is>
      </c>
      <c r="H125" s="1">
        <f>IF(OR(A125="",B125=""),"",A125&amp;"|"&amp;B125)</f>
        <v/>
      </c>
      <c r="I125" s="33">
        <f>IF(COUNTA(A125:G125)=0,"",IF(OR(A125="",B125="",F125="",G125=""),"缺必要欄位",IF(COUNTIFS(DB_04[測項鍵],H125)&gt;1,"測項鍵重複","OK")))</f>
        <v/>
      </c>
    </row>
    <row r="126" ht="15" customHeight="1">
      <c r="A126" s="2" t="inlineStr">
        <is>
          <t>土壤</t>
        </is>
      </c>
      <c r="B126" s="2" t="inlineStr">
        <is>
          <t>反-1,2-二氯乙烯</t>
        </is>
      </c>
      <c r="C126" s="2" t="n"/>
      <c r="D126" s="2" t="inlineStr">
        <is>
          <t>有機化合物</t>
        </is>
      </c>
      <c r="E126" s="2" t="n"/>
      <c r="F126" s="2" t="inlineStr">
        <is>
          <t>mg/kg</t>
        </is>
      </c>
      <c r="G126" s="2" t="inlineStr">
        <is>
          <t>是</t>
        </is>
      </c>
      <c r="H126" s="1">
        <f>IF(OR(A126="",B126=""),"",A126&amp;"|"&amp;B126)</f>
        <v/>
      </c>
      <c r="I126" s="33">
        <f>IF(COUNTA(A126:G126)=0,"",IF(OR(A126="",B126="",F126="",G126=""),"缺必要欄位",IF(COUNTIFS(DB_04[測項鍵],H126)&gt;1,"測項鍵重複","OK")))</f>
        <v/>
      </c>
    </row>
    <row r="127" ht="15" customHeight="1">
      <c r="A127" s="2" t="inlineStr">
        <is>
          <t>土壤</t>
        </is>
      </c>
      <c r="B127" s="2" t="inlineStr">
        <is>
          <t>1,2-二氯丙烷</t>
        </is>
      </c>
      <c r="C127" s="2" t="n"/>
      <c r="D127" s="2" t="inlineStr">
        <is>
          <t>有機化合物</t>
        </is>
      </c>
      <c r="E127" s="2" t="n"/>
      <c r="F127" s="2" t="inlineStr">
        <is>
          <t>mg/kg</t>
        </is>
      </c>
      <c r="G127" s="2" t="inlineStr">
        <is>
          <t>是</t>
        </is>
      </c>
      <c r="H127" s="1">
        <f>IF(OR(A127="",B127=""),"",A127&amp;"|"&amp;B127)</f>
        <v/>
      </c>
      <c r="I127" s="33">
        <f>IF(COUNTA(A127:G127)=0,"",IF(OR(A127="",B127="",F127="",G127=""),"缺必要欄位",IF(COUNTIFS(DB_04[測項鍵],H127)&gt;1,"測項鍵重複","OK")))</f>
        <v/>
      </c>
    </row>
    <row r="128" ht="15" customHeight="1">
      <c r="A128" s="2" t="inlineStr">
        <is>
          <t>土壤</t>
        </is>
      </c>
      <c r="B128" s="2" t="inlineStr">
        <is>
          <t>1,2-二氯苯</t>
        </is>
      </c>
      <c r="C128" s="2" t="n"/>
      <c r="D128" s="2" t="inlineStr">
        <is>
          <t>有機化合物</t>
        </is>
      </c>
      <c r="E128" s="2" t="n"/>
      <c r="F128" s="2" t="inlineStr">
        <is>
          <t>mg/kg</t>
        </is>
      </c>
      <c r="G128" s="2" t="inlineStr">
        <is>
          <t>是</t>
        </is>
      </c>
      <c r="H128" s="1">
        <f>IF(OR(A128="",B128=""),"",A128&amp;"|"&amp;B128)</f>
        <v/>
      </c>
      <c r="I128" s="33">
        <f>IF(COUNTA(A128:G128)=0,"",IF(OR(A128="",B128="",F128="",G128=""),"缺必要欄位",IF(COUNTIFS(DB_04[測項鍵],H128)&gt;1,"測項鍵重複","OK")))</f>
        <v/>
      </c>
    </row>
    <row r="129" ht="15" customHeight="1">
      <c r="A129" s="2" t="inlineStr">
        <is>
          <t>土壤</t>
        </is>
      </c>
      <c r="B129" s="2" t="inlineStr">
        <is>
          <t>1,3-二氯苯</t>
        </is>
      </c>
      <c r="C129" s="2" t="n"/>
      <c r="D129" s="2" t="inlineStr">
        <is>
          <t>有機化合物</t>
        </is>
      </c>
      <c r="E129" s="2" t="n"/>
      <c r="F129" s="2" t="inlineStr">
        <is>
          <t>mg/kg</t>
        </is>
      </c>
      <c r="G129" s="2" t="inlineStr">
        <is>
          <t>是</t>
        </is>
      </c>
      <c r="H129" s="1">
        <f>IF(OR(A129="",B129=""),"",A129&amp;"|"&amp;B129)</f>
        <v/>
      </c>
      <c r="I129" s="33">
        <f>IF(COUNTA(A129:G129)=0,"",IF(OR(A129="",B129="",F129="",G129=""),"缺必要欄位",IF(COUNTIFS(DB_04[測項鍵],H129)&gt;1,"測項鍵重複","OK")))</f>
        <v/>
      </c>
    </row>
    <row r="130" ht="15" customHeight="1">
      <c r="A130" s="2" t="inlineStr">
        <is>
          <t>土壤</t>
        </is>
      </c>
      <c r="B130" s="2" t="inlineStr">
        <is>
          <t>3,3’-二氯聯苯胺</t>
        </is>
      </c>
      <c r="C130" s="2" t="n"/>
      <c r="D130" s="2" t="inlineStr">
        <is>
          <t>有機化合物</t>
        </is>
      </c>
      <c r="E130" s="2" t="n"/>
      <c r="F130" s="2" t="inlineStr">
        <is>
          <t>mg/kg</t>
        </is>
      </c>
      <c r="G130" s="2" t="inlineStr">
        <is>
          <t>是</t>
        </is>
      </c>
      <c r="H130" s="1">
        <f>IF(OR(A130="",B130=""),"",A130&amp;"|"&amp;B130)</f>
        <v/>
      </c>
      <c r="I130" s="33">
        <f>IF(COUNTA(A130:G130)=0,"",IF(OR(A130="",B130="",F130="",G130=""),"缺必要欄位",IF(COUNTIFS(DB_04[測項鍵],H130)&gt;1,"測項鍵重複","OK")))</f>
        <v/>
      </c>
    </row>
    <row r="131" ht="15" customHeight="1">
      <c r="A131" s="2" t="inlineStr">
        <is>
          <t>土壤</t>
        </is>
      </c>
      <c r="B131" s="2" t="inlineStr">
        <is>
          <t>乙苯</t>
        </is>
      </c>
      <c r="C131" s="2" t="n"/>
      <c r="D131" s="2" t="inlineStr">
        <is>
          <t>有機化合物</t>
        </is>
      </c>
      <c r="E131" s="2" t="n"/>
      <c r="F131" s="2" t="inlineStr">
        <is>
          <t>mg/kg</t>
        </is>
      </c>
      <c r="G131" s="2" t="inlineStr">
        <is>
          <t>是</t>
        </is>
      </c>
      <c r="H131" s="1">
        <f>IF(OR(A131="",B131=""),"",A131&amp;"|"&amp;B131)</f>
        <v/>
      </c>
      <c r="I131" s="33">
        <f>IF(COUNTA(A131:G131)=0,"",IF(OR(A131="",B131="",F131="",G131=""),"缺必要欄位",IF(COUNTIFS(DB_04[測項鍵],H131)&gt;1,"測項鍵重複","OK")))</f>
        <v/>
      </c>
    </row>
    <row r="132" ht="15" customHeight="1">
      <c r="A132" s="2" t="inlineStr">
        <is>
          <t>土壤</t>
        </is>
      </c>
      <c r="B132" s="2" t="inlineStr">
        <is>
          <t>六氯苯</t>
        </is>
      </c>
      <c r="C132" s="2" t="n"/>
      <c r="D132" s="2" t="inlineStr">
        <is>
          <t>有機化合物</t>
        </is>
      </c>
      <c r="E132" s="2" t="n"/>
      <c r="F132" s="2" t="inlineStr">
        <is>
          <t>mg/kg</t>
        </is>
      </c>
      <c r="G132" s="2" t="inlineStr">
        <is>
          <t>是</t>
        </is>
      </c>
      <c r="H132" s="1">
        <f>IF(OR(A132="",B132=""),"",A132&amp;"|"&amp;B132)</f>
        <v/>
      </c>
      <c r="I132" s="33">
        <f>IF(COUNTA(A132:G132)=0,"",IF(OR(A132="",B132="",F132="",G132=""),"缺必要欄位",IF(COUNTIFS(DB_04[測項鍵],H132)&gt;1,"測項鍵重複","OK")))</f>
        <v/>
      </c>
    </row>
    <row r="133" ht="15" customHeight="1">
      <c r="A133" s="2" t="inlineStr">
        <is>
          <t>土壤</t>
        </is>
      </c>
      <c r="B133" s="2" t="inlineStr">
        <is>
          <t>五氯酚</t>
        </is>
      </c>
      <c r="C133" s="2" t="n"/>
      <c r="D133" s="2" t="inlineStr">
        <is>
          <t>有機化合物</t>
        </is>
      </c>
      <c r="E133" s="2" t="n"/>
      <c r="F133" s="2" t="inlineStr">
        <is>
          <t>mg/kg</t>
        </is>
      </c>
      <c r="G133" s="2" t="inlineStr">
        <is>
          <t>是</t>
        </is>
      </c>
      <c r="H133" s="1">
        <f>IF(OR(A133="",B133=""),"",A133&amp;"|"&amp;B133)</f>
        <v/>
      </c>
      <c r="I133" s="33">
        <f>IF(COUNTA(A133:G133)=0,"",IF(OR(A133="",B133="",F133="",G133=""),"缺必要欄位",IF(COUNTIFS(DB_04[測項鍵],H133)&gt;1,"測項鍵重複","OK")))</f>
        <v/>
      </c>
    </row>
    <row r="134" ht="15" customHeight="1">
      <c r="A134" s="2" t="inlineStr">
        <is>
          <t>土壤</t>
        </is>
      </c>
      <c r="B134" s="2" t="inlineStr">
        <is>
          <t>四氯乙烯</t>
        </is>
      </c>
      <c r="C134" s="2" t="n"/>
      <c r="D134" s="2" t="inlineStr">
        <is>
          <t>有機化合物</t>
        </is>
      </c>
      <c r="E134" s="2" t="n"/>
      <c r="F134" s="2" t="inlineStr">
        <is>
          <t>mg/kg</t>
        </is>
      </c>
      <c r="G134" s="2" t="inlineStr">
        <is>
          <t>是</t>
        </is>
      </c>
      <c r="H134" s="1">
        <f>IF(OR(A134="",B134=""),"",A134&amp;"|"&amp;B134)</f>
        <v/>
      </c>
      <c r="I134" s="33">
        <f>IF(COUNTA(A134:G134)=0,"",IF(OR(A134="",B134="",F134="",G134=""),"缺必要欄位",IF(COUNTIFS(DB_04[測項鍵],H134)&gt;1,"測項鍵重複","OK")))</f>
        <v/>
      </c>
    </row>
    <row r="135" ht="15" customHeight="1">
      <c r="A135" s="2" t="inlineStr">
        <is>
          <t>土壤</t>
        </is>
      </c>
      <c r="B135" s="2" t="inlineStr">
        <is>
          <t>甲苯</t>
        </is>
      </c>
      <c r="C135" s="2" t="n"/>
      <c r="D135" s="2" t="inlineStr">
        <is>
          <t>有機化合物</t>
        </is>
      </c>
      <c r="E135" s="2" t="n"/>
      <c r="F135" s="2" t="inlineStr">
        <is>
          <t>mg/kg</t>
        </is>
      </c>
      <c r="G135" s="2" t="inlineStr">
        <is>
          <t>是</t>
        </is>
      </c>
      <c r="H135" s="1">
        <f>IF(OR(A135="",B135=""),"",A135&amp;"|"&amp;B135)</f>
        <v/>
      </c>
      <c r="I135" s="33">
        <f>IF(COUNTA(A135:G135)=0,"",IF(OR(A135="",B135="",F135="",G135=""),"缺必要欄位",IF(COUNTIFS(DB_04[測項鍵],H135)&gt;1,"測項鍵重複","OK")))</f>
        <v/>
      </c>
    </row>
    <row r="136" ht="15" customHeight="1">
      <c r="A136" s="2" t="inlineStr">
        <is>
          <t>土壤</t>
        </is>
      </c>
      <c r="B136" s="2" t="inlineStr">
        <is>
          <t>總石油碳氫化合物</t>
        </is>
      </c>
      <c r="C136" s="2" t="n"/>
      <c r="D136" s="2" t="inlineStr">
        <is>
          <t>有機化合物</t>
        </is>
      </c>
      <c r="E136" s="2" t="n"/>
      <c r="F136" s="2" t="inlineStr">
        <is>
          <t>mg/kg</t>
        </is>
      </c>
      <c r="G136" s="2" t="inlineStr">
        <is>
          <t>是</t>
        </is>
      </c>
      <c r="H136" s="1">
        <f>IF(OR(A136="",B136=""),"",A136&amp;"|"&amp;B136)</f>
        <v/>
      </c>
      <c r="I136" s="33">
        <f>IF(COUNTA(A136:G136)=0,"",IF(OR(A136="",B136="",F136="",G136=""),"缺必要欄位",IF(COUNTIFS(DB_04[測項鍵],H136)&gt;1,"測項鍵重複","OK")))</f>
        <v/>
      </c>
    </row>
    <row r="137" ht="15" customHeight="1">
      <c r="A137" s="2" t="inlineStr">
        <is>
          <t>土壤</t>
        </is>
      </c>
      <c r="B137" s="2" t="inlineStr">
        <is>
          <t>三氯乙烯</t>
        </is>
      </c>
      <c r="C137" s="2" t="n"/>
      <c r="D137" s="2" t="inlineStr">
        <is>
          <t>有機化合物</t>
        </is>
      </c>
      <c r="E137" s="2" t="n"/>
      <c r="F137" s="2" t="inlineStr">
        <is>
          <t>mg/kg</t>
        </is>
      </c>
      <c r="G137" s="2" t="inlineStr">
        <is>
          <t>是</t>
        </is>
      </c>
      <c r="H137" s="1">
        <f>IF(OR(A137="",B137=""),"",A137&amp;"|"&amp;B137)</f>
        <v/>
      </c>
      <c r="I137" s="33">
        <f>IF(COUNTA(A137:G137)=0,"",IF(OR(A137="",B137="",F137="",G137=""),"缺必要欄位",IF(COUNTIFS(DB_04[測項鍵],H137)&gt;1,"測項鍵重複","OK")))</f>
        <v/>
      </c>
    </row>
    <row r="138" ht="15" customHeight="1">
      <c r="A138" s="2" t="inlineStr">
        <is>
          <t>土壤</t>
        </is>
      </c>
      <c r="B138" s="2" t="inlineStr">
        <is>
          <t>2,4,5-三氯酚</t>
        </is>
      </c>
      <c r="C138" s="2" t="n"/>
      <c r="D138" s="2" t="inlineStr">
        <is>
          <t>有機化合物</t>
        </is>
      </c>
      <c r="E138" s="2" t="n"/>
      <c r="F138" s="2" t="inlineStr">
        <is>
          <t>mg/kg</t>
        </is>
      </c>
      <c r="G138" s="2" t="inlineStr">
        <is>
          <t>是</t>
        </is>
      </c>
      <c r="H138" s="1">
        <f>IF(OR(A138="",B138=""),"",A138&amp;"|"&amp;B138)</f>
        <v/>
      </c>
      <c r="I138" s="33">
        <f>IF(COUNTA(A138:G138)=0,"",IF(OR(A138="",B138="",F138="",G138=""),"缺必要欄位",IF(COUNTIFS(DB_04[測項鍵],H138)&gt;1,"測項鍵重複","OK")))</f>
        <v/>
      </c>
    </row>
    <row r="139" ht="15" customHeight="1">
      <c r="A139" s="2" t="inlineStr">
        <is>
          <t>土壤</t>
        </is>
      </c>
      <c r="B139" s="2" t="inlineStr">
        <is>
          <t>2,4,6-三氯酚</t>
        </is>
      </c>
      <c r="C139" s="2" t="n"/>
      <c r="D139" s="2" t="inlineStr">
        <is>
          <t>有機化合物</t>
        </is>
      </c>
      <c r="E139" s="2" t="n"/>
      <c r="F139" s="2" t="inlineStr">
        <is>
          <t>mg/kg</t>
        </is>
      </c>
      <c r="G139" s="2" t="inlineStr">
        <is>
          <t>是</t>
        </is>
      </c>
      <c r="H139" s="1">
        <f>IF(OR(A139="",B139=""),"",A139&amp;"|"&amp;B139)</f>
        <v/>
      </c>
      <c r="I139" s="33">
        <f>IF(COUNTA(A139:G139)=0,"",IF(OR(A139="",B139="",F139="",G139=""),"缺必要欄位",IF(COUNTIFS(DB_04[測項鍵],H139)&gt;1,"測項鍵重複","OK")))</f>
        <v/>
      </c>
    </row>
    <row r="140" ht="15" customHeight="1">
      <c r="A140" s="2" t="inlineStr">
        <is>
          <t>土壤</t>
        </is>
      </c>
      <c r="B140" s="2" t="inlineStr">
        <is>
          <t>氯乙烯</t>
        </is>
      </c>
      <c r="C140" s="2" t="n"/>
      <c r="D140" s="2" t="inlineStr">
        <is>
          <t>有機化合物</t>
        </is>
      </c>
      <c r="E140" s="2" t="n"/>
      <c r="F140" s="2" t="inlineStr">
        <is>
          <t>mg/kg</t>
        </is>
      </c>
      <c r="G140" s="2" t="inlineStr">
        <is>
          <t>是</t>
        </is>
      </c>
      <c r="H140" s="1">
        <f>IF(OR(A140="",B140=""),"",A140&amp;"|"&amp;B140)</f>
        <v/>
      </c>
      <c r="I140" s="33">
        <f>IF(COUNTA(A140:G140)=0,"",IF(OR(A140="",B140="",F140="",G140=""),"缺必要欄位",IF(COUNTIFS(DB_04[測項鍵],H140)&gt;1,"測項鍵重複","OK")))</f>
        <v/>
      </c>
    </row>
    <row r="141" ht="15" customHeight="1">
      <c r="A141" s="2" t="inlineStr">
        <is>
          <t>土壤</t>
        </is>
      </c>
      <c r="B141" s="2" t="inlineStr">
        <is>
          <t>二甲苯</t>
        </is>
      </c>
      <c r="C141" s="2" t="n"/>
      <c r="D141" s="2" t="inlineStr">
        <is>
          <t>有機化合物</t>
        </is>
      </c>
      <c r="E141" s="2" t="n"/>
      <c r="F141" s="2" t="inlineStr">
        <is>
          <t>mg/kg</t>
        </is>
      </c>
      <c r="G141" s="2" t="inlineStr">
        <is>
          <t>是</t>
        </is>
      </c>
      <c r="H141" s="1">
        <f>IF(OR(A141="",B141=""),"",A141&amp;"|"&amp;B141)</f>
        <v/>
      </c>
      <c r="I141" s="33">
        <f>IF(COUNTA(A141:G141)=0,"",IF(OR(A141="",B141="",F141="",G141=""),"缺必要欄位",IF(COUNTIFS(DB_04[測項鍵],H141)&gt;1,"測項鍵重複","OK")))</f>
        <v/>
      </c>
    </row>
    <row r="142" ht="15" customHeight="1">
      <c r="A142" s="2" t="inlineStr">
        <is>
          <t>土壤</t>
        </is>
      </c>
      <c r="B142" s="2" t="inlineStr">
        <is>
          <t>阿特靈</t>
        </is>
      </c>
      <c r="C142" s="2" t="n"/>
      <c r="D142" s="2" t="inlineStr">
        <is>
          <t>農藥</t>
        </is>
      </c>
      <c r="E142" s="2" t="n"/>
      <c r="F142" s="2" t="inlineStr">
        <is>
          <t>mg/kg</t>
        </is>
      </c>
      <c r="G142" s="2" t="inlineStr">
        <is>
          <t>是</t>
        </is>
      </c>
      <c r="H142" s="1">
        <f>IF(OR(A142="",B142=""),"",A142&amp;"|"&amp;B142)</f>
        <v/>
      </c>
      <c r="I142" s="33">
        <f>IF(COUNTA(A142:G142)=0,"",IF(OR(A142="",B142="",F142="",G142=""),"缺必要欄位",IF(COUNTIFS(DB_04[測項鍵],H142)&gt;1,"測項鍵重複","OK")))</f>
        <v/>
      </c>
    </row>
    <row r="143" ht="15" customHeight="1">
      <c r="A143" s="2" t="inlineStr">
        <is>
          <t>土壤</t>
        </is>
      </c>
      <c r="B143" s="2" t="inlineStr">
        <is>
          <t>可氯丹</t>
        </is>
      </c>
      <c r="C143" s="2" t="n"/>
      <c r="D143" s="2" t="inlineStr">
        <is>
          <t>農藥</t>
        </is>
      </c>
      <c r="E143" s="2" t="n"/>
      <c r="F143" s="2" t="inlineStr">
        <is>
          <t>mg/kg</t>
        </is>
      </c>
      <c r="G143" s="2" t="inlineStr">
        <is>
          <t>是</t>
        </is>
      </c>
      <c r="H143" s="1">
        <f>IF(OR(A143="",B143=""),"",A143&amp;"|"&amp;B143)</f>
        <v/>
      </c>
      <c r="I143" s="33">
        <f>IF(COUNTA(A143:G143)=0,"",IF(OR(A143="",B143="",F143="",G143=""),"缺必要欄位",IF(COUNTIFS(DB_04[測項鍵],H143)&gt;1,"測項鍵重複","OK")))</f>
        <v/>
      </c>
    </row>
    <row r="144" ht="15" customHeight="1">
      <c r="A144" s="2" t="inlineStr">
        <is>
          <t>土壤</t>
        </is>
      </c>
      <c r="B144" s="2" t="inlineStr">
        <is>
          <t>二氯二苯基三氯乙烷及其衍生物</t>
        </is>
      </c>
      <c r="C144" s="2" t="n"/>
      <c r="D144" s="2" t="inlineStr">
        <is>
          <t>農藥</t>
        </is>
      </c>
      <c r="E144" s="2" t="n"/>
      <c r="F144" s="2" t="inlineStr">
        <is>
          <t>mg/kg</t>
        </is>
      </c>
      <c r="G144" s="2" t="inlineStr">
        <is>
          <t>是</t>
        </is>
      </c>
      <c r="H144" s="1">
        <f>IF(OR(A144="",B144=""),"",A144&amp;"|"&amp;B144)</f>
        <v/>
      </c>
      <c r="I144" s="33">
        <f>IF(COUNTA(A144:G144)=0,"",IF(OR(A144="",B144="",F144="",G144=""),"缺必要欄位",IF(COUNTIFS(DB_04[測項鍵],H144)&gt;1,"測項鍵重複","OK")))</f>
        <v/>
      </c>
    </row>
    <row r="145" ht="15" customHeight="1">
      <c r="A145" s="2" t="inlineStr">
        <is>
          <t>土壤</t>
        </is>
      </c>
      <c r="B145" s="2" t="inlineStr">
        <is>
          <t>地特靈</t>
        </is>
      </c>
      <c r="C145" s="2" t="n"/>
      <c r="D145" s="2" t="inlineStr">
        <is>
          <t>農藥</t>
        </is>
      </c>
      <c r="E145" s="2" t="n"/>
      <c r="F145" s="2" t="inlineStr">
        <is>
          <t>mg/kg</t>
        </is>
      </c>
      <c r="G145" s="2" t="inlineStr">
        <is>
          <t>是</t>
        </is>
      </c>
      <c r="H145" s="1">
        <f>IF(OR(A145="",B145=""),"",A145&amp;"|"&amp;B145)</f>
        <v/>
      </c>
      <c r="I145" s="33">
        <f>IF(COUNTA(A145:G145)=0,"",IF(OR(A145="",B145="",F145="",G145=""),"缺必要欄位",IF(COUNTIFS(DB_04[測項鍵],H145)&gt;1,"測項鍵重複","OK")))</f>
        <v/>
      </c>
    </row>
    <row r="146" ht="15" customHeight="1">
      <c r="A146" s="2" t="inlineStr">
        <is>
          <t>土壤</t>
        </is>
      </c>
      <c r="B146" s="2" t="inlineStr">
        <is>
          <t>安特靈</t>
        </is>
      </c>
      <c r="C146" s="2" t="n"/>
      <c r="D146" s="2" t="inlineStr">
        <is>
          <t>農藥</t>
        </is>
      </c>
      <c r="E146" s="2" t="n"/>
      <c r="F146" s="2" t="inlineStr">
        <is>
          <t>mg/kg</t>
        </is>
      </c>
      <c r="G146" s="2" t="inlineStr">
        <is>
          <t>是</t>
        </is>
      </c>
      <c r="H146" s="1">
        <f>IF(OR(A146="",B146=""),"",A146&amp;"|"&amp;B146)</f>
        <v/>
      </c>
      <c r="I146" s="33">
        <f>IF(COUNTA(A146:G146)=0,"",IF(OR(A146="",B146="",F146="",G146=""),"缺必要欄位",IF(COUNTIFS(DB_04[測項鍵],H146)&gt;1,"測項鍵重複","OK")))</f>
        <v/>
      </c>
    </row>
    <row r="147" ht="15" customHeight="1">
      <c r="A147" s="2" t="inlineStr">
        <is>
          <t>土壤</t>
        </is>
      </c>
      <c r="B147" s="2" t="inlineStr">
        <is>
          <t>飛佈達</t>
        </is>
      </c>
      <c r="C147" s="2" t="n"/>
      <c r="D147" s="2" t="inlineStr">
        <is>
          <t>農藥</t>
        </is>
      </c>
      <c r="E147" s="2" t="n"/>
      <c r="F147" s="2" t="inlineStr">
        <is>
          <t>mg/kg</t>
        </is>
      </c>
      <c r="G147" s="2" t="inlineStr">
        <is>
          <t>是</t>
        </is>
      </c>
      <c r="H147" s="1">
        <f>IF(OR(A147="",B147=""),"",A147&amp;"|"&amp;B147)</f>
        <v/>
      </c>
      <c r="I147" s="33">
        <f>IF(COUNTA(A147:G147)=0,"",IF(OR(A147="",B147="",F147="",G147=""),"缺必要欄位",IF(COUNTIFS(DB_04[測項鍵],H147)&gt;1,"測項鍵重複","OK")))</f>
        <v/>
      </c>
    </row>
    <row r="148" ht="15" customHeight="1">
      <c r="A148" s="2" t="inlineStr">
        <is>
          <t>土壤</t>
        </is>
      </c>
      <c r="B148" s="2" t="inlineStr">
        <is>
          <t>毒殺芬</t>
        </is>
      </c>
      <c r="C148" s="2" t="n"/>
      <c r="D148" s="2" t="inlineStr">
        <is>
          <t>農藥</t>
        </is>
      </c>
      <c r="E148" s="2" t="n"/>
      <c r="F148" s="2" t="inlineStr">
        <is>
          <t>mg/kg</t>
        </is>
      </c>
      <c r="G148" s="2" t="inlineStr">
        <is>
          <t>是</t>
        </is>
      </c>
      <c r="H148" s="1">
        <f>IF(OR(A148="",B148=""),"",A148&amp;"|"&amp;B148)</f>
        <v/>
      </c>
      <c r="I148" s="33">
        <f>IF(COUNTA(A148:G148)=0,"",IF(OR(A148="",B148="",F148="",G148=""),"缺必要欄位",IF(COUNTIFS(DB_04[測項鍵],H148)&gt;1,"測項鍵重複","OK")))</f>
        <v/>
      </c>
    </row>
    <row r="149" ht="15" customHeight="1">
      <c r="A149" s="2" t="inlineStr">
        <is>
          <t>土壤</t>
        </is>
      </c>
      <c r="B149" s="2" t="inlineStr">
        <is>
          <t>安殺番</t>
        </is>
      </c>
      <c r="C149" s="2" t="n"/>
      <c r="D149" s="2" t="inlineStr">
        <is>
          <t>農藥</t>
        </is>
      </c>
      <c r="E149" s="2" t="n"/>
      <c r="F149" s="2" t="inlineStr">
        <is>
          <t>mg/kg</t>
        </is>
      </c>
      <c r="G149" s="2" t="inlineStr">
        <is>
          <t>是</t>
        </is>
      </c>
      <c r="H149" s="1">
        <f>IF(OR(A149="",B149=""),"",A149&amp;"|"&amp;B149)</f>
        <v/>
      </c>
      <c r="I149" s="33">
        <f>IF(COUNTA(A149:G149)=0,"",IF(OR(A149="",B149="",F149="",G149=""),"缺必要欄位",IF(COUNTIFS(DB_04[測項鍵],H149)&gt;1,"測項鍵重複","OK")))</f>
        <v/>
      </c>
    </row>
    <row r="150" ht="15" customHeight="1">
      <c r="A150" s="2" t="inlineStr">
        <is>
          <t>土壤</t>
        </is>
      </c>
      <c r="B150" s="2" t="inlineStr">
        <is>
          <t>戴奧辛</t>
        </is>
      </c>
      <c r="C150" s="2" t="n"/>
      <c r="D150" s="2" t="inlineStr">
        <is>
          <t>其他有機化合物</t>
        </is>
      </c>
      <c r="E150" s="2" t="n"/>
      <c r="F150" s="2" t="inlineStr">
        <is>
          <t>ng-TEQ/kg</t>
        </is>
      </c>
      <c r="G150" s="2" t="inlineStr">
        <is>
          <t>是</t>
        </is>
      </c>
      <c r="H150" s="1">
        <f>IF(OR(A150="",B150=""),"",A150&amp;"|"&amp;B150)</f>
        <v/>
      </c>
      <c r="I150" s="33">
        <f>IF(COUNTA(A150:G150)=0,"",IF(OR(A150="",B150="",F150="",G150=""),"缺必要欄位",IF(COUNTIFS(DB_04[測項鍵],H150)&gt;1,"測項鍵重複","OK")))</f>
        <v/>
      </c>
    </row>
    <row r="151" ht="15" customHeight="1">
      <c r="A151" s="2" t="inlineStr">
        <is>
          <t>土壤</t>
        </is>
      </c>
      <c r="B151" s="2" t="inlineStr">
        <is>
          <t>多氯聯苯</t>
        </is>
      </c>
      <c r="C151" s="2" t="n"/>
      <c r="D151" s="2" t="inlineStr">
        <is>
          <t>其他有機化合物</t>
        </is>
      </c>
      <c r="E151" s="2" t="n"/>
      <c r="F151" s="2" t="inlineStr">
        <is>
          <t>mg/kg</t>
        </is>
      </c>
      <c r="G151" s="2" t="inlineStr">
        <is>
          <t>是</t>
        </is>
      </c>
      <c r="H151" s="1">
        <f>IF(OR(A151="",B151=""),"",A151&amp;"|"&amp;B151)</f>
        <v/>
      </c>
      <c r="I151" s="33">
        <f>IF(COUNTA(A151:G151)=0,"",IF(OR(A151="",B151="",F151="",G151=""),"缺必要欄位",IF(COUNTIFS(DB_04[測項鍵],H151)&gt;1,"測項鍵重複","OK")))</f>
        <v/>
      </c>
    </row>
    <row r="152">
      <c r="A152" s="2" t="inlineStr">
        <is>
          <t>土壤</t>
        </is>
      </c>
      <c r="B152" s="2" t="inlineStr">
        <is>
          <t>總有機碳</t>
        </is>
      </c>
      <c r="C152" s="2" t="inlineStr">
        <is>
          <t>TOC</t>
        </is>
      </c>
      <c r="D152" s="2" t="inlineStr">
        <is>
          <t>合成範例新增測項</t>
        </is>
      </c>
      <c r="E152" s="2" t="inlineStr">
        <is>
          <t>lab</t>
        </is>
      </c>
      <c r="F152" s="2" t="inlineStr">
        <is>
          <t>mg/kg</t>
        </is>
      </c>
      <c r="G152" s="2" t="inlineStr">
        <is>
          <t>是</t>
        </is>
      </c>
      <c r="H152" s="1">
        <f>IF(OR(A152="",B152=""),"",A152&amp;"|"&amp;B152)</f>
        <v/>
      </c>
      <c r="I152" s="33">
        <f>IF(COUNTA(A152:G152)=0,"",IF(OR(A152="",B152="",F152="",G152=""),"缺必要欄位",IF(COUNTIFS(DB_04[測項鍵],H152)&gt;1,"測項鍵重複","OK")))</f>
        <v/>
      </c>
    </row>
    <row r="153">
      <c r="A153" s="2" t="inlineStr">
        <is>
          <t>地下水</t>
        </is>
      </c>
      <c r="B153" s="2" t="inlineStr">
        <is>
          <t>溶氧飽和度</t>
        </is>
      </c>
      <c r="C153" s="2" t="inlineStr">
        <is>
          <t>DO</t>
        </is>
      </c>
      <c r="D153" s="2" t="inlineStr">
        <is>
          <t>合成範例新增測項</t>
        </is>
      </c>
      <c r="E153" s="2" t="inlineStr">
        <is>
          <t>field</t>
        </is>
      </c>
      <c r="F153" s="2" t="inlineStr">
        <is>
          <t>%</t>
        </is>
      </c>
      <c r="G153" s="2" t="inlineStr">
        <is>
          <t>是</t>
        </is>
      </c>
      <c r="H153" s="1">
        <f>IF(OR(A153="",B153=""),"",A153&amp;"|"&amp;B153)</f>
        <v/>
      </c>
      <c r="I153" s="33">
        <f>IF(COUNTA(A153:G153)=0,"",IF(OR(A153="",B153="",F153="",G153=""),"缺必要欄位",IF(COUNTIFS(DB_04[測項鍵],H153)&gt;1,"測項鍵重複","OK")))</f>
        <v/>
      </c>
    </row>
    <row r="203" ht="33.95" customHeight="1">
      <c r="A203" s="75" t="inlineStr">
        <is>
          <t>下拉清單與自動選項</t>
        </is>
      </c>
      <c r="L203" s="8" t="n"/>
      <c r="M203" s="8" t="n"/>
      <c r="N203" s="8" t="n"/>
      <c r="O203" s="8" t="n"/>
    </row>
    <row r="204" ht="42" customHeight="1">
      <c r="A204" s="73" t="inlineStr">
        <is>
          <t>樣品與點位選單直接引用 01、03 的資料表；新增表格列後選項同步增加。</t>
        </is>
      </c>
      <c r="L204" s="8" t="n"/>
      <c r="M204" s="8" t="n"/>
      <c r="N204" s="8" t="n"/>
      <c r="O204" s="8" t="n"/>
    </row>
    <row r="205" ht="30" customHeight="1">
      <c r="A205" s="73" t="inlineStr">
        <is>
          <t>單位、採樣方法、啟用與核對狀態仍在本區維護；測項、介質與版本沿用上方主檔。</t>
        </is>
      </c>
      <c r="L205" s="8" t="n"/>
      <c r="M205" s="8" t="n"/>
      <c r="N205" s="8" t="n"/>
      <c r="O205" s="8" t="n"/>
    </row>
    <row r="206" ht="36" customHeight="1">
      <c r="A206" s="26" t="inlineStr">
        <is>
          <t>樣品選單來源：01_樣品登錄</t>
        </is>
      </c>
      <c r="B206" s="8" t="n"/>
      <c r="C206" s="26" t="inlineStr">
        <is>
          <t>點位選單來源：03_點位主檔</t>
        </is>
      </c>
      <c r="D206" s="8" t="n"/>
      <c r="E206" s="22" t="inlineStr">
        <is>
          <t>單位</t>
        </is>
      </c>
      <c r="F206" s="8" t="n"/>
      <c r="G206" s="22" t="inlineStr">
        <is>
          <t>採樣方法</t>
        </is>
      </c>
      <c r="H206" s="8" t="n"/>
      <c r="I206" s="22" t="inlineStr">
        <is>
          <t>啟用</t>
        </is>
      </c>
      <c r="J206" s="8" t="n"/>
      <c r="K206" s="22" t="inlineStr">
        <is>
          <t>核對狀態</t>
        </is>
      </c>
      <c r="L206" s="8" t="n"/>
      <c r="M206" s="77" t="inlineStr">
        <is>
          <t>維護位置</t>
        </is>
      </c>
    </row>
    <row r="207" ht="15" customHeight="1">
      <c r="B207" s="8" t="n"/>
      <c r="D207" s="8" t="n"/>
      <c r="E207" s="21" t="inlineStr">
        <is>
          <t>mg/L</t>
        </is>
      </c>
      <c r="F207" s="8" t="n"/>
      <c r="G207" s="34" t="inlineStr">
        <is>
          <t>微洗井</t>
        </is>
      </c>
      <c r="H207" s="8" t="n"/>
      <c r="I207" s="21" t="inlineStr">
        <is>
          <t>是</t>
        </is>
      </c>
      <c r="J207" s="8" t="n"/>
      <c r="K207" s="21" t="inlineStr">
        <is>
          <t>範例</t>
        </is>
      </c>
      <c r="L207" s="8" t="n"/>
      <c r="M207" s="74" t="inlineStr">
        <is>
          <t>樣品：在01建立，A欄同步供02隱藏關聯鍵</t>
        </is>
      </c>
    </row>
    <row r="208" ht="15" customHeight="1">
      <c r="B208" s="8" t="n"/>
      <c r="D208" s="8" t="n"/>
      <c r="E208" s="21" t="inlineStr">
        <is>
          <t>m</t>
        </is>
      </c>
      <c r="F208" s="8" t="n"/>
      <c r="G208" s="34" t="inlineStr">
        <is>
          <t>貝勒管</t>
        </is>
      </c>
      <c r="H208" s="8" t="n"/>
      <c r="I208" s="21" t="inlineStr">
        <is>
          <t>否</t>
        </is>
      </c>
      <c r="J208" s="8" t="n"/>
      <c r="K208" s="21" t="inlineStr">
        <is>
          <t>已核對</t>
        </is>
      </c>
      <c r="L208" s="8" t="n"/>
      <c r="M208" s="74" t="inlineStr">
        <is>
          <t>點位：在03建立，C欄自動同步</t>
        </is>
      </c>
    </row>
    <row r="209" ht="15" customHeight="1">
      <c r="B209" s="8" t="n"/>
      <c r="D209" s="8" t="n"/>
      <c r="E209" s="21" t="inlineStr">
        <is>
          <t>μg/L</t>
        </is>
      </c>
      <c r="F209" s="8" t="n"/>
      <c r="G209" s="34" t="inlineStr">
        <is>
          <t>低流量洗井</t>
        </is>
      </c>
      <c r="H209" s="8" t="n"/>
      <c r="I209" s="8" t="n"/>
      <c r="J209" s="8" t="n"/>
      <c r="K209" s="21" t="inlineStr">
        <is>
          <t>停用</t>
        </is>
      </c>
      <c r="L209" s="8" t="n"/>
      <c r="M209" s="74" t="inlineStr">
        <is>
          <t>測項：B2:B201；介質：T7起</t>
        </is>
      </c>
    </row>
    <row r="210" ht="15" customHeight="1">
      <c r="B210" s="8" t="n"/>
      <c r="D210" s="8" t="n"/>
      <c r="E210" s="21" t="inlineStr">
        <is>
          <t>無因次</t>
        </is>
      </c>
      <c r="F210" s="8" t="n"/>
      <c r="G210" s="34" t="inlineStr">
        <is>
          <t>其他</t>
        </is>
      </c>
      <c r="H210" s="8" t="n"/>
      <c r="I210" s="8" t="n"/>
      <c r="J210" s="8" t="n"/>
      <c r="K210" s="21" t="inlineStr">
        <is>
          <t>待核對</t>
        </is>
      </c>
      <c r="L210" s="8" t="n"/>
      <c r="M210" s="74" t="inlineStr">
        <is>
          <t>單位／採樣方法／狀態：206列各表</t>
        </is>
      </c>
    </row>
    <row r="211" ht="15" customHeight="1">
      <c r="B211" s="8" t="n"/>
      <c r="D211" s="8" t="n"/>
      <c r="E211" s="21" t="inlineStr">
        <is>
          <t>µg/L</t>
        </is>
      </c>
      <c r="F211" s="8" t="n"/>
      <c r="G211" s="34" t="inlineStr">
        <is>
          <t>不適用</t>
        </is>
      </c>
      <c r="H211" s="8" t="n"/>
      <c r="I211" s="8" t="n"/>
      <c r="J211" s="8" t="n"/>
      <c r="K211" s="8" t="n"/>
      <c r="L211" s="8" t="n"/>
      <c r="M211" s="73" t="inlineStr">
        <is>
          <t>版本：Q2:Q101</t>
        </is>
      </c>
    </row>
    <row r="212" ht="30" customHeight="1">
      <c r="B212" s="8" t="n"/>
      <c r="D212" s="8" t="n"/>
      <c r="E212" s="21" t="inlineStr">
        <is>
          <t>μS/cm</t>
        </is>
      </c>
      <c r="F212" s="8" t="n"/>
      <c r="G212" s="34" t="inlineStr">
        <is>
          <t>過水錶後系統閒置球閥採樣</t>
        </is>
      </c>
      <c r="H212" s="8" t="n"/>
      <c r="I212" s="8" t="n"/>
      <c r="J212" s="8" t="n"/>
      <c r="K212" s="8" t="n"/>
      <c r="L212" s="8" t="n"/>
      <c r="M212" s="8" t="n"/>
      <c r="N212" s="8" t="n"/>
      <c r="O212" s="8" t="n"/>
    </row>
    <row r="213" ht="15" customHeight="1">
      <c r="B213" s="8" t="n"/>
      <c r="D213" s="8" t="n"/>
      <c r="E213" s="21" t="inlineStr">
        <is>
          <t>ug/L</t>
        </is>
      </c>
      <c r="F213" s="8" t="n"/>
      <c r="G213" s="34" t="inlineStr">
        <is>
          <t>繞流端取樣</t>
        </is>
      </c>
      <c r="H213" s="8" t="n"/>
      <c r="I213" s="8" t="n"/>
      <c r="J213" s="8" t="n"/>
      <c r="K213" s="8" t="n"/>
      <c r="L213" s="8" t="n"/>
      <c r="M213" s="8" t="n"/>
      <c r="N213" s="8" t="n"/>
      <c r="O213" s="8" t="n"/>
    </row>
    <row r="214" ht="15" customHeight="1">
      <c r="B214" s="8" t="n"/>
      <c r="D214" s="8" t="n"/>
      <c r="E214" s="21" t="inlineStr">
        <is>
          <t>mV</t>
        </is>
      </c>
      <c r="F214" s="8" t="n"/>
      <c r="G214" s="34" t="inlineStr">
        <is>
          <t>進流水閥門取樣</t>
        </is>
      </c>
      <c r="H214" s="8" t="n"/>
      <c r="I214" s="8" t="n"/>
      <c r="J214" s="8" t="n"/>
      <c r="K214" s="8" t="n"/>
      <c r="L214" s="8" t="n"/>
      <c r="M214" s="8" t="n"/>
      <c r="N214" s="8" t="n"/>
      <c r="O214" s="8" t="n"/>
    </row>
    <row r="215" ht="15" customHeight="1">
      <c r="B215" s="8" t="n"/>
      <c r="D215" s="8" t="n"/>
      <c r="E215" s="21" t="inlineStr">
        <is>
          <t>mg/kg</t>
        </is>
      </c>
      <c r="F215" s="8" t="n"/>
      <c r="G215" s="34" t="inlineStr">
        <is>
          <t>出流水閥門取樣</t>
        </is>
      </c>
      <c r="H215" s="8" t="n"/>
      <c r="I215" s="8" t="n"/>
      <c r="J215" s="8" t="n"/>
      <c r="K215" s="8" t="n"/>
      <c r="L215" s="8" t="n"/>
      <c r="M215" s="8" t="n"/>
      <c r="N215" s="8" t="n"/>
      <c r="O215" s="8" t="n"/>
    </row>
    <row r="216" ht="24.95" customHeight="1">
      <c r="B216" s="8" t="n"/>
      <c r="D216" s="8" t="n"/>
      <c r="E216" s="21" t="inlineStr">
        <is>
          <t>μg/kg</t>
        </is>
      </c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</row>
    <row r="217" ht="24.95" customHeight="1">
      <c r="B217" s="8" t="n"/>
      <c r="D217" s="8" t="n"/>
      <c r="E217" s="21" t="inlineStr">
        <is>
          <t>µg/kg</t>
        </is>
      </c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</row>
    <row r="218" ht="24.95" customHeight="1">
      <c r="B218" s="8" t="n"/>
      <c r="D218" s="8" t="n"/>
      <c r="E218" s="21" t="inlineStr">
        <is>
          <t>ug/kg</t>
        </is>
      </c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</row>
    <row r="219" ht="24.95" customHeight="1">
      <c r="B219" s="8" t="n"/>
      <c r="D219" s="8" t="n"/>
      <c r="E219" s="21" t="inlineStr">
        <is>
          <t>℃</t>
        </is>
      </c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</row>
    <row r="220" ht="24.95" customHeight="1">
      <c r="B220" s="8" t="n"/>
      <c r="D220" s="8" t="n"/>
      <c r="E220" s="21" t="inlineStr">
        <is>
          <t>NTU</t>
        </is>
      </c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</row>
    <row r="221" ht="24.95" customHeight="1">
      <c r="E221" s="21" t="inlineStr">
        <is>
          <t>µS/cm</t>
        </is>
      </c>
    </row>
    <row r="222" ht="24.95" customHeight="1">
      <c r="E222" s="21" t="inlineStr">
        <is>
          <t>uS/cm</t>
        </is>
      </c>
    </row>
    <row r="223" ht="24.95" customHeight="1">
      <c r="E223" s="21" t="inlineStr">
        <is>
          <t>°C</t>
        </is>
      </c>
    </row>
    <row r="224" ht="24.95" customHeight="1">
      <c r="E224" s="21" t="inlineStr">
        <is>
          <t>μmho/cm</t>
        </is>
      </c>
    </row>
    <row r="225" ht="24.95" customHeight="1">
      <c r="E225" s="21" t="inlineStr">
        <is>
          <t>mv</t>
        </is>
      </c>
    </row>
    <row r="226" ht="24.95" customHeight="1">
      <c r="E226" s="21" t="inlineStr">
        <is>
          <t>ppmV</t>
        </is>
      </c>
    </row>
    <row r="227" ht="24.95" customHeight="1">
      <c r="E227" s="21" t="inlineStr">
        <is>
          <t>gene copies/L</t>
        </is>
      </c>
    </row>
    <row r="228" ht="24.95" customHeight="1">
      <c r="E228" s="21" t="inlineStr">
        <is>
          <t>CFU/ml</t>
        </is>
      </c>
    </row>
    <row r="229" ht="24.95" customHeight="1">
      <c r="E229" s="21" t="inlineStr">
        <is>
          <t>ng-TEQ/kg</t>
        </is>
      </c>
    </row>
    <row r="230">
      <c r="E230" s="21" t="inlineStr">
        <is>
          <t>%</t>
        </is>
      </c>
    </row>
    <row r="231">
      <c r="E231" s="21" t="inlineStr">
        <is>
          <t>mS/cm</t>
        </is>
      </c>
    </row>
  </sheetData>
  <mergeCells count="9">
    <mergeCell ref="M208:O208"/>
    <mergeCell ref="A205:K205"/>
    <mergeCell ref="M206:O206"/>
    <mergeCell ref="M207:O207"/>
    <mergeCell ref="A204:K204"/>
    <mergeCell ref="M211:O211"/>
    <mergeCell ref="M210:O210"/>
    <mergeCell ref="A203:K203"/>
    <mergeCell ref="M209:O209"/>
  </mergeCells>
  <conditionalFormatting sqref="I2:I151">
    <cfRule type="expression" priority="1" dxfId="0" stopIfTrue="1">
      <formula>AND(I2&lt;&gt;"",I2&lt;&gt;"OK")</formula>
    </cfRule>
  </conditionalFormatting>
  <conditionalFormatting sqref="O2:O29">
    <cfRule type="expression" priority="2" dxfId="0" stopIfTrue="1">
      <formula>AND(O2&lt;&gt;"",O2&lt;&gt;"OK")</formula>
    </cfRule>
  </conditionalFormatting>
  <dataValidations count="4">
    <dataValidation sqref="M2:M31" showDropDown="0" showInputMessage="1" showErrorMessage="1" allowBlank="1" type="decimal" operator="greaterThan">
      <formula1>0</formula1>
    </dataValidation>
    <dataValidation sqref="A2:A153" showDropDown="0" showInputMessage="1" showErrorMessage="1" allowBlank="1" errorTitle="請使用清單中的選項" error="先在對應主檔新增表格列，再於此選取。" type="list">
      <formula1>MediaList</formula1>
    </dataValidation>
    <dataValidation sqref="F2:F153 K2:L31" showDropDown="0" showInputMessage="1" showErrorMessage="1" allowBlank="1" errorTitle="請使用清單中的選項" error="先在對應主檔新增表格列，再於此選取。" type="list">
      <formula1>UnitList</formula1>
    </dataValidation>
    <dataValidation sqref="G2:G153" showDropDown="0" showInputMessage="1" showErrorMessage="1" allowBlank="1" errorTitle="請使用清單中的選項" error="先在對應主檔新增表格列，再於此選取。" type="list">
      <formula1>EnableList</formula1>
    </dataValidation>
  </dataValidations>
  <pageMargins left="0.7" right="0.7" top="0.75" bottom="0.75" header="0.3" footer="0.3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6.xml><?xml version="1.0" encoding="utf-8"?>
<worksheet xmlns="http://schemas.openxmlformats.org/spreadsheetml/2006/main">
  <sheetPr>
    <tabColor rgb="FF24465A"/>
    <outlinePr summaryBelow="1" summaryRight="1"/>
    <pageSetUpPr/>
  </sheetPr>
  <dimension ref="A1:N203"/>
  <sheetViews>
    <sheetView showGridLines="0" zoomScale="90" zoomScaleNormal="90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I3" sqref="I3"/>
    </sheetView>
  </sheetViews>
  <sheetFormatPr baseColWidth="8" defaultRowHeight="14.25"/>
  <cols>
    <col width="32.625" customWidth="1" min="1" max="1"/>
    <col width="18.625" customWidth="1" min="2" max="2"/>
    <col width="31.625" customWidth="1" min="3" max="3"/>
    <col width="20.625" customWidth="1" min="4" max="4"/>
    <col width="19.625" customWidth="1" min="5" max="6"/>
    <col width="18.625" customWidth="1" min="7" max="8"/>
    <col width="65.625" customWidth="1" min="9" max="9"/>
    <col width="18.625" customWidth="1" min="10" max="10"/>
    <col width="27.625" customWidth="1" min="11" max="11"/>
    <col width="18.625" customWidth="1" min="12" max="12"/>
    <col hidden="1" width="58.625" customWidth="1" min="13" max="13"/>
    <col width="28.625" customWidth="1" min="14" max="14"/>
  </cols>
  <sheetData>
    <row r="1" ht="44.1" customHeight="1">
      <c r="A1" s="5" t="inlineStr">
        <is>
          <t>版本代碼</t>
        </is>
      </c>
      <c r="B1" s="5" t="inlineStr">
        <is>
          <t>介質</t>
        </is>
      </c>
      <c r="C1" s="5" t="inlineStr">
        <is>
          <t>分析項目</t>
        </is>
      </c>
      <c r="D1" s="5" t="inlineStr">
        <is>
          <t>標準單位</t>
        </is>
      </c>
      <c r="E1" s="5" t="inlineStr">
        <is>
          <t>管制設定值</t>
        </is>
      </c>
      <c r="F1" s="5" t="inlineStr">
        <is>
          <t>監測設定值</t>
        </is>
      </c>
      <c r="G1" s="5" t="inlineStr">
        <is>
          <t>生效日</t>
        </is>
      </c>
      <c r="H1" s="5" t="inlineStr">
        <is>
          <t>失效日</t>
        </is>
      </c>
      <c r="I1" s="5" t="inlineStr">
        <is>
          <t>來源/文件版本</t>
        </is>
      </c>
      <c r="J1" s="5" t="inlineStr">
        <is>
          <t>核對狀態</t>
        </is>
      </c>
      <c r="K1" s="5" t="inlineStr">
        <is>
          <t>覆核人</t>
        </is>
      </c>
      <c r="L1" s="5" t="inlineStr">
        <is>
          <t>覆核日期</t>
        </is>
      </c>
      <c r="M1" s="4" t="inlineStr">
        <is>
          <t>標準鍵</t>
        </is>
      </c>
      <c r="N1" s="4" t="inlineStr">
        <is>
          <t>版本檢查</t>
        </is>
      </c>
    </row>
    <row r="2" ht="66" customHeight="1">
      <c r="A2" s="2" t="inlineStr">
        <is>
          <t>TW-GW1-20251223</t>
        </is>
      </c>
      <c r="B2" s="2" t="inlineStr">
        <is>
          <t>地下水</t>
        </is>
      </c>
      <c r="C2" s="2" t="inlineStr">
        <is>
          <t>苯</t>
        </is>
      </c>
      <c r="D2" s="2" t="inlineStr">
        <is>
          <t>mg/L</t>
        </is>
      </c>
      <c r="E2" s="97" t="n">
        <v>0.005</v>
      </c>
      <c r="F2" s="97" t="n">
        <v>0.0025</v>
      </c>
      <c r="G2" s="98" t="n">
        <v>41640</v>
      </c>
      <c r="H2" s="98" t="n"/>
      <c r="I2" s="38" t="inlineStr">
        <is>
          <t>地下水管制§4(2025-12-23)／監測§4(2013-12-18)；地下水第1類；管制第4條、監測第4條。2025修法刪除砷備註，數值門檻未變，2014-01-01起相同。</t>
        </is>
      </c>
      <c r="J2" s="2" t="inlineStr">
        <is>
          <t>已核對</t>
        </is>
      </c>
      <c r="K2" s="2" t="inlineStr">
        <is>
          <t>官方條文核對（自動）</t>
        </is>
      </c>
      <c r="L2" s="98" t="n">
        <v>46297</v>
      </c>
      <c r="M2" s="1">
        <f>IF(OR(A2="",B2="",C2=""),"",A2&amp;"|"&amp;B2&amp;"|"&amp;C2)</f>
        <v/>
      </c>
      <c r="N2" s="33">
        <f>IF(COUNTA(A2:L2)=0,"",IF(OR(A2="",B2="",C2="",D2="",I2="",J2=""),"缺必要欄位",IF(COUNTIFS(DB_05[標準鍵],M2)&gt;1,"標準鍵重複",IF(AND(G2&lt;&gt;"",H2&lt;&gt;"",G2&gt;H2),"日期起迄錯誤",IF(OR(AND(E2&lt;&gt;"",NOT(ISNUMBER(E2))),AND(F2&lt;&gt;"",NOT(ISNUMBER(F2)))),"標準非數值",IF(AND(J2="已核對",OR(K2="",NOT(ISNUMBER(L2)),NOT(ISNUMBER(G2)))),"缺核對資料","OK"))))))</f>
        <v/>
      </c>
    </row>
    <row r="3" ht="66" customHeight="1">
      <c r="A3" s="2" t="inlineStr">
        <is>
          <t>TW-GW2-20251223</t>
        </is>
      </c>
      <c r="B3" s="2" t="inlineStr">
        <is>
          <t>地下水</t>
        </is>
      </c>
      <c r="C3" s="2" t="inlineStr">
        <is>
          <t>苯</t>
        </is>
      </c>
      <c r="D3" s="2" t="inlineStr">
        <is>
          <t>mg/L</t>
        </is>
      </c>
      <c r="E3" s="97" t="n">
        <v>0.05</v>
      </c>
      <c r="F3" s="97" t="n">
        <v>0.025</v>
      </c>
      <c r="G3" s="98" t="n">
        <v>41640</v>
      </c>
      <c r="H3" s="98" t="n"/>
      <c r="I3" s="38" t="inlineStr">
        <is>
          <t>地下水管制§4(2025-12-23)／監測§4(2013-12-18)；地下水第2類；管制第4條、監測第4條。2025修法刪除砷備註，數值門檻未變，2014-01-01起相同。</t>
        </is>
      </c>
      <c r="J3" s="2" t="inlineStr">
        <is>
          <t>已核對</t>
        </is>
      </c>
      <c r="K3" s="2" t="inlineStr">
        <is>
          <t>官方條文核對（自動）</t>
        </is>
      </c>
      <c r="L3" s="98" t="n">
        <v>46297</v>
      </c>
      <c r="M3" s="1">
        <f>IF(OR(A3="",B3="",C3=""),"",A3&amp;"|"&amp;B3&amp;"|"&amp;C3)</f>
        <v/>
      </c>
      <c r="N3" s="33">
        <f>IF(COUNTA(A3:L3)=0,"",IF(OR(A3="",B3="",C3="",D3="",I3="",J3=""),"缺必要欄位",IF(COUNTIFS(DB_05[標準鍵],M3)&gt;1,"標準鍵重複",IF(AND(G3&lt;&gt;"",H3&lt;&gt;"",G3&gt;H3),"日期起迄錯誤",IF(OR(AND(E3&lt;&gt;"",NOT(ISNUMBER(E3))),AND(F3&lt;&gt;"",NOT(ISNUMBER(F3)))),"標準非數值",IF(AND(J3="已核對",OR(K3="",NOT(ISNUMBER(L3)),NOT(ISNUMBER(G3)))),"缺核對資料","OK"))))))</f>
        <v/>
      </c>
    </row>
    <row r="4" ht="66" customHeight="1">
      <c r="A4" s="2" t="inlineStr">
        <is>
          <t>TW-GW1-20251223</t>
        </is>
      </c>
      <c r="B4" s="2" t="inlineStr">
        <is>
          <t>地下水</t>
        </is>
      </c>
      <c r="C4" s="2" t="inlineStr">
        <is>
          <t>甲苯</t>
        </is>
      </c>
      <c r="D4" s="2" t="inlineStr">
        <is>
          <t>mg/L</t>
        </is>
      </c>
      <c r="E4" s="97" t="n">
        <v>1</v>
      </c>
      <c r="F4" s="97" t="n">
        <v>0.5</v>
      </c>
      <c r="G4" s="98" t="n">
        <v>41640</v>
      </c>
      <c r="H4" s="98" t="n"/>
      <c r="I4" s="38" t="inlineStr">
        <is>
          <t>地下水管制§4(2025-12-23)／監測§4(2013-12-18)；地下水第1類；管制第4條、監測第4條。2025修法刪除砷備註，數值門檻未變，2014-01-01起相同。</t>
        </is>
      </c>
      <c r="J4" s="2" t="inlineStr">
        <is>
          <t>已核對</t>
        </is>
      </c>
      <c r="K4" s="2" t="inlineStr">
        <is>
          <t>官方條文核對（自動）</t>
        </is>
      </c>
      <c r="L4" s="98" t="n">
        <v>46297</v>
      </c>
      <c r="M4" s="1">
        <f>IF(OR(A4="",B4="",C4=""),"",A4&amp;"|"&amp;B4&amp;"|"&amp;C4)</f>
        <v/>
      </c>
      <c r="N4" s="33">
        <f>IF(COUNTA(A4:L4)=0,"",IF(OR(A4="",B4="",C4="",D4="",I4="",J4=""),"缺必要欄位",IF(COUNTIFS(DB_05[標準鍵],M4)&gt;1,"標準鍵重複",IF(AND(G4&lt;&gt;"",H4&lt;&gt;"",G4&gt;H4),"日期起迄錯誤",IF(OR(AND(E4&lt;&gt;"",NOT(ISNUMBER(E4))),AND(F4&lt;&gt;"",NOT(ISNUMBER(F4)))),"標準非數值",IF(AND(J4="已核對",OR(K4="",NOT(ISNUMBER(L4)),NOT(ISNUMBER(G4)))),"缺核對資料","OK"))))))</f>
        <v/>
      </c>
    </row>
    <row r="5" ht="66" customHeight="1">
      <c r="A5" s="2" t="inlineStr">
        <is>
          <t>TW-GW2-20251223</t>
        </is>
      </c>
      <c r="B5" s="2" t="inlineStr">
        <is>
          <t>地下水</t>
        </is>
      </c>
      <c r="C5" s="2" t="inlineStr">
        <is>
          <t>甲苯</t>
        </is>
      </c>
      <c r="D5" s="2" t="inlineStr">
        <is>
          <t>mg/L</t>
        </is>
      </c>
      <c r="E5" s="97" t="n">
        <v>10</v>
      </c>
      <c r="F5" s="97" t="n">
        <v>5</v>
      </c>
      <c r="G5" s="98" t="n">
        <v>41640</v>
      </c>
      <c r="H5" s="98" t="n"/>
      <c r="I5" s="38" t="inlineStr">
        <is>
          <t>地下水管制§4(2025-12-23)／監測§4(2013-12-18)；地下水第2類；管制第4條、監測第4條。2025修法刪除砷備註，數值門檻未變，2014-01-01起相同。</t>
        </is>
      </c>
      <c r="J5" s="2" t="inlineStr">
        <is>
          <t>已核對</t>
        </is>
      </c>
      <c r="K5" s="2" t="inlineStr">
        <is>
          <t>官方條文核對（自動）</t>
        </is>
      </c>
      <c r="L5" s="98" t="n">
        <v>46297</v>
      </c>
      <c r="M5" s="1">
        <f>IF(OR(A5="",B5="",C5=""),"",A5&amp;"|"&amp;B5&amp;"|"&amp;C5)</f>
        <v/>
      </c>
      <c r="N5" s="33">
        <f>IF(COUNTA(A5:L5)=0,"",IF(OR(A5="",B5="",C5="",D5="",I5="",J5=""),"缺必要欄位",IF(COUNTIFS(DB_05[標準鍵],M5)&gt;1,"標準鍵重複",IF(AND(G5&lt;&gt;"",H5&lt;&gt;"",G5&gt;H5),"日期起迄錯誤",IF(OR(AND(E5&lt;&gt;"",NOT(ISNUMBER(E5))),AND(F5&lt;&gt;"",NOT(ISNUMBER(F5)))),"標準非數值",IF(AND(J5="已核對",OR(K5="",NOT(ISNUMBER(L5)),NOT(ISNUMBER(G5)))),"缺核對資料","OK"))))))</f>
        <v/>
      </c>
    </row>
    <row r="6" ht="66" customHeight="1">
      <c r="A6" s="2" t="inlineStr">
        <is>
          <t>TW-GW1-20251223</t>
        </is>
      </c>
      <c r="B6" s="2" t="inlineStr">
        <is>
          <t>地下水</t>
        </is>
      </c>
      <c r="C6" s="2" t="inlineStr">
        <is>
          <t>乙苯</t>
        </is>
      </c>
      <c r="D6" s="2" t="inlineStr">
        <is>
          <t>mg/L</t>
        </is>
      </c>
      <c r="E6" s="97" t="n">
        <v>0.7</v>
      </c>
      <c r="F6" s="97" t="n">
        <v>0.35</v>
      </c>
      <c r="G6" s="98" t="n">
        <v>41640</v>
      </c>
      <c r="H6" s="98" t="n"/>
      <c r="I6" s="38" t="inlineStr">
        <is>
          <t>地下水管制§4(2025-12-23)／監測§4(2013-12-18)；地下水第1類；管制第4條、監測第4條。2025修法刪除砷備註，數值門檻未變，2014-01-01起相同。</t>
        </is>
      </c>
      <c r="J6" s="2" t="inlineStr">
        <is>
          <t>已核對</t>
        </is>
      </c>
      <c r="K6" s="2" t="inlineStr">
        <is>
          <t>官方條文核對（自動）</t>
        </is>
      </c>
      <c r="L6" s="98" t="n">
        <v>46297</v>
      </c>
      <c r="M6" s="1">
        <f>IF(OR(A6="",B6="",C6=""),"",A6&amp;"|"&amp;B6&amp;"|"&amp;C6)</f>
        <v/>
      </c>
      <c r="N6" s="33">
        <f>IF(COUNTA(A6:L6)=0,"",IF(OR(A6="",B6="",C6="",D6="",I6="",J6=""),"缺必要欄位",IF(COUNTIFS(DB_05[標準鍵],M6)&gt;1,"標準鍵重複",IF(AND(G6&lt;&gt;"",H6&lt;&gt;"",G6&gt;H6),"日期起迄錯誤",IF(OR(AND(E6&lt;&gt;"",NOT(ISNUMBER(E6))),AND(F6&lt;&gt;"",NOT(ISNUMBER(F6)))),"標準非數值",IF(AND(J6="已核對",OR(K6="",NOT(ISNUMBER(L6)),NOT(ISNUMBER(G6)))),"缺核對資料","OK"))))))</f>
        <v/>
      </c>
    </row>
    <row r="7" ht="66" customHeight="1">
      <c r="A7" s="2" t="inlineStr">
        <is>
          <t>TW-GW2-20251223</t>
        </is>
      </c>
      <c r="B7" s="2" t="inlineStr">
        <is>
          <t>地下水</t>
        </is>
      </c>
      <c r="C7" s="2" t="inlineStr">
        <is>
          <t>乙苯</t>
        </is>
      </c>
      <c r="D7" s="2" t="inlineStr">
        <is>
          <t>mg/L</t>
        </is>
      </c>
      <c r="E7" s="97" t="n">
        <v>7</v>
      </c>
      <c r="F7" s="97" t="n">
        <v>3.5</v>
      </c>
      <c r="G7" s="98" t="n">
        <v>41640</v>
      </c>
      <c r="H7" s="98" t="n"/>
      <c r="I7" s="38" t="inlineStr">
        <is>
          <t>地下水管制§4(2025-12-23)／監測§4(2013-12-18)；地下水第2類；管制第4條、監測第4條。2025修法刪除砷備註，數值門檻未變，2014-01-01起相同。</t>
        </is>
      </c>
      <c r="J7" s="2" t="inlineStr">
        <is>
          <t>已核對</t>
        </is>
      </c>
      <c r="K7" s="2" t="inlineStr">
        <is>
          <t>官方條文核對（自動）</t>
        </is>
      </c>
      <c r="L7" s="98" t="n">
        <v>46297</v>
      </c>
      <c r="M7" s="1">
        <f>IF(OR(A7="",B7="",C7=""),"",A7&amp;"|"&amp;B7&amp;"|"&amp;C7)</f>
        <v/>
      </c>
      <c r="N7" s="33">
        <f>IF(COUNTA(A7:L7)=0,"",IF(OR(A7="",B7="",C7="",D7="",I7="",J7=""),"缺必要欄位",IF(COUNTIFS(DB_05[標準鍵],M7)&gt;1,"標準鍵重複",IF(AND(G7&lt;&gt;"",H7&lt;&gt;"",G7&gt;H7),"日期起迄錯誤",IF(OR(AND(E7&lt;&gt;"",NOT(ISNUMBER(E7))),AND(F7&lt;&gt;"",NOT(ISNUMBER(F7)))),"標準非數值",IF(AND(J7="已核對",OR(K7="",NOT(ISNUMBER(L7)),NOT(ISNUMBER(G7)))),"缺核對資料","OK"))))))</f>
        <v/>
      </c>
    </row>
    <row r="8" ht="66" customHeight="1">
      <c r="A8" s="2" t="inlineStr">
        <is>
          <t>TW-GW1-20251223</t>
        </is>
      </c>
      <c r="B8" s="2" t="inlineStr">
        <is>
          <t>地下水</t>
        </is>
      </c>
      <c r="C8" s="2" t="inlineStr">
        <is>
          <t>二甲苯</t>
        </is>
      </c>
      <c r="D8" s="2" t="inlineStr">
        <is>
          <t>mg/L</t>
        </is>
      </c>
      <c r="E8" s="97" t="n">
        <v>10</v>
      </c>
      <c r="F8" s="97" t="n">
        <v>5</v>
      </c>
      <c r="G8" s="98" t="n">
        <v>41640</v>
      </c>
      <c r="H8" s="98" t="n"/>
      <c r="I8" s="38" t="inlineStr">
        <is>
          <t>地下水管制§4(2025-12-23)／監測§4(2013-12-18)；地下水第1類；管制第4條、監測第4條。2025修法刪除砷備註，數值門檻未變，2014-01-01起相同。</t>
        </is>
      </c>
      <c r="J8" s="2" t="inlineStr">
        <is>
          <t>已核對</t>
        </is>
      </c>
      <c r="K8" s="2" t="inlineStr">
        <is>
          <t>官方條文核對（自動）</t>
        </is>
      </c>
      <c r="L8" s="98" t="n">
        <v>46297</v>
      </c>
      <c r="M8" s="1">
        <f>IF(OR(A8="",B8="",C8=""),"",A8&amp;"|"&amp;B8&amp;"|"&amp;C8)</f>
        <v/>
      </c>
      <c r="N8" s="33">
        <f>IF(COUNTA(A8:L8)=0,"",IF(OR(A8="",B8="",C8="",D8="",I8="",J8=""),"缺必要欄位",IF(COUNTIFS(DB_05[標準鍵],M8)&gt;1,"標準鍵重複",IF(AND(G8&lt;&gt;"",H8&lt;&gt;"",G8&gt;H8),"日期起迄錯誤",IF(OR(AND(E8&lt;&gt;"",NOT(ISNUMBER(E8))),AND(F8&lt;&gt;"",NOT(ISNUMBER(F8)))),"標準非數值",IF(AND(J8="已核對",OR(K8="",NOT(ISNUMBER(L8)),NOT(ISNUMBER(G8)))),"缺核對資料","OK"))))))</f>
        <v/>
      </c>
    </row>
    <row r="9" ht="66" customHeight="1">
      <c r="A9" s="2" t="inlineStr">
        <is>
          <t>TW-GW2-20251223</t>
        </is>
      </c>
      <c r="B9" s="2" t="inlineStr">
        <is>
          <t>地下水</t>
        </is>
      </c>
      <c r="C9" s="2" t="inlineStr">
        <is>
          <t>二甲苯</t>
        </is>
      </c>
      <c r="D9" s="2" t="inlineStr">
        <is>
          <t>mg/L</t>
        </is>
      </c>
      <c r="E9" s="97" t="n">
        <v>100</v>
      </c>
      <c r="F9" s="97" t="n">
        <v>50</v>
      </c>
      <c r="G9" s="98" t="n">
        <v>41640</v>
      </c>
      <c r="H9" s="98" t="n"/>
      <c r="I9" s="38" t="inlineStr">
        <is>
          <t>地下水管制§4(2025-12-23)／監測§4(2013-12-18)；地下水第2類；管制第4條、監測第4條。2025修法刪除砷備註，數值門檻未變，2014-01-01起相同。</t>
        </is>
      </c>
      <c r="J9" s="2" t="inlineStr">
        <is>
          <t>已核對</t>
        </is>
      </c>
      <c r="K9" s="2" t="inlineStr">
        <is>
          <t>官方條文核對（自動）</t>
        </is>
      </c>
      <c r="L9" s="98" t="n">
        <v>46297</v>
      </c>
      <c r="M9" s="1">
        <f>IF(OR(A9="",B9="",C9=""),"",A9&amp;"|"&amp;B9&amp;"|"&amp;C9)</f>
        <v/>
      </c>
      <c r="N9" s="33">
        <f>IF(COUNTA(A9:L9)=0,"",IF(OR(A9="",B9="",C9="",D9="",I9="",J9=""),"缺必要欄位",IF(COUNTIFS(DB_05[標準鍵],M9)&gt;1,"標準鍵重複",IF(AND(G9&lt;&gt;"",H9&lt;&gt;"",G9&gt;H9),"日期起迄錯誤",IF(OR(AND(E9&lt;&gt;"",NOT(ISNUMBER(E9))),AND(F9&lt;&gt;"",NOT(ISNUMBER(F9)))),"標準非數值",IF(AND(J9="已核對",OR(K9="",NOT(ISNUMBER(L9)),NOT(ISNUMBER(G9)))),"缺核對資料","OK"))))))</f>
        <v/>
      </c>
    </row>
    <row r="10" ht="66" customHeight="1">
      <c r="A10" s="2" t="inlineStr">
        <is>
          <t>TW-GW1-20251223</t>
        </is>
      </c>
      <c r="B10" s="2" t="inlineStr">
        <is>
          <t>地下水</t>
        </is>
      </c>
      <c r="C10" s="2" t="inlineStr">
        <is>
          <t>萘</t>
        </is>
      </c>
      <c r="D10" s="2" t="inlineStr">
        <is>
          <t>mg/L</t>
        </is>
      </c>
      <c r="E10" s="97" t="n">
        <v>0.04</v>
      </c>
      <c r="F10" s="97" t="n">
        <v>0.02</v>
      </c>
      <c r="G10" s="98" t="n">
        <v>41640</v>
      </c>
      <c r="H10" s="98" t="n"/>
      <c r="I10" s="38" t="inlineStr">
        <is>
          <t>地下水管制§4(2025-12-23)／監測§4(2013-12-18)；地下水第1類；管制第4條、監測第4條。2025修法刪除砷備註，數值門檻未變，2014-01-01起相同。</t>
        </is>
      </c>
      <c r="J10" s="2" t="inlineStr">
        <is>
          <t>已核對</t>
        </is>
      </c>
      <c r="K10" s="2" t="inlineStr">
        <is>
          <t>官方條文核對（自動）</t>
        </is>
      </c>
      <c r="L10" s="98" t="n">
        <v>46297</v>
      </c>
      <c r="M10" s="1">
        <f>IF(OR(A10="",B10="",C10=""),"",A10&amp;"|"&amp;B10&amp;"|"&amp;C10)</f>
        <v/>
      </c>
      <c r="N10" s="33">
        <f>IF(COUNTA(A10:L10)=0,"",IF(OR(A10="",B10="",C10="",D10="",I10="",J10=""),"缺必要欄位",IF(COUNTIFS(DB_05[標準鍵],M10)&gt;1,"標準鍵重複",IF(AND(G10&lt;&gt;"",H10&lt;&gt;"",G10&gt;H10),"日期起迄錯誤",IF(OR(AND(E10&lt;&gt;"",NOT(ISNUMBER(E10))),AND(F10&lt;&gt;"",NOT(ISNUMBER(F10)))),"標準非數值",IF(AND(J10="已核對",OR(K10="",NOT(ISNUMBER(L10)),NOT(ISNUMBER(G10)))),"缺核對資料","OK"))))))</f>
        <v/>
      </c>
    </row>
    <row r="11" ht="66" customHeight="1">
      <c r="A11" s="2" t="inlineStr">
        <is>
          <t>TW-GW2-20251223</t>
        </is>
      </c>
      <c r="B11" s="2" t="inlineStr">
        <is>
          <t>地下水</t>
        </is>
      </c>
      <c r="C11" s="2" t="inlineStr">
        <is>
          <t>萘</t>
        </is>
      </c>
      <c r="D11" s="2" t="inlineStr">
        <is>
          <t>mg/L</t>
        </is>
      </c>
      <c r="E11" s="97" t="n">
        <v>0.4</v>
      </c>
      <c r="F11" s="97" t="n">
        <v>0.2</v>
      </c>
      <c r="G11" s="98" t="n">
        <v>41640</v>
      </c>
      <c r="H11" s="98" t="n"/>
      <c r="I11" s="38" t="inlineStr">
        <is>
          <t>地下水管制§4(2025-12-23)／監測§4(2013-12-18)；地下水第2類；管制第4條、監測第4條。2025修法刪除砷備註，數值門檻未變，2014-01-01起相同。</t>
        </is>
      </c>
      <c r="J11" s="2" t="inlineStr">
        <is>
          <t>已核對</t>
        </is>
      </c>
      <c r="K11" s="2" t="inlineStr">
        <is>
          <t>官方條文核對（自動）</t>
        </is>
      </c>
      <c r="L11" s="98" t="n">
        <v>46297</v>
      </c>
      <c r="M11" s="1">
        <f>IF(OR(A11="",B11="",C11=""),"",A11&amp;"|"&amp;B11&amp;"|"&amp;C11)</f>
        <v/>
      </c>
      <c r="N11" s="33">
        <f>IF(COUNTA(A11:L11)=0,"",IF(OR(A11="",B11="",C11="",D11="",I11="",J11=""),"缺必要欄位",IF(COUNTIFS(DB_05[標準鍵],M11)&gt;1,"標準鍵重複",IF(AND(G11&lt;&gt;"",H11&lt;&gt;"",G11&gt;H11),"日期起迄錯誤",IF(OR(AND(E11&lt;&gt;"",NOT(ISNUMBER(E11))),AND(F11&lt;&gt;"",NOT(ISNUMBER(F11)))),"標準非數值",IF(AND(J11="已核對",OR(K11="",NOT(ISNUMBER(L11)),NOT(ISNUMBER(G11)))),"缺核對資料","OK"))))))</f>
        <v/>
      </c>
    </row>
    <row r="12" ht="66" customHeight="1">
      <c r="A12" s="2" t="inlineStr">
        <is>
          <t>TW-GW1-20251223</t>
        </is>
      </c>
      <c r="B12" s="2" t="inlineStr">
        <is>
          <t>地下水</t>
        </is>
      </c>
      <c r="C12" s="2" t="inlineStr">
        <is>
          <t>四氯化碳</t>
        </is>
      </c>
      <c r="D12" s="2" t="inlineStr">
        <is>
          <t>mg/L</t>
        </is>
      </c>
      <c r="E12" s="97" t="n">
        <v>0.005</v>
      </c>
      <c r="F12" s="97" t="n">
        <v>0.0025</v>
      </c>
      <c r="G12" s="98" t="n">
        <v>41640</v>
      </c>
      <c r="H12" s="98" t="n"/>
      <c r="I12" s="38" t="inlineStr">
        <is>
          <t>地下水管制§4(2025-12-23)／監測§4(2013-12-18)；地下水第1類；管制第4條、監測第4條。2025修法刪除砷備註，數值門檻未變，2014-01-01起相同。</t>
        </is>
      </c>
      <c r="J12" s="2" t="inlineStr">
        <is>
          <t>停用</t>
        </is>
      </c>
      <c r="K12" s="2" t="inlineStr">
        <is>
          <t>官方條文核對（自動）</t>
        </is>
      </c>
      <c r="L12" s="98" t="n">
        <v>46297</v>
      </c>
      <c r="M12" s="1">
        <f>IF(OR(A12="",B12="",C12=""),"",A12&amp;"|"&amp;B12&amp;"|"&amp;C12)</f>
        <v/>
      </c>
      <c r="N12" s="33">
        <f>IF(COUNTA(A12:L12)=0,"",IF(OR(A12="",B12="",C12="",D12="",I12="",J12=""),"缺必要欄位",IF(COUNTIFS(DB_05[標準鍵],M12)&gt;1,"標準鍵重複",IF(AND(G12&lt;&gt;"",H12&lt;&gt;"",G12&gt;H12),"日期起迄錯誤",IF(OR(AND(E12&lt;&gt;"",NOT(ISNUMBER(E12))),AND(F12&lt;&gt;"",NOT(ISNUMBER(F12)))),"標準非數值",IF(AND(J12="已核對",OR(K12="",NOT(ISNUMBER(L12)),NOT(ISNUMBER(G12)))),"缺核對資料","OK"))))))</f>
        <v/>
      </c>
    </row>
    <row r="13" ht="66" customHeight="1">
      <c r="A13" s="2" t="inlineStr">
        <is>
          <t>TW-GW2-20251223</t>
        </is>
      </c>
      <c r="B13" s="2" t="inlineStr">
        <is>
          <t>地下水</t>
        </is>
      </c>
      <c r="C13" s="2" t="inlineStr">
        <is>
          <t>四氯化碳</t>
        </is>
      </c>
      <c r="D13" s="2" t="inlineStr">
        <is>
          <t>mg/L</t>
        </is>
      </c>
      <c r="E13" s="97" t="n">
        <v>0.05</v>
      </c>
      <c r="F13" s="97" t="n">
        <v>0.025</v>
      </c>
      <c r="G13" s="98" t="n">
        <v>41640</v>
      </c>
      <c r="H13" s="98" t="n"/>
      <c r="I13" s="38" t="inlineStr">
        <is>
          <t>地下水管制§4(2025-12-23)／監測§4(2013-12-18)；地下水第2類；管制第4條、監測第4條。2025修法刪除砷備註，數值門檻未變，2014-01-01起相同。</t>
        </is>
      </c>
      <c r="J13" s="2" t="inlineStr">
        <is>
          <t>已核對</t>
        </is>
      </c>
      <c r="K13" s="2" t="inlineStr">
        <is>
          <t>官方條文核對（自動）</t>
        </is>
      </c>
      <c r="L13" s="98" t="n">
        <v>46297</v>
      </c>
      <c r="M13" s="1">
        <f>IF(OR(A13="",B13="",C13=""),"",A13&amp;"|"&amp;B13&amp;"|"&amp;C13)</f>
        <v/>
      </c>
      <c r="N13" s="33">
        <f>IF(COUNTA(A13:L13)=0,"",IF(OR(A13="",B13="",C13="",D13="",I13="",J13=""),"缺必要欄位",IF(COUNTIFS(DB_05[標準鍵],M13)&gt;1,"標準鍵重複",IF(AND(G13&lt;&gt;"",H13&lt;&gt;"",G13&gt;H13),"日期起迄錯誤",IF(OR(AND(E13&lt;&gt;"",NOT(ISNUMBER(E13))),AND(F13&lt;&gt;"",NOT(ISNUMBER(F13)))),"標準非數值",IF(AND(J13="已核對",OR(K13="",NOT(ISNUMBER(L13)),NOT(ISNUMBER(G13)))),"缺核對資料","OK"))))))</f>
        <v/>
      </c>
    </row>
    <row r="14" ht="66" customHeight="1">
      <c r="A14" s="2" t="inlineStr">
        <is>
          <t>TW-GW1-20251223</t>
        </is>
      </c>
      <c r="B14" s="2" t="inlineStr">
        <is>
          <t>地下水</t>
        </is>
      </c>
      <c r="C14" s="2" t="inlineStr">
        <is>
          <t>氯苯</t>
        </is>
      </c>
      <c r="D14" s="2" t="inlineStr">
        <is>
          <t>mg/L</t>
        </is>
      </c>
      <c r="E14" s="97" t="n">
        <v>0.1</v>
      </c>
      <c r="F14" s="97" t="n">
        <v>0.05</v>
      </c>
      <c r="G14" s="98" t="n">
        <v>41640</v>
      </c>
      <c r="H14" s="98" t="n"/>
      <c r="I14" s="38" t="inlineStr">
        <is>
          <t>地下水管制§4(2025-12-23)／監測§4(2013-12-18)；地下水第1類；管制第4條、監測第4條。2025修法刪除砷備註，數值門檻未變，2014-01-01起相同。</t>
        </is>
      </c>
      <c r="J14" s="2" t="inlineStr">
        <is>
          <t>已核對</t>
        </is>
      </c>
      <c r="K14" s="2" t="inlineStr">
        <is>
          <t>官方條文核對（自動）</t>
        </is>
      </c>
      <c r="L14" s="98" t="n">
        <v>46297</v>
      </c>
      <c r="M14" s="1">
        <f>IF(OR(A14="",B14="",C14=""),"",A14&amp;"|"&amp;B14&amp;"|"&amp;C14)</f>
        <v/>
      </c>
      <c r="N14" s="33">
        <f>IF(COUNTA(A14:L14)=0,"",IF(OR(A14="",B14="",C14="",D14="",I14="",J14=""),"缺必要欄位",IF(COUNTIFS(DB_05[標準鍵],M14)&gt;1,"標準鍵重複",IF(AND(G14&lt;&gt;"",H14&lt;&gt;"",G14&gt;H14),"日期起迄錯誤",IF(OR(AND(E14&lt;&gt;"",NOT(ISNUMBER(E14))),AND(F14&lt;&gt;"",NOT(ISNUMBER(F14)))),"標準非數值",IF(AND(J14="已核對",OR(K14="",NOT(ISNUMBER(L14)),NOT(ISNUMBER(G14)))),"缺核對資料","OK"))))))</f>
        <v/>
      </c>
    </row>
    <row r="15" ht="66" customHeight="1">
      <c r="A15" s="2" t="inlineStr">
        <is>
          <t>TW-GW2-20251223</t>
        </is>
      </c>
      <c r="B15" s="2" t="inlineStr">
        <is>
          <t>地下水</t>
        </is>
      </c>
      <c r="C15" s="2" t="inlineStr">
        <is>
          <t>氯苯</t>
        </is>
      </c>
      <c r="D15" s="2" t="inlineStr">
        <is>
          <t>mg/L</t>
        </is>
      </c>
      <c r="E15" s="97" t="n">
        <v>1</v>
      </c>
      <c r="F15" s="97" t="n">
        <v>0.5</v>
      </c>
      <c r="G15" s="98" t="n">
        <v>41640</v>
      </c>
      <c r="H15" s="98" t="n"/>
      <c r="I15" s="38" t="inlineStr">
        <is>
          <t>地下水管制§4(2025-12-23)／監測§4(2013-12-18)；地下水第2類；管制第4條、監測第4條。2025修法刪除砷備註，數值門檻未變，2014-01-01起相同。</t>
        </is>
      </c>
      <c r="J15" s="2" t="inlineStr">
        <is>
          <t>已核對</t>
        </is>
      </c>
      <c r="K15" s="2" t="inlineStr">
        <is>
          <t>官方條文核對（自動）</t>
        </is>
      </c>
      <c r="L15" s="98" t="n">
        <v>46297</v>
      </c>
      <c r="M15" s="1">
        <f>IF(OR(A15="",B15="",C15=""),"",A15&amp;"|"&amp;B15&amp;"|"&amp;C15)</f>
        <v/>
      </c>
      <c r="N15" s="33">
        <f>IF(COUNTA(A15:L15)=0,"",IF(OR(A15="",B15="",C15="",D15="",I15="",J15=""),"缺必要欄位",IF(COUNTIFS(DB_05[標準鍵],M15)&gt;1,"標準鍵重複",IF(AND(G15&lt;&gt;"",H15&lt;&gt;"",G15&gt;H15),"日期起迄錯誤",IF(OR(AND(E15&lt;&gt;"",NOT(ISNUMBER(E15))),AND(F15&lt;&gt;"",NOT(ISNUMBER(F15)))),"標準非數值",IF(AND(J15="已核對",OR(K15="",NOT(ISNUMBER(L15)),NOT(ISNUMBER(G15)))),"缺核對資料","OK"))))))</f>
        <v/>
      </c>
    </row>
    <row r="16" ht="66" customHeight="1">
      <c r="A16" s="2" t="inlineStr">
        <is>
          <t>TW-GW1-20251223</t>
        </is>
      </c>
      <c r="B16" s="2" t="inlineStr">
        <is>
          <t>地下水</t>
        </is>
      </c>
      <c r="C16" s="2" t="inlineStr">
        <is>
          <t>氯仿</t>
        </is>
      </c>
      <c r="D16" s="2" t="inlineStr">
        <is>
          <t>mg/L</t>
        </is>
      </c>
      <c r="E16" s="97" t="n">
        <v>0.1</v>
      </c>
      <c r="F16" s="97" t="n">
        <v>0.05</v>
      </c>
      <c r="G16" s="98" t="n">
        <v>41640</v>
      </c>
      <c r="H16" s="98" t="n"/>
      <c r="I16" s="38" t="inlineStr">
        <is>
          <t>地下水管制§4(2025-12-23)／監測§4(2013-12-18)；地下水第1類；管制第4條、監測第4條。2025修法刪除砷備註，數值門檻未變，2014-01-01起相同。</t>
        </is>
      </c>
      <c r="J16" s="2" t="inlineStr">
        <is>
          <t>已核對</t>
        </is>
      </c>
      <c r="K16" s="2" t="inlineStr">
        <is>
          <t>官方條文核對（自動）</t>
        </is>
      </c>
      <c r="L16" s="98" t="n">
        <v>46297</v>
      </c>
      <c r="M16" s="1">
        <f>IF(OR(A16="",B16="",C16=""),"",A16&amp;"|"&amp;B16&amp;"|"&amp;C16)</f>
        <v/>
      </c>
      <c r="N16" s="33">
        <f>IF(COUNTA(A16:L16)=0,"",IF(OR(A16="",B16="",C16="",D16="",I16="",J16=""),"缺必要欄位",IF(COUNTIFS(DB_05[標準鍵],M16)&gt;1,"標準鍵重複",IF(AND(G16&lt;&gt;"",H16&lt;&gt;"",G16&gt;H16),"日期起迄錯誤",IF(OR(AND(E16&lt;&gt;"",NOT(ISNUMBER(E16))),AND(F16&lt;&gt;"",NOT(ISNUMBER(F16)))),"標準非數值",IF(AND(J16="已核對",OR(K16="",NOT(ISNUMBER(L16)),NOT(ISNUMBER(G16)))),"缺核對資料","OK"))))))</f>
        <v/>
      </c>
    </row>
    <row r="17" ht="66" customHeight="1">
      <c r="A17" s="2" t="inlineStr">
        <is>
          <t>TW-GW2-20251223</t>
        </is>
      </c>
      <c r="B17" s="2" t="inlineStr">
        <is>
          <t>地下水</t>
        </is>
      </c>
      <c r="C17" s="2" t="inlineStr">
        <is>
          <t>氯仿</t>
        </is>
      </c>
      <c r="D17" s="2" t="inlineStr">
        <is>
          <t>mg/L</t>
        </is>
      </c>
      <c r="E17" s="97" t="n">
        <v>1</v>
      </c>
      <c r="F17" s="97" t="n">
        <v>0.5</v>
      </c>
      <c r="G17" s="98" t="n">
        <v>41640</v>
      </c>
      <c r="H17" s="98" t="n"/>
      <c r="I17" s="38" t="inlineStr">
        <is>
          <t>地下水管制§4(2025-12-23)／監測§4(2013-12-18)；地下水第2類；管制第4條、監測第4條。2025修法刪除砷備註，數值門檻未變，2014-01-01起相同。</t>
        </is>
      </c>
      <c r="J17" s="2" t="inlineStr">
        <is>
          <t>已核對</t>
        </is>
      </c>
      <c r="K17" s="2" t="inlineStr">
        <is>
          <t>官方條文核對（自動）</t>
        </is>
      </c>
      <c r="L17" s="98" t="n">
        <v>46297</v>
      </c>
      <c r="M17" s="1">
        <f>IF(OR(A17="",B17="",C17=""),"",A17&amp;"|"&amp;B17&amp;"|"&amp;C17)</f>
        <v/>
      </c>
      <c r="N17" s="33">
        <f>IF(COUNTA(A17:L17)=0,"",IF(OR(A17="",B17="",C17="",D17="",I17="",J17=""),"缺必要欄位",IF(COUNTIFS(DB_05[標準鍵],M17)&gt;1,"標準鍵重複",IF(AND(G17&lt;&gt;"",H17&lt;&gt;"",G17&gt;H17),"日期起迄錯誤",IF(OR(AND(E17&lt;&gt;"",NOT(ISNUMBER(E17))),AND(F17&lt;&gt;"",NOT(ISNUMBER(F17)))),"標準非數值",IF(AND(J17="已核對",OR(K17="",NOT(ISNUMBER(L17)),NOT(ISNUMBER(G17)))),"缺核對資料","OK"))))))</f>
        <v/>
      </c>
    </row>
    <row r="18" ht="66" customHeight="1">
      <c r="A18" s="2" t="inlineStr">
        <is>
          <t>TW-GW1-20251223</t>
        </is>
      </c>
      <c r="B18" s="2" t="inlineStr">
        <is>
          <t>地下水</t>
        </is>
      </c>
      <c r="C18" s="2" t="inlineStr">
        <is>
          <t>氯甲烷</t>
        </is>
      </c>
      <c r="D18" s="2" t="inlineStr">
        <is>
          <t>mg/L</t>
        </is>
      </c>
      <c r="E18" s="97" t="n">
        <v>0.03</v>
      </c>
      <c r="F18" s="97" t="n">
        <v>0.015</v>
      </c>
      <c r="G18" s="98" t="n">
        <v>41640</v>
      </c>
      <c r="H18" s="98" t="n"/>
      <c r="I18" s="38" t="inlineStr">
        <is>
          <t>地下水管制§4(2025-12-23)／監測§4(2013-12-18)；地下水第1類；管制第4條、監測第4條。2025修法刪除砷備註，數值門檻未變，2014-01-01起相同。</t>
        </is>
      </c>
      <c r="J18" s="2" t="inlineStr">
        <is>
          <t>已核對</t>
        </is>
      </c>
      <c r="K18" s="2" t="inlineStr">
        <is>
          <t>官方條文核對（自動）</t>
        </is>
      </c>
      <c r="L18" s="98" t="n">
        <v>46297</v>
      </c>
      <c r="M18" s="1">
        <f>IF(OR(A18="",B18="",C18=""),"",A18&amp;"|"&amp;B18&amp;"|"&amp;C18)</f>
        <v/>
      </c>
      <c r="N18" s="33">
        <f>IF(COUNTA(A18:L18)=0,"",IF(OR(A18="",B18="",C18="",D18="",I18="",J18=""),"缺必要欄位",IF(COUNTIFS(DB_05[標準鍵],M18)&gt;1,"標準鍵重複",IF(AND(G18&lt;&gt;"",H18&lt;&gt;"",G18&gt;H18),"日期起迄錯誤",IF(OR(AND(E18&lt;&gt;"",NOT(ISNUMBER(E18))),AND(F18&lt;&gt;"",NOT(ISNUMBER(F18)))),"標準非數值",IF(AND(J18="已核對",OR(K18="",NOT(ISNUMBER(L18)),NOT(ISNUMBER(G18)))),"缺核對資料","OK"))))))</f>
        <v/>
      </c>
    </row>
    <row r="19" ht="66" customHeight="1">
      <c r="A19" s="2" t="inlineStr">
        <is>
          <t>TW-GW2-20251223</t>
        </is>
      </c>
      <c r="B19" s="2" t="inlineStr">
        <is>
          <t>地下水</t>
        </is>
      </c>
      <c r="C19" s="2" t="inlineStr">
        <is>
          <t>氯甲烷</t>
        </is>
      </c>
      <c r="D19" s="2" t="inlineStr">
        <is>
          <t>mg/L</t>
        </is>
      </c>
      <c r="E19" s="97" t="n">
        <v>0.3</v>
      </c>
      <c r="F19" s="97" t="n">
        <v>0.15</v>
      </c>
      <c r="G19" s="98" t="n">
        <v>41640</v>
      </c>
      <c r="H19" s="98" t="n"/>
      <c r="I19" s="38" t="inlineStr">
        <is>
          <t>地下水管制§4(2025-12-23)／監測§4(2013-12-18)；地下水第2類；管制第4條、監測第4條。2025修法刪除砷備註，數值門檻未變，2014-01-01起相同。</t>
        </is>
      </c>
      <c r="J19" s="2" t="inlineStr">
        <is>
          <t>已核對</t>
        </is>
      </c>
      <c r="K19" s="2" t="inlineStr">
        <is>
          <t>官方條文核對（自動）</t>
        </is>
      </c>
      <c r="L19" s="98" t="n">
        <v>46297</v>
      </c>
      <c r="M19" s="1">
        <f>IF(OR(A19="",B19="",C19=""),"",A19&amp;"|"&amp;B19&amp;"|"&amp;C19)</f>
        <v/>
      </c>
      <c r="N19" s="33">
        <f>IF(COUNTA(A19:L19)=0,"",IF(OR(A19="",B19="",C19="",D19="",I19="",J19=""),"缺必要欄位",IF(COUNTIFS(DB_05[標準鍵],M19)&gt;1,"標準鍵重複",IF(AND(G19&lt;&gt;"",H19&lt;&gt;"",G19&gt;H19),"日期起迄錯誤",IF(OR(AND(E19&lt;&gt;"",NOT(ISNUMBER(E19))),AND(F19&lt;&gt;"",NOT(ISNUMBER(F19)))),"標準非數值",IF(AND(J19="已核對",OR(K19="",NOT(ISNUMBER(L19)),NOT(ISNUMBER(G19)))),"缺核對資料","OK"))))))</f>
        <v/>
      </c>
    </row>
    <row r="20" ht="66" customHeight="1">
      <c r="A20" s="2" t="inlineStr">
        <is>
          <t>TW-GW1-20251223</t>
        </is>
      </c>
      <c r="B20" s="2" t="inlineStr">
        <is>
          <t>地下水</t>
        </is>
      </c>
      <c r="C20" s="2" t="inlineStr">
        <is>
          <t>1,4-二氯苯</t>
        </is>
      </c>
      <c r="D20" s="2" t="inlineStr">
        <is>
          <t>mg/L</t>
        </is>
      </c>
      <c r="E20" s="97" t="n">
        <v>0.075</v>
      </c>
      <c r="F20" s="97" t="n">
        <v>0.0375</v>
      </c>
      <c r="G20" s="98" t="n">
        <v>41640</v>
      </c>
      <c r="H20" s="98" t="n"/>
      <c r="I20" s="38" t="inlineStr">
        <is>
          <t>地下水管制§4(2025-12-23)／監測§4(2013-12-18)；地下水第1類；管制第4條、監測第4條。2025修法刪除砷備註，數值門檻未變，2014-01-01起相同。</t>
        </is>
      </c>
      <c r="J20" s="2" t="inlineStr">
        <is>
          <t>已核對</t>
        </is>
      </c>
      <c r="K20" s="2" t="inlineStr">
        <is>
          <t>官方條文核對（自動）</t>
        </is>
      </c>
      <c r="L20" s="98" t="n">
        <v>46297</v>
      </c>
      <c r="M20" s="1">
        <f>IF(OR(A20="",B20="",C20=""),"",A20&amp;"|"&amp;B20&amp;"|"&amp;C20)</f>
        <v/>
      </c>
      <c r="N20" s="33">
        <f>IF(COUNTA(A20:L20)=0,"",IF(OR(A20="",B20="",C20="",D20="",I20="",J20=""),"缺必要欄位",IF(COUNTIFS(DB_05[標準鍵],M20)&gt;1,"標準鍵重複",IF(AND(G20&lt;&gt;"",H20&lt;&gt;"",G20&gt;H20),"日期起迄錯誤",IF(OR(AND(E20&lt;&gt;"",NOT(ISNUMBER(E20))),AND(F20&lt;&gt;"",NOT(ISNUMBER(F20)))),"標準非數值",IF(AND(J20="已核對",OR(K20="",NOT(ISNUMBER(L20)),NOT(ISNUMBER(G20)))),"缺核對資料","OK"))))))</f>
        <v/>
      </c>
    </row>
    <row r="21" ht="66" customHeight="1">
      <c r="A21" s="2" t="inlineStr">
        <is>
          <t>TW-GW2-20251223</t>
        </is>
      </c>
      <c r="B21" s="2" t="inlineStr">
        <is>
          <t>地下水</t>
        </is>
      </c>
      <c r="C21" s="2" t="inlineStr">
        <is>
          <t>1,4-二氯苯</t>
        </is>
      </c>
      <c r="D21" s="2" t="inlineStr">
        <is>
          <t>mg/L</t>
        </is>
      </c>
      <c r="E21" s="97" t="n">
        <v>0.75</v>
      </c>
      <c r="F21" s="97" t="n">
        <v>0.375</v>
      </c>
      <c r="G21" s="98" t="n">
        <v>41640</v>
      </c>
      <c r="H21" s="98" t="n"/>
      <c r="I21" s="38" t="inlineStr">
        <is>
          <t>地下水管制§4(2025-12-23)／監測§4(2013-12-18)；地下水第2類；管制第4條、監測第4條。2025修法刪除砷備註，數值門檻未變，2014-01-01起相同。</t>
        </is>
      </c>
      <c r="J21" s="2" t="inlineStr">
        <is>
          <t>已核對</t>
        </is>
      </c>
      <c r="K21" s="2" t="inlineStr">
        <is>
          <t>官方條文核對（自動）</t>
        </is>
      </c>
      <c r="L21" s="98" t="n">
        <v>46297</v>
      </c>
      <c r="M21" s="1">
        <f>IF(OR(A21="",B21="",C21=""),"",A21&amp;"|"&amp;B21&amp;"|"&amp;C21)</f>
        <v/>
      </c>
      <c r="N21" s="33">
        <f>IF(COUNTA(A21:L21)=0,"",IF(OR(A21="",B21="",C21="",D21="",I21="",J21=""),"缺必要欄位",IF(COUNTIFS(DB_05[標準鍵],M21)&gt;1,"標準鍵重複",IF(AND(G21&lt;&gt;"",H21&lt;&gt;"",G21&gt;H21),"日期起迄錯誤",IF(OR(AND(E21&lt;&gt;"",NOT(ISNUMBER(E21))),AND(F21&lt;&gt;"",NOT(ISNUMBER(F21)))),"標準非數值",IF(AND(J21="已核對",OR(K21="",NOT(ISNUMBER(L21)),NOT(ISNUMBER(G21)))),"缺核對資料","OK"))))))</f>
        <v/>
      </c>
    </row>
    <row r="22" ht="66" customHeight="1">
      <c r="A22" s="2" t="inlineStr">
        <is>
          <t>TW-GW1-20251223</t>
        </is>
      </c>
      <c r="B22" s="2" t="inlineStr">
        <is>
          <t>地下水</t>
        </is>
      </c>
      <c r="C22" s="2" t="inlineStr">
        <is>
          <t>1,1-二氯乙烷</t>
        </is>
      </c>
      <c r="D22" s="2" t="inlineStr">
        <is>
          <t>mg/L</t>
        </is>
      </c>
      <c r="E22" s="97" t="n">
        <v>0.85</v>
      </c>
      <c r="F22" s="97" t="n">
        <v>0.425</v>
      </c>
      <c r="G22" s="98" t="n">
        <v>41640</v>
      </c>
      <c r="H22" s="98" t="n"/>
      <c r="I22" s="38" t="inlineStr">
        <is>
          <t>地下水管制§4(2025-12-23)／監測§4(2013-12-18)；地下水第1類；管制第4條、監測第4條。2025修法刪除砷備註，數值門檻未變，2014-01-01起相同。</t>
        </is>
      </c>
      <c r="J22" s="2" t="inlineStr">
        <is>
          <t>已核對</t>
        </is>
      </c>
      <c r="K22" s="2" t="inlineStr">
        <is>
          <t>官方條文核對（自動）</t>
        </is>
      </c>
      <c r="L22" s="98" t="n">
        <v>46297</v>
      </c>
      <c r="M22" s="1">
        <f>IF(OR(A22="",B22="",C22=""),"",A22&amp;"|"&amp;B22&amp;"|"&amp;C22)</f>
        <v/>
      </c>
      <c r="N22" s="33">
        <f>IF(COUNTA(A22:L22)=0,"",IF(OR(A22="",B22="",C22="",D22="",I22="",J22=""),"缺必要欄位",IF(COUNTIFS(DB_05[標準鍵],M22)&gt;1,"標準鍵重複",IF(AND(G22&lt;&gt;"",H22&lt;&gt;"",G22&gt;H22),"日期起迄錯誤",IF(OR(AND(E22&lt;&gt;"",NOT(ISNUMBER(E22))),AND(F22&lt;&gt;"",NOT(ISNUMBER(F22)))),"標準非數值",IF(AND(J22="已核對",OR(K22="",NOT(ISNUMBER(L22)),NOT(ISNUMBER(G22)))),"缺核對資料","OK"))))))</f>
        <v/>
      </c>
    </row>
    <row r="23" ht="66" customHeight="1">
      <c r="A23" s="2" t="inlineStr">
        <is>
          <t>TW-GW2-20251223</t>
        </is>
      </c>
      <c r="B23" s="2" t="inlineStr">
        <is>
          <t>地下水</t>
        </is>
      </c>
      <c r="C23" s="2" t="inlineStr">
        <is>
          <t>1,1-二氯乙烷</t>
        </is>
      </c>
      <c r="D23" s="2" t="inlineStr">
        <is>
          <t>mg/L</t>
        </is>
      </c>
      <c r="E23" s="97" t="n">
        <v>8.5</v>
      </c>
      <c r="F23" s="97" t="n">
        <v>4.25</v>
      </c>
      <c r="G23" s="98" t="n">
        <v>41640</v>
      </c>
      <c r="H23" s="98" t="n"/>
      <c r="I23" s="38" t="inlineStr">
        <is>
          <t>地下水管制§4(2025-12-23)／監測§4(2013-12-18)；地下水第2類；管制第4條、監測第4條。2025修法刪除砷備註，數值門檻未變，2014-01-01起相同。</t>
        </is>
      </c>
      <c r="J23" s="2" t="inlineStr">
        <is>
          <t>已核對</t>
        </is>
      </c>
      <c r="K23" s="2" t="inlineStr">
        <is>
          <t>官方條文核對（自動）</t>
        </is>
      </c>
      <c r="L23" s="98" t="n">
        <v>46297</v>
      </c>
      <c r="M23" s="1">
        <f>IF(OR(A23="",B23="",C23=""),"",A23&amp;"|"&amp;B23&amp;"|"&amp;C23)</f>
        <v/>
      </c>
      <c r="N23" s="33">
        <f>IF(COUNTA(A23:L23)=0,"",IF(OR(A23="",B23="",C23="",D23="",I23="",J23=""),"缺必要欄位",IF(COUNTIFS(DB_05[標準鍵],M23)&gt;1,"標準鍵重複",IF(AND(G23&lt;&gt;"",H23&lt;&gt;"",G23&gt;H23),"日期起迄錯誤",IF(OR(AND(E23&lt;&gt;"",NOT(ISNUMBER(E23))),AND(F23&lt;&gt;"",NOT(ISNUMBER(F23)))),"標準非數值",IF(AND(J23="已核對",OR(K23="",NOT(ISNUMBER(L23)),NOT(ISNUMBER(G23)))),"缺核對資料","OK"))))))</f>
        <v/>
      </c>
    </row>
    <row r="24" ht="66" customHeight="1">
      <c r="A24" s="2" t="inlineStr">
        <is>
          <t>TW-GW1-20251223</t>
        </is>
      </c>
      <c r="B24" s="2" t="inlineStr">
        <is>
          <t>地下水</t>
        </is>
      </c>
      <c r="C24" s="2" t="inlineStr">
        <is>
          <t>1,2-二氯乙烷</t>
        </is>
      </c>
      <c r="D24" s="2" t="inlineStr">
        <is>
          <t>mg/L</t>
        </is>
      </c>
      <c r="E24" s="97" t="n">
        <v>0.005</v>
      </c>
      <c r="F24" s="97" t="n">
        <v>0.0025</v>
      </c>
      <c r="G24" s="98" t="n">
        <v>41640</v>
      </c>
      <c r="H24" s="98" t="n"/>
      <c r="I24" s="38" t="inlineStr">
        <is>
          <t>地下水管制§4(2025-12-23)／監測§4(2013-12-18)；地下水第1類；管制第4條、監測第4條。2025修法刪除砷備註，數值門檻未變，2014-01-01起相同。</t>
        </is>
      </c>
      <c r="J24" s="2" t="inlineStr">
        <is>
          <t>已核對</t>
        </is>
      </c>
      <c r="K24" s="2" t="inlineStr">
        <is>
          <t>官方條文核對（自動）</t>
        </is>
      </c>
      <c r="L24" s="98" t="n">
        <v>46297</v>
      </c>
      <c r="M24" s="1">
        <f>IF(OR(A24="",B24="",C24=""),"",A24&amp;"|"&amp;B24&amp;"|"&amp;C24)</f>
        <v/>
      </c>
      <c r="N24" s="33">
        <f>IF(COUNTA(A24:L24)=0,"",IF(OR(A24="",B24="",C24="",D24="",I24="",J24=""),"缺必要欄位",IF(COUNTIFS(DB_05[標準鍵],M24)&gt;1,"標準鍵重複",IF(AND(G24&lt;&gt;"",H24&lt;&gt;"",G24&gt;H24),"日期起迄錯誤",IF(OR(AND(E24&lt;&gt;"",NOT(ISNUMBER(E24))),AND(F24&lt;&gt;"",NOT(ISNUMBER(F24)))),"標準非數值",IF(AND(J24="已核對",OR(K24="",NOT(ISNUMBER(L24)),NOT(ISNUMBER(G24)))),"缺核對資料","OK"))))))</f>
        <v/>
      </c>
    </row>
    <row r="25" ht="66" customHeight="1">
      <c r="A25" s="2" t="inlineStr">
        <is>
          <t>TW-GW2-20251223</t>
        </is>
      </c>
      <c r="B25" s="2" t="inlineStr">
        <is>
          <t>地下水</t>
        </is>
      </c>
      <c r="C25" s="2" t="inlineStr">
        <is>
          <t>1,2-二氯乙烷</t>
        </is>
      </c>
      <c r="D25" s="2" t="inlineStr">
        <is>
          <t>mg/L</t>
        </is>
      </c>
      <c r="E25" s="97" t="n">
        <v>0.05</v>
      </c>
      <c r="F25" s="97" t="n">
        <v>0.025</v>
      </c>
      <c r="G25" s="98" t="n">
        <v>41640</v>
      </c>
      <c r="H25" s="98" t="n"/>
      <c r="I25" s="38" t="inlineStr">
        <is>
          <t>地下水管制§4(2025-12-23)／監測§4(2013-12-18)；地下水第2類；管制第4條、監測第4條。2025修法刪除砷備註，數值門檻未變，2014-01-01起相同。</t>
        </is>
      </c>
      <c r="J25" s="2" t="inlineStr">
        <is>
          <t>已核對</t>
        </is>
      </c>
      <c r="K25" s="2" t="inlineStr">
        <is>
          <t>官方條文核對（自動）</t>
        </is>
      </c>
      <c r="L25" s="98" t="n">
        <v>46297</v>
      </c>
      <c r="M25" s="1">
        <f>IF(OR(A25="",B25="",C25=""),"",A25&amp;"|"&amp;B25&amp;"|"&amp;C25)</f>
        <v/>
      </c>
      <c r="N25" s="33">
        <f>IF(COUNTA(A25:L25)=0,"",IF(OR(A25="",B25="",C25="",D25="",I25="",J25=""),"缺必要欄位",IF(COUNTIFS(DB_05[標準鍵],M25)&gt;1,"標準鍵重複",IF(AND(G25&lt;&gt;"",H25&lt;&gt;"",G25&gt;H25),"日期起迄錯誤",IF(OR(AND(E25&lt;&gt;"",NOT(ISNUMBER(E25))),AND(F25&lt;&gt;"",NOT(ISNUMBER(F25)))),"標準非數值",IF(AND(J25="已核對",OR(K25="",NOT(ISNUMBER(L25)),NOT(ISNUMBER(G25)))),"缺核對資料","OK"))))))</f>
        <v/>
      </c>
    </row>
    <row r="26" ht="66" customHeight="1">
      <c r="A26" s="2" t="inlineStr">
        <is>
          <t>TW-GW1-20251223</t>
        </is>
      </c>
      <c r="B26" s="2" t="inlineStr">
        <is>
          <t>地下水</t>
        </is>
      </c>
      <c r="C26" s="2" t="inlineStr">
        <is>
          <t>1,1-二氯乙烯</t>
        </is>
      </c>
      <c r="D26" s="2" t="inlineStr">
        <is>
          <t>mg/L</t>
        </is>
      </c>
      <c r="E26" s="97" t="n">
        <v>0.007</v>
      </c>
      <c r="F26" s="97" t="n">
        <v>0.0035</v>
      </c>
      <c r="G26" s="98" t="n">
        <v>41640</v>
      </c>
      <c r="H26" s="98" t="n"/>
      <c r="I26" s="38" t="inlineStr">
        <is>
          <t>地下水管制§4(2025-12-23)／監測§4(2013-12-18)；地下水第1類；管制第4條、監測第4條。2025修法刪除砷備註，數值門檻未變，2014-01-01起相同。</t>
        </is>
      </c>
      <c r="J26" s="2" t="inlineStr">
        <is>
          <t>已核對</t>
        </is>
      </c>
      <c r="K26" s="2" t="inlineStr">
        <is>
          <t>官方條文核對（自動）</t>
        </is>
      </c>
      <c r="L26" s="98" t="n">
        <v>46297</v>
      </c>
      <c r="M26" s="1">
        <f>IF(OR(A26="",B26="",C26=""),"",A26&amp;"|"&amp;B26&amp;"|"&amp;C26)</f>
        <v/>
      </c>
      <c r="N26" s="33">
        <f>IF(COUNTA(A26:L26)=0,"",IF(OR(A26="",B26="",C26="",D26="",I26="",J26=""),"缺必要欄位",IF(COUNTIFS(DB_05[標準鍵],M26)&gt;1,"標準鍵重複",IF(AND(G26&lt;&gt;"",H26&lt;&gt;"",G26&gt;H26),"日期起迄錯誤",IF(OR(AND(E26&lt;&gt;"",NOT(ISNUMBER(E26))),AND(F26&lt;&gt;"",NOT(ISNUMBER(F26)))),"標準非數值",IF(AND(J26="已核對",OR(K26="",NOT(ISNUMBER(L26)),NOT(ISNUMBER(G26)))),"缺核對資料","OK"))))))</f>
        <v/>
      </c>
    </row>
    <row r="27" ht="66" customHeight="1">
      <c r="A27" s="2" t="inlineStr">
        <is>
          <t>TW-GW2-20251223</t>
        </is>
      </c>
      <c r="B27" s="2" t="inlineStr">
        <is>
          <t>地下水</t>
        </is>
      </c>
      <c r="C27" s="2" t="inlineStr">
        <is>
          <t>1,1-二氯乙烯</t>
        </is>
      </c>
      <c r="D27" s="2" t="inlineStr">
        <is>
          <t>mg/L</t>
        </is>
      </c>
      <c r="E27" s="97" t="n">
        <v>0.07000000000000001</v>
      </c>
      <c r="F27" s="97" t="n">
        <v>0.035</v>
      </c>
      <c r="G27" s="98" t="n">
        <v>41640</v>
      </c>
      <c r="H27" s="98" t="n"/>
      <c r="I27" s="38" t="inlineStr">
        <is>
          <t>地下水管制§4(2025-12-23)／監測§4(2013-12-18)；地下水第2類；管制第4條、監測第4條。2025修法刪除砷備註，數值門檻未變，2014-01-01起相同。</t>
        </is>
      </c>
      <c r="J27" s="2" t="inlineStr">
        <is>
          <t>已核對</t>
        </is>
      </c>
      <c r="K27" s="2" t="inlineStr">
        <is>
          <t>官方條文核對（自動）</t>
        </is>
      </c>
      <c r="L27" s="98" t="n">
        <v>46297</v>
      </c>
      <c r="M27" s="1">
        <f>IF(OR(A27="",B27="",C27=""),"",A27&amp;"|"&amp;B27&amp;"|"&amp;C27)</f>
        <v/>
      </c>
      <c r="N27" s="33">
        <f>IF(COUNTA(A27:L27)=0,"",IF(OR(A27="",B27="",C27="",D27="",I27="",J27=""),"缺必要欄位",IF(COUNTIFS(DB_05[標準鍵],M27)&gt;1,"標準鍵重複",IF(AND(G27&lt;&gt;"",H27&lt;&gt;"",G27&gt;H27),"日期起迄錯誤",IF(OR(AND(E27&lt;&gt;"",NOT(ISNUMBER(E27))),AND(F27&lt;&gt;"",NOT(ISNUMBER(F27)))),"標準非數值",IF(AND(J27="已核對",OR(K27="",NOT(ISNUMBER(L27)),NOT(ISNUMBER(G27)))),"缺核對資料","OK"))))))</f>
        <v/>
      </c>
    </row>
    <row r="28" ht="66" customHeight="1">
      <c r="A28" s="2" t="inlineStr">
        <is>
          <t>TW-GW1-20251223</t>
        </is>
      </c>
      <c r="B28" s="2" t="inlineStr">
        <is>
          <t>地下水</t>
        </is>
      </c>
      <c r="C28" s="2" t="inlineStr">
        <is>
          <t>順-1,2-二氯乙烯</t>
        </is>
      </c>
      <c r="D28" s="2" t="inlineStr">
        <is>
          <t>mg/L</t>
        </is>
      </c>
      <c r="E28" s="97" t="n">
        <v>0.07000000000000001</v>
      </c>
      <c r="F28" s="97" t="n">
        <v>0.035</v>
      </c>
      <c r="G28" s="98" t="n">
        <v>41640</v>
      </c>
      <c r="H28" s="98" t="n"/>
      <c r="I28" s="38" t="inlineStr">
        <is>
          <t>地下水管制§4(2025-12-23)／監測§4(2013-12-18)；地下水第1類；管制第4條、監測第4條。2025修法刪除砷備註，數值門檻未變，2014-01-01起相同。</t>
        </is>
      </c>
      <c r="J28" s="2" t="inlineStr">
        <is>
          <t>已核對</t>
        </is>
      </c>
      <c r="K28" s="2" t="inlineStr">
        <is>
          <t>官方條文核對（自動）</t>
        </is>
      </c>
      <c r="L28" s="98" t="n">
        <v>46297</v>
      </c>
      <c r="M28" s="1">
        <f>IF(OR(A28="",B28="",C28=""),"",A28&amp;"|"&amp;B28&amp;"|"&amp;C28)</f>
        <v/>
      </c>
      <c r="N28" s="33">
        <f>IF(COUNTA(A28:L28)=0,"",IF(OR(A28="",B28="",C28="",D28="",I28="",J28=""),"缺必要欄位",IF(COUNTIFS(DB_05[標準鍵],M28)&gt;1,"標準鍵重複",IF(AND(G28&lt;&gt;"",H28&lt;&gt;"",G28&gt;H28),"日期起迄錯誤",IF(OR(AND(E28&lt;&gt;"",NOT(ISNUMBER(E28))),AND(F28&lt;&gt;"",NOT(ISNUMBER(F28)))),"標準非數值",IF(AND(J28="已核對",OR(K28="",NOT(ISNUMBER(L28)),NOT(ISNUMBER(G28)))),"缺核對資料","OK"))))))</f>
        <v/>
      </c>
    </row>
    <row r="29" ht="66" customHeight="1">
      <c r="A29" s="2" t="inlineStr">
        <is>
          <t>TW-GW2-20251223</t>
        </is>
      </c>
      <c r="B29" s="2" t="inlineStr">
        <is>
          <t>地下水</t>
        </is>
      </c>
      <c r="C29" s="2" t="inlineStr">
        <is>
          <t>順-1,2-二氯乙烯</t>
        </is>
      </c>
      <c r="D29" s="2" t="inlineStr">
        <is>
          <t>mg/L</t>
        </is>
      </c>
      <c r="E29" s="97" t="n">
        <v>0.7</v>
      </c>
      <c r="F29" s="97" t="n">
        <v>0.35</v>
      </c>
      <c r="G29" s="98" t="n">
        <v>41640</v>
      </c>
      <c r="H29" s="98" t="n"/>
      <c r="I29" s="38" t="inlineStr">
        <is>
          <t>地下水管制§4(2025-12-23)／監測§4(2013-12-18)；地下水第2類；管制第4條、監測第4條。2025修法刪除砷備註，數值門檻未變，2014-01-01起相同。</t>
        </is>
      </c>
      <c r="J29" s="2" t="inlineStr">
        <is>
          <t>已核對</t>
        </is>
      </c>
      <c r="K29" s="2" t="inlineStr">
        <is>
          <t>官方條文核對（自動）</t>
        </is>
      </c>
      <c r="L29" s="98" t="n">
        <v>46297</v>
      </c>
      <c r="M29" s="1">
        <f>IF(OR(A29="",B29="",C29=""),"",A29&amp;"|"&amp;B29&amp;"|"&amp;C29)</f>
        <v/>
      </c>
      <c r="N29" s="33">
        <f>IF(COUNTA(A29:L29)=0,"",IF(OR(A29="",B29="",C29="",D29="",I29="",J29=""),"缺必要欄位",IF(COUNTIFS(DB_05[標準鍵],M29)&gt;1,"標準鍵重複",IF(AND(G29&lt;&gt;"",H29&lt;&gt;"",G29&gt;H29),"日期起迄錯誤",IF(OR(AND(E29&lt;&gt;"",NOT(ISNUMBER(E29))),AND(F29&lt;&gt;"",NOT(ISNUMBER(F29)))),"標準非數值",IF(AND(J29="已核對",OR(K29="",NOT(ISNUMBER(L29)),NOT(ISNUMBER(G29)))),"缺核對資料","OK"))))))</f>
        <v/>
      </c>
    </row>
    <row r="30" ht="66" customHeight="1">
      <c r="A30" s="2" t="inlineStr">
        <is>
          <t>TW-GW1-20251223</t>
        </is>
      </c>
      <c r="B30" s="2" t="inlineStr">
        <is>
          <t>地下水</t>
        </is>
      </c>
      <c r="C30" s="2" t="inlineStr">
        <is>
          <t>反-1,2-二氯乙烯</t>
        </is>
      </c>
      <c r="D30" s="2" t="inlineStr">
        <is>
          <t>mg/L</t>
        </is>
      </c>
      <c r="E30" s="97" t="n">
        <v>0.1</v>
      </c>
      <c r="F30" s="97" t="n">
        <v>0.05</v>
      </c>
      <c r="G30" s="98" t="n">
        <v>41640</v>
      </c>
      <c r="H30" s="98" t="n"/>
      <c r="I30" s="38" t="inlineStr">
        <is>
          <t>地下水管制§4(2025-12-23)／監測§4(2013-12-18)；地下水第1類；管制第4條、監測第4條。2025修法刪除砷備註，數值門檻未變，2014-01-01起相同。</t>
        </is>
      </c>
      <c r="J30" s="2" t="inlineStr">
        <is>
          <t>已核對</t>
        </is>
      </c>
      <c r="K30" s="2" t="inlineStr">
        <is>
          <t>官方條文核對（自動）</t>
        </is>
      </c>
      <c r="L30" s="98" t="n">
        <v>46297</v>
      </c>
      <c r="M30" s="1">
        <f>IF(OR(A30="",B30="",C30=""),"",A30&amp;"|"&amp;B30&amp;"|"&amp;C30)</f>
        <v/>
      </c>
      <c r="N30" s="33">
        <f>IF(COUNTA(A30:L30)=0,"",IF(OR(A30="",B30="",C30="",D30="",I30="",J30=""),"缺必要欄位",IF(COUNTIFS(DB_05[標準鍵],M30)&gt;1,"標準鍵重複",IF(AND(G30&lt;&gt;"",H30&lt;&gt;"",G30&gt;H30),"日期起迄錯誤",IF(OR(AND(E30&lt;&gt;"",NOT(ISNUMBER(E30))),AND(F30&lt;&gt;"",NOT(ISNUMBER(F30)))),"標準非數值",IF(AND(J30="已核對",OR(K30="",NOT(ISNUMBER(L30)),NOT(ISNUMBER(G30)))),"缺核對資料","OK"))))))</f>
        <v/>
      </c>
    </row>
    <row r="31" ht="66" customHeight="1">
      <c r="A31" s="2" t="inlineStr">
        <is>
          <t>TW-GW2-20251223</t>
        </is>
      </c>
      <c r="B31" s="2" t="inlineStr">
        <is>
          <t>地下水</t>
        </is>
      </c>
      <c r="C31" s="2" t="inlineStr">
        <is>
          <t>反-1,2-二氯乙烯</t>
        </is>
      </c>
      <c r="D31" s="2" t="inlineStr">
        <is>
          <t>mg/L</t>
        </is>
      </c>
      <c r="E31" s="97" t="n">
        <v>1</v>
      </c>
      <c r="F31" s="97" t="n">
        <v>0.5</v>
      </c>
      <c r="G31" s="98" t="n">
        <v>41640</v>
      </c>
      <c r="H31" s="98" t="n"/>
      <c r="I31" s="38" t="inlineStr">
        <is>
          <t>地下水管制§4(2025-12-23)／監測§4(2013-12-18)；地下水第2類；管制第4條、監測第4條。2025修法刪除砷備註，數值門檻未變，2014-01-01起相同。</t>
        </is>
      </c>
      <c r="J31" s="2" t="inlineStr">
        <is>
          <t>已核對</t>
        </is>
      </c>
      <c r="K31" s="2" t="inlineStr">
        <is>
          <t>官方條文核對（自動）</t>
        </is>
      </c>
      <c r="L31" s="98" t="n">
        <v>46297</v>
      </c>
      <c r="M31" s="1">
        <f>IF(OR(A31="",B31="",C31=""),"",A31&amp;"|"&amp;B31&amp;"|"&amp;C31)</f>
        <v/>
      </c>
      <c r="N31" s="33">
        <f>IF(COUNTA(A31:L31)=0,"",IF(OR(A31="",B31="",C31="",D31="",I31="",J31=""),"缺必要欄位",IF(COUNTIFS(DB_05[標準鍵],M31)&gt;1,"標準鍵重複",IF(AND(G31&lt;&gt;"",H31&lt;&gt;"",G31&gt;H31),"日期起迄錯誤",IF(OR(AND(E31&lt;&gt;"",NOT(ISNUMBER(E31))),AND(F31&lt;&gt;"",NOT(ISNUMBER(F31)))),"標準非數值",IF(AND(J31="已核對",OR(K31="",NOT(ISNUMBER(L31)),NOT(ISNUMBER(G31)))),"缺核對資料","OK"))))))</f>
        <v/>
      </c>
    </row>
    <row r="32" ht="66" customHeight="1">
      <c r="A32" s="2" t="inlineStr">
        <is>
          <t>TW-GW1-20251223</t>
        </is>
      </c>
      <c r="B32" s="2" t="inlineStr">
        <is>
          <t>地下水</t>
        </is>
      </c>
      <c r="C32" s="2" t="inlineStr">
        <is>
          <t>2,4,5-三氯酚</t>
        </is>
      </c>
      <c r="D32" s="2" t="inlineStr">
        <is>
          <t>mg/L</t>
        </is>
      </c>
      <c r="E32" s="97" t="n">
        <v>0.37</v>
      </c>
      <c r="F32" s="97" t="n">
        <v>0.185</v>
      </c>
      <c r="G32" s="98" t="n">
        <v>41640</v>
      </c>
      <c r="H32" s="98" t="n"/>
      <c r="I32" s="38" t="inlineStr">
        <is>
          <t>地下水管制§4(2025-12-23)／監測§4(2013-12-18)；地下水第1類；管制第4條、監測第4條。2025修法刪除砷備註，數值門檻未變，2014-01-01起相同。</t>
        </is>
      </c>
      <c r="J32" s="2" t="inlineStr">
        <is>
          <t>已核對</t>
        </is>
      </c>
      <c r="K32" s="2" t="inlineStr">
        <is>
          <t>官方條文核對（自動）</t>
        </is>
      </c>
      <c r="L32" s="98" t="n">
        <v>46297</v>
      </c>
      <c r="M32" s="1">
        <f>IF(OR(A32="",B32="",C32=""),"",A32&amp;"|"&amp;B32&amp;"|"&amp;C32)</f>
        <v/>
      </c>
      <c r="N32" s="33">
        <f>IF(COUNTA(A32:L32)=0,"",IF(OR(A32="",B32="",C32="",D32="",I32="",J32=""),"缺必要欄位",IF(COUNTIFS(DB_05[標準鍵],M32)&gt;1,"標準鍵重複",IF(AND(G32&lt;&gt;"",H32&lt;&gt;"",G32&gt;H32),"日期起迄錯誤",IF(OR(AND(E32&lt;&gt;"",NOT(ISNUMBER(E32))),AND(F32&lt;&gt;"",NOT(ISNUMBER(F32)))),"標準非數值",IF(AND(J32="已核對",OR(K32="",NOT(ISNUMBER(L32)),NOT(ISNUMBER(G32)))),"缺核對資料","OK"))))))</f>
        <v/>
      </c>
    </row>
    <row r="33" ht="66" customHeight="1">
      <c r="A33" s="2" t="inlineStr">
        <is>
          <t>TW-GW2-20251223</t>
        </is>
      </c>
      <c r="B33" s="2" t="inlineStr">
        <is>
          <t>地下水</t>
        </is>
      </c>
      <c r="C33" s="2" t="inlineStr">
        <is>
          <t>2,4,5-三氯酚</t>
        </is>
      </c>
      <c r="D33" s="2" t="inlineStr">
        <is>
          <t>mg/L</t>
        </is>
      </c>
      <c r="E33" s="97" t="n">
        <v>3.7</v>
      </c>
      <c r="F33" s="97" t="n">
        <v>1.85</v>
      </c>
      <c r="G33" s="98" t="n">
        <v>41640</v>
      </c>
      <c r="H33" s="98" t="n"/>
      <c r="I33" s="38" t="inlineStr">
        <is>
          <t>地下水管制§4(2025-12-23)／監測§4(2013-12-18)；地下水第2類；管制第4條、監測第4條。2025修法刪除砷備註，數值門檻未變，2014-01-01起相同。</t>
        </is>
      </c>
      <c r="J33" s="2" t="inlineStr">
        <is>
          <t>已核對</t>
        </is>
      </c>
      <c r="K33" s="2" t="inlineStr">
        <is>
          <t>官方條文核對（自動）</t>
        </is>
      </c>
      <c r="L33" s="98" t="n">
        <v>46297</v>
      </c>
      <c r="M33" s="1">
        <f>IF(OR(A33="",B33="",C33=""),"",A33&amp;"|"&amp;B33&amp;"|"&amp;C33)</f>
        <v/>
      </c>
      <c r="N33" s="33">
        <f>IF(COUNTA(A33:L33)=0,"",IF(OR(A33="",B33="",C33="",D33="",I33="",J33=""),"缺必要欄位",IF(COUNTIFS(DB_05[標準鍵],M33)&gt;1,"標準鍵重複",IF(AND(G33&lt;&gt;"",H33&lt;&gt;"",G33&gt;H33),"日期起迄錯誤",IF(OR(AND(E33&lt;&gt;"",NOT(ISNUMBER(E33))),AND(F33&lt;&gt;"",NOT(ISNUMBER(F33)))),"標準非數值",IF(AND(J33="已核對",OR(K33="",NOT(ISNUMBER(L33)),NOT(ISNUMBER(G33)))),"缺核對資料","OK"))))))</f>
        <v/>
      </c>
    </row>
    <row r="34" ht="66" customHeight="1">
      <c r="A34" s="2" t="inlineStr">
        <is>
          <t>TW-GW1-20251223</t>
        </is>
      </c>
      <c r="B34" s="2" t="inlineStr">
        <is>
          <t>地下水</t>
        </is>
      </c>
      <c r="C34" s="2" t="inlineStr">
        <is>
          <t>2,4,6-三氯酚</t>
        </is>
      </c>
      <c r="D34" s="2" t="inlineStr">
        <is>
          <t>mg/L</t>
        </is>
      </c>
      <c r="E34" s="97" t="n">
        <v>0.01</v>
      </c>
      <c r="F34" s="97" t="n">
        <v>0.005</v>
      </c>
      <c r="G34" s="98" t="n">
        <v>41640</v>
      </c>
      <c r="H34" s="98" t="n"/>
      <c r="I34" s="38" t="inlineStr">
        <is>
          <t>地下水管制§4(2025-12-23)／監測§4(2013-12-18)；地下水第1類；管制第4條、監測第4條。2025修法刪除砷備註，數值門檻未變，2014-01-01起相同。</t>
        </is>
      </c>
      <c r="J34" s="2" t="inlineStr">
        <is>
          <t>已核對</t>
        </is>
      </c>
      <c r="K34" s="2" t="inlineStr">
        <is>
          <t>官方條文核對（自動）</t>
        </is>
      </c>
      <c r="L34" s="98" t="n">
        <v>46297</v>
      </c>
      <c r="M34" s="1">
        <f>IF(OR(A34="",B34="",C34=""),"",A34&amp;"|"&amp;B34&amp;"|"&amp;C34)</f>
        <v/>
      </c>
      <c r="N34" s="33">
        <f>IF(COUNTA(A34:L34)=0,"",IF(OR(A34="",B34="",C34="",D34="",I34="",J34=""),"缺必要欄位",IF(COUNTIFS(DB_05[標準鍵],M34)&gt;1,"標準鍵重複",IF(AND(G34&lt;&gt;"",H34&lt;&gt;"",G34&gt;H34),"日期起迄錯誤",IF(OR(AND(E34&lt;&gt;"",NOT(ISNUMBER(E34))),AND(F34&lt;&gt;"",NOT(ISNUMBER(F34)))),"標準非數值",IF(AND(J34="已核對",OR(K34="",NOT(ISNUMBER(L34)),NOT(ISNUMBER(G34)))),"缺核對資料","OK"))))))</f>
        <v/>
      </c>
    </row>
    <row r="35" ht="66" customHeight="1">
      <c r="A35" s="2" t="inlineStr">
        <is>
          <t>TW-GW2-20251223</t>
        </is>
      </c>
      <c r="B35" s="2" t="inlineStr">
        <is>
          <t>地下水</t>
        </is>
      </c>
      <c r="C35" s="2" t="inlineStr">
        <is>
          <t>2,4,6-三氯酚</t>
        </is>
      </c>
      <c r="D35" s="2" t="inlineStr">
        <is>
          <t>mg/L</t>
        </is>
      </c>
      <c r="E35" s="97" t="n">
        <v>0.1</v>
      </c>
      <c r="F35" s="97" t="n">
        <v>0.05</v>
      </c>
      <c r="G35" s="98" t="n">
        <v>41640</v>
      </c>
      <c r="H35" s="98" t="n"/>
      <c r="I35" s="38" t="inlineStr">
        <is>
          <t>地下水管制§4(2025-12-23)／監測§4(2013-12-18)；地下水第2類；管制第4條、監測第4條。2025修法刪除砷備註，數值門檻未變，2014-01-01起相同。</t>
        </is>
      </c>
      <c r="J35" s="2" t="inlineStr">
        <is>
          <t>已核對</t>
        </is>
      </c>
      <c r="K35" s="2" t="inlineStr">
        <is>
          <t>官方條文核對（自動）</t>
        </is>
      </c>
      <c r="L35" s="98" t="n">
        <v>46297</v>
      </c>
      <c r="M35" s="1">
        <f>IF(OR(A35="",B35="",C35=""),"",A35&amp;"|"&amp;B35&amp;"|"&amp;C35)</f>
        <v/>
      </c>
      <c r="N35" s="33">
        <f>IF(COUNTA(A35:L35)=0,"",IF(OR(A35="",B35="",C35="",D35="",I35="",J35=""),"缺必要欄位",IF(COUNTIFS(DB_05[標準鍵],M35)&gt;1,"標準鍵重複",IF(AND(G35&lt;&gt;"",H35&lt;&gt;"",G35&gt;H35),"日期起迄錯誤",IF(OR(AND(E35&lt;&gt;"",NOT(ISNUMBER(E35))),AND(F35&lt;&gt;"",NOT(ISNUMBER(F35)))),"標準非數值",IF(AND(J35="已核對",OR(K35="",NOT(ISNUMBER(L35)),NOT(ISNUMBER(G35)))),"缺核對資料","OK"))))))</f>
        <v/>
      </c>
    </row>
    <row r="36" ht="66" customHeight="1">
      <c r="A36" s="2" t="inlineStr">
        <is>
          <t>TW-GW1-20251223</t>
        </is>
      </c>
      <c r="B36" s="2" t="inlineStr">
        <is>
          <t>地下水</t>
        </is>
      </c>
      <c r="C36" s="2" t="inlineStr">
        <is>
          <t>五氯酚</t>
        </is>
      </c>
      <c r="D36" s="2" t="inlineStr">
        <is>
          <t>mg/L</t>
        </is>
      </c>
      <c r="E36" s="97" t="n">
        <v>0.008</v>
      </c>
      <c r="F36" s="97" t="n">
        <v>0.004</v>
      </c>
      <c r="G36" s="98" t="n">
        <v>41640</v>
      </c>
      <c r="H36" s="98" t="n"/>
      <c r="I36" s="38" t="inlineStr">
        <is>
          <t>地下水管制§4(2025-12-23)／監測§4(2013-12-18)；地下水第1類；管制第4條、監測第4條。2025修法刪除砷備註，數值門檻未變，2014-01-01起相同。</t>
        </is>
      </c>
      <c r="J36" s="2" t="inlineStr">
        <is>
          <t>已核對</t>
        </is>
      </c>
      <c r="K36" s="2" t="inlineStr">
        <is>
          <t>官方條文核對（自動）</t>
        </is>
      </c>
      <c r="L36" s="98" t="n">
        <v>46297</v>
      </c>
      <c r="M36" s="1">
        <f>IF(OR(A36="",B36="",C36=""),"",A36&amp;"|"&amp;B36&amp;"|"&amp;C36)</f>
        <v/>
      </c>
      <c r="N36" s="33">
        <f>IF(COUNTA(A36:L36)=0,"",IF(OR(A36="",B36="",C36="",D36="",I36="",J36=""),"缺必要欄位",IF(COUNTIFS(DB_05[標準鍵],M36)&gt;1,"標準鍵重複",IF(AND(G36&lt;&gt;"",H36&lt;&gt;"",G36&gt;H36),"日期起迄錯誤",IF(OR(AND(E36&lt;&gt;"",NOT(ISNUMBER(E36))),AND(F36&lt;&gt;"",NOT(ISNUMBER(F36)))),"標準非數值",IF(AND(J36="已核對",OR(K36="",NOT(ISNUMBER(L36)),NOT(ISNUMBER(G36)))),"缺核對資料","OK"))))))</f>
        <v/>
      </c>
    </row>
    <row r="37" ht="66" customHeight="1">
      <c r="A37" s="2" t="inlineStr">
        <is>
          <t>TW-GW2-20251223</t>
        </is>
      </c>
      <c r="B37" s="2" t="inlineStr">
        <is>
          <t>地下水</t>
        </is>
      </c>
      <c r="C37" s="2" t="inlineStr">
        <is>
          <t>五氯酚</t>
        </is>
      </c>
      <c r="D37" s="2" t="inlineStr">
        <is>
          <t>mg/L</t>
        </is>
      </c>
      <c r="E37" s="97" t="n">
        <v>0.08</v>
      </c>
      <c r="F37" s="97" t="n">
        <v>0.04</v>
      </c>
      <c r="G37" s="98" t="n">
        <v>41640</v>
      </c>
      <c r="H37" s="98" t="n"/>
      <c r="I37" s="38" t="inlineStr">
        <is>
          <t>地下水管制§4(2025-12-23)／監測§4(2013-12-18)；地下水第2類；管制第4條、監測第4條。2025修法刪除砷備註，數值門檻未變，2014-01-01起相同。</t>
        </is>
      </c>
      <c r="J37" s="2" t="inlineStr">
        <is>
          <t>已核對</t>
        </is>
      </c>
      <c r="K37" s="2" t="inlineStr">
        <is>
          <t>官方條文核對（自動）</t>
        </is>
      </c>
      <c r="L37" s="98" t="n">
        <v>46297</v>
      </c>
      <c r="M37" s="1">
        <f>IF(OR(A37="",B37="",C37=""),"",A37&amp;"|"&amp;B37&amp;"|"&amp;C37)</f>
        <v/>
      </c>
      <c r="N37" s="33">
        <f>IF(COUNTA(A37:L37)=0,"",IF(OR(A37="",B37="",C37="",D37="",I37="",J37=""),"缺必要欄位",IF(COUNTIFS(DB_05[標準鍵],M37)&gt;1,"標準鍵重複",IF(AND(G37&lt;&gt;"",H37&lt;&gt;"",G37&gt;H37),"日期起迄錯誤",IF(OR(AND(E37&lt;&gt;"",NOT(ISNUMBER(E37))),AND(F37&lt;&gt;"",NOT(ISNUMBER(F37)))),"標準非數值",IF(AND(J37="已核對",OR(K37="",NOT(ISNUMBER(L37)),NOT(ISNUMBER(G37)))),"缺核對資料","OK"))))))</f>
        <v/>
      </c>
    </row>
    <row r="38" ht="66" customHeight="1">
      <c r="A38" s="2" t="inlineStr">
        <is>
          <t>TW-GW1-20251223</t>
        </is>
      </c>
      <c r="B38" s="2" t="inlineStr">
        <is>
          <t>地下水</t>
        </is>
      </c>
      <c r="C38" s="2" t="inlineStr">
        <is>
          <t>四氯乙烯</t>
        </is>
      </c>
      <c r="D38" s="2" t="inlineStr">
        <is>
          <t>mg/L</t>
        </is>
      </c>
      <c r="E38" s="97" t="n">
        <v>0.005</v>
      </c>
      <c r="F38" s="97" t="n">
        <v>0.0025</v>
      </c>
      <c r="G38" s="98" t="n">
        <v>41640</v>
      </c>
      <c r="H38" s="98" t="n"/>
      <c r="I38" s="38" t="inlineStr">
        <is>
          <t>地下水管制§4(2025-12-23)／監測§4(2013-12-18)；地下水第1類；管制第4條、監測第4條。2025修法刪除砷備註，數值門檻未變，2014-01-01起相同。</t>
        </is>
      </c>
      <c r="J38" s="2" t="inlineStr">
        <is>
          <t>已核對</t>
        </is>
      </c>
      <c r="K38" s="2" t="inlineStr">
        <is>
          <t>官方條文核對（自動）</t>
        </is>
      </c>
      <c r="L38" s="98" t="n">
        <v>46297</v>
      </c>
      <c r="M38" s="1">
        <f>IF(OR(A38="",B38="",C38=""),"",A38&amp;"|"&amp;B38&amp;"|"&amp;C38)</f>
        <v/>
      </c>
      <c r="N38" s="33">
        <f>IF(COUNTA(A38:L38)=0,"",IF(OR(A38="",B38="",C38="",D38="",I38="",J38=""),"缺必要欄位",IF(COUNTIFS(DB_05[標準鍵],M38)&gt;1,"標準鍵重複",IF(AND(G38&lt;&gt;"",H38&lt;&gt;"",G38&gt;H38),"日期起迄錯誤",IF(OR(AND(E38&lt;&gt;"",NOT(ISNUMBER(E38))),AND(F38&lt;&gt;"",NOT(ISNUMBER(F38)))),"標準非數值",IF(AND(J38="已核對",OR(K38="",NOT(ISNUMBER(L38)),NOT(ISNUMBER(G38)))),"缺核對資料","OK"))))))</f>
        <v/>
      </c>
    </row>
    <row r="39" ht="66" customHeight="1">
      <c r="A39" s="2" t="inlineStr">
        <is>
          <t>TW-GW2-20251223</t>
        </is>
      </c>
      <c r="B39" s="2" t="inlineStr">
        <is>
          <t>地下水</t>
        </is>
      </c>
      <c r="C39" s="2" t="inlineStr">
        <is>
          <t>四氯乙烯</t>
        </is>
      </c>
      <c r="D39" s="2" t="inlineStr">
        <is>
          <t>mg/L</t>
        </is>
      </c>
      <c r="E39" s="97" t="n">
        <v>0.05</v>
      </c>
      <c r="F39" s="97" t="n">
        <v>0.025</v>
      </c>
      <c r="G39" s="98" t="n">
        <v>41640</v>
      </c>
      <c r="H39" s="98" t="n"/>
      <c r="I39" s="38" t="inlineStr">
        <is>
          <t>地下水管制§4(2025-12-23)／監測§4(2013-12-18)；地下水第2類；管制第4條、監測第4條。2025修法刪除砷備註，數值門檻未變，2014-01-01起相同。</t>
        </is>
      </c>
      <c r="J39" s="2" t="inlineStr">
        <is>
          <t>已核對</t>
        </is>
      </c>
      <c r="K39" s="2" t="inlineStr">
        <is>
          <t>官方條文核對（自動）</t>
        </is>
      </c>
      <c r="L39" s="98" t="n">
        <v>46297</v>
      </c>
      <c r="M39" s="1">
        <f>IF(OR(A39="",B39="",C39=""),"",A39&amp;"|"&amp;B39&amp;"|"&amp;C39)</f>
        <v/>
      </c>
      <c r="N39" s="33">
        <f>IF(COUNTA(A39:L39)=0,"",IF(OR(A39="",B39="",C39="",D39="",I39="",J39=""),"缺必要欄位",IF(COUNTIFS(DB_05[標準鍵],M39)&gt;1,"標準鍵重複",IF(AND(G39&lt;&gt;"",H39&lt;&gt;"",G39&gt;H39),"日期起迄錯誤",IF(OR(AND(E39&lt;&gt;"",NOT(ISNUMBER(E39))),AND(F39&lt;&gt;"",NOT(ISNUMBER(F39)))),"標準非數值",IF(AND(J39="已核對",OR(K39="",NOT(ISNUMBER(L39)),NOT(ISNUMBER(G39)))),"缺核對資料","OK"))))))</f>
        <v/>
      </c>
    </row>
    <row r="40" ht="66" customHeight="1">
      <c r="A40" s="2" t="inlineStr">
        <is>
          <t>TW-GW1-20251223</t>
        </is>
      </c>
      <c r="B40" s="2" t="inlineStr">
        <is>
          <t>地下水</t>
        </is>
      </c>
      <c r="C40" s="2" t="inlineStr">
        <is>
          <t>三氯乙烯</t>
        </is>
      </c>
      <c r="D40" s="2" t="inlineStr">
        <is>
          <t>mg/L</t>
        </is>
      </c>
      <c r="E40" s="97" t="n">
        <v>0.005</v>
      </c>
      <c r="F40" s="97" t="n">
        <v>0.0025</v>
      </c>
      <c r="G40" s="98" t="n">
        <v>41640</v>
      </c>
      <c r="H40" s="98" t="n"/>
      <c r="I40" s="38" t="inlineStr">
        <is>
          <t>地下水管制§4(2025-12-23)／監測§4(2013-12-18)；地下水第1類；管制第4條、監測第4條。2025修法刪除砷備註，數值門檻未變，2014-01-01起相同。</t>
        </is>
      </c>
      <c r="J40" s="2" t="inlineStr">
        <is>
          <t>已核對</t>
        </is>
      </c>
      <c r="K40" s="2" t="inlineStr">
        <is>
          <t>官方條文核對（自動）</t>
        </is>
      </c>
      <c r="L40" s="98" t="n">
        <v>46297</v>
      </c>
      <c r="M40" s="1">
        <f>IF(OR(A40="",B40="",C40=""),"",A40&amp;"|"&amp;B40&amp;"|"&amp;C40)</f>
        <v/>
      </c>
      <c r="N40" s="33">
        <f>IF(COUNTA(A40:L40)=0,"",IF(OR(A40="",B40="",C40="",D40="",I40="",J40=""),"缺必要欄位",IF(COUNTIFS(DB_05[標準鍵],M40)&gt;1,"標準鍵重複",IF(AND(G40&lt;&gt;"",H40&lt;&gt;"",G40&gt;H40),"日期起迄錯誤",IF(OR(AND(E40&lt;&gt;"",NOT(ISNUMBER(E40))),AND(F40&lt;&gt;"",NOT(ISNUMBER(F40)))),"標準非數值",IF(AND(J40="已核對",OR(K40="",NOT(ISNUMBER(L40)),NOT(ISNUMBER(G40)))),"缺核對資料","OK"))))))</f>
        <v/>
      </c>
    </row>
    <row r="41" ht="66" customHeight="1">
      <c r="A41" s="2" t="inlineStr">
        <is>
          <t>TW-GW2-20251223</t>
        </is>
      </c>
      <c r="B41" s="2" t="inlineStr">
        <is>
          <t>地下水</t>
        </is>
      </c>
      <c r="C41" s="2" t="inlineStr">
        <is>
          <t>三氯乙烯</t>
        </is>
      </c>
      <c r="D41" s="2" t="inlineStr">
        <is>
          <t>mg/L</t>
        </is>
      </c>
      <c r="E41" s="97" t="n">
        <v>0.05</v>
      </c>
      <c r="F41" s="97" t="n">
        <v>0.025</v>
      </c>
      <c r="G41" s="98" t="n">
        <v>41640</v>
      </c>
      <c r="H41" s="98" t="n"/>
      <c r="I41" s="38" t="inlineStr">
        <is>
          <t>地下水管制§4(2025-12-23)／監測§4(2013-12-18)；地下水第2類；管制第4條、監測第4條。2025修法刪除砷備註，數值門檻未變，2014-01-01起相同。</t>
        </is>
      </c>
      <c r="J41" s="2" t="inlineStr">
        <is>
          <t>已核對</t>
        </is>
      </c>
      <c r="K41" s="2" t="inlineStr">
        <is>
          <t>官方條文核對（自動）</t>
        </is>
      </c>
      <c r="L41" s="98" t="n">
        <v>46297</v>
      </c>
      <c r="M41" s="1">
        <f>IF(OR(A41="",B41="",C41=""),"",A41&amp;"|"&amp;B41&amp;"|"&amp;C41)</f>
        <v/>
      </c>
      <c r="N41" s="33">
        <f>IF(COUNTA(A41:L41)=0,"",IF(OR(A41="",B41="",C41="",D41="",I41="",J41=""),"缺必要欄位",IF(COUNTIFS(DB_05[標準鍵],M41)&gt;1,"標準鍵重複",IF(AND(G41&lt;&gt;"",H41&lt;&gt;"",G41&gt;H41),"日期起迄錯誤",IF(OR(AND(E41&lt;&gt;"",NOT(ISNUMBER(E41))),AND(F41&lt;&gt;"",NOT(ISNUMBER(F41)))),"標準非數值",IF(AND(J41="已核對",OR(K41="",NOT(ISNUMBER(L41)),NOT(ISNUMBER(G41)))),"缺核對資料","OK"))))))</f>
        <v/>
      </c>
    </row>
    <row r="42" ht="66" customHeight="1">
      <c r="A42" s="2" t="inlineStr">
        <is>
          <t>TW-GW1-20251223</t>
        </is>
      </c>
      <c r="B42" s="2" t="inlineStr">
        <is>
          <t>地下水</t>
        </is>
      </c>
      <c r="C42" s="2" t="inlineStr">
        <is>
          <t>氯乙烯</t>
        </is>
      </c>
      <c r="D42" s="2" t="inlineStr">
        <is>
          <t>mg/L</t>
        </is>
      </c>
      <c r="E42" s="97" t="n">
        <v>0.002</v>
      </c>
      <c r="F42" s="97" t="n">
        <v>0.001</v>
      </c>
      <c r="G42" s="98" t="n">
        <v>41640</v>
      </c>
      <c r="H42" s="98" t="n"/>
      <c r="I42" s="38" t="inlineStr">
        <is>
          <t>地下水管制§4(2025-12-23)／監測§4(2013-12-18)；地下水第1類；管制第4條、監測第4條。2025修法刪除砷備註，數值門檻未變，2014-01-01起相同。</t>
        </is>
      </c>
      <c r="J42" s="2" t="inlineStr">
        <is>
          <t>已核對</t>
        </is>
      </c>
      <c r="K42" s="2" t="inlineStr">
        <is>
          <t>官方條文核對（自動）</t>
        </is>
      </c>
      <c r="L42" s="98" t="n">
        <v>46297</v>
      </c>
      <c r="M42" s="1">
        <f>IF(OR(A42="",B42="",C42=""),"",A42&amp;"|"&amp;B42&amp;"|"&amp;C42)</f>
        <v/>
      </c>
      <c r="N42" s="33">
        <f>IF(COUNTA(A42:L42)=0,"",IF(OR(A42="",B42="",C42="",D42="",I42="",J42=""),"缺必要欄位",IF(COUNTIFS(DB_05[標準鍵],M42)&gt;1,"標準鍵重複",IF(AND(G42&lt;&gt;"",H42&lt;&gt;"",G42&gt;H42),"日期起迄錯誤",IF(OR(AND(E42&lt;&gt;"",NOT(ISNUMBER(E42))),AND(F42&lt;&gt;"",NOT(ISNUMBER(F42)))),"標準非數值",IF(AND(J42="已核對",OR(K42="",NOT(ISNUMBER(L42)),NOT(ISNUMBER(G42)))),"缺核對資料","OK"))))))</f>
        <v/>
      </c>
    </row>
    <row r="43" ht="66" customHeight="1">
      <c r="A43" s="2" t="inlineStr">
        <is>
          <t>TW-GW2-20251223</t>
        </is>
      </c>
      <c r="B43" s="2" t="inlineStr">
        <is>
          <t>地下水</t>
        </is>
      </c>
      <c r="C43" s="2" t="inlineStr">
        <is>
          <t>氯乙烯</t>
        </is>
      </c>
      <c r="D43" s="2" t="inlineStr">
        <is>
          <t>mg/L</t>
        </is>
      </c>
      <c r="E43" s="97" t="n">
        <v>0.02</v>
      </c>
      <c r="F43" s="97" t="n">
        <v>0.01</v>
      </c>
      <c r="G43" s="98" t="n">
        <v>41640</v>
      </c>
      <c r="H43" s="98" t="n"/>
      <c r="I43" s="38" t="inlineStr">
        <is>
          <t>地下水管制§4(2025-12-23)／監測§4(2013-12-18)；地下水第2類；管制第4條、監測第4條。2025修法刪除砷備註，數值門檻未變，2014-01-01起相同。</t>
        </is>
      </c>
      <c r="J43" s="2" t="inlineStr">
        <is>
          <t>已核對</t>
        </is>
      </c>
      <c r="K43" s="2" t="inlineStr">
        <is>
          <t>官方條文核對（自動）</t>
        </is>
      </c>
      <c r="L43" s="98" t="n">
        <v>46297</v>
      </c>
      <c r="M43" s="1">
        <f>IF(OR(A43="",B43="",C43=""),"",A43&amp;"|"&amp;B43&amp;"|"&amp;C43)</f>
        <v/>
      </c>
      <c r="N43" s="33">
        <f>IF(COUNTA(A43:L43)=0,"",IF(OR(A43="",B43="",C43="",D43="",I43="",J43=""),"缺必要欄位",IF(COUNTIFS(DB_05[標準鍵],M43)&gt;1,"標準鍵重複",IF(AND(G43&lt;&gt;"",H43&lt;&gt;"",G43&gt;H43),"日期起迄錯誤",IF(OR(AND(E43&lt;&gt;"",NOT(ISNUMBER(E43))),AND(F43&lt;&gt;"",NOT(ISNUMBER(F43)))),"標準非數值",IF(AND(J43="已核對",OR(K43="",NOT(ISNUMBER(L43)),NOT(ISNUMBER(G43)))),"缺核對資料","OK"))))))</f>
        <v/>
      </c>
    </row>
    <row r="44" ht="66" customHeight="1">
      <c r="A44" s="2" t="inlineStr">
        <is>
          <t>TW-GW1-20251223</t>
        </is>
      </c>
      <c r="B44" s="2" t="inlineStr">
        <is>
          <t>地下水</t>
        </is>
      </c>
      <c r="C44" s="2" t="inlineStr">
        <is>
          <t>二氯甲烷</t>
        </is>
      </c>
      <c r="D44" s="2" t="inlineStr">
        <is>
          <t>mg/L</t>
        </is>
      </c>
      <c r="E44" s="97" t="n">
        <v>0.005</v>
      </c>
      <c r="F44" s="97" t="n">
        <v>0.0025</v>
      </c>
      <c r="G44" s="98" t="n">
        <v>41640</v>
      </c>
      <c r="H44" s="98" t="n"/>
      <c r="I44" s="38" t="inlineStr">
        <is>
          <t>地下水管制§4(2025-12-23)／監測§4(2013-12-18)；地下水第1類；管制第4條、監測第4條。2025修法刪除砷備註，數值門檻未變，2014-01-01起相同。</t>
        </is>
      </c>
      <c r="J44" s="2" t="inlineStr">
        <is>
          <t>已核對</t>
        </is>
      </c>
      <c r="K44" s="2" t="inlineStr">
        <is>
          <t>官方條文核對（自動）</t>
        </is>
      </c>
      <c r="L44" s="98" t="n">
        <v>46297</v>
      </c>
      <c r="M44" s="1">
        <f>IF(OR(A44="",B44="",C44=""),"",A44&amp;"|"&amp;B44&amp;"|"&amp;C44)</f>
        <v/>
      </c>
      <c r="N44" s="33">
        <f>IF(COUNTA(A44:L44)=0,"",IF(OR(A44="",B44="",C44="",D44="",I44="",J44=""),"缺必要欄位",IF(COUNTIFS(DB_05[標準鍵],M44)&gt;1,"標準鍵重複",IF(AND(G44&lt;&gt;"",H44&lt;&gt;"",G44&gt;H44),"日期起迄錯誤",IF(OR(AND(E44&lt;&gt;"",NOT(ISNUMBER(E44))),AND(F44&lt;&gt;"",NOT(ISNUMBER(F44)))),"標準非數值",IF(AND(J44="已核對",OR(K44="",NOT(ISNUMBER(L44)),NOT(ISNUMBER(G44)))),"缺核對資料","OK"))))))</f>
        <v/>
      </c>
    </row>
    <row r="45" ht="66" customHeight="1">
      <c r="A45" s="2" t="inlineStr">
        <is>
          <t>TW-GW2-20251223</t>
        </is>
      </c>
      <c r="B45" s="2" t="inlineStr">
        <is>
          <t>地下水</t>
        </is>
      </c>
      <c r="C45" s="2" t="inlineStr">
        <is>
          <t>二氯甲烷</t>
        </is>
      </c>
      <c r="D45" s="2" t="inlineStr">
        <is>
          <t>mg/L</t>
        </is>
      </c>
      <c r="E45" s="97" t="n">
        <v>0.05</v>
      </c>
      <c r="F45" s="97" t="n">
        <v>0.025</v>
      </c>
      <c r="G45" s="98" t="n">
        <v>41640</v>
      </c>
      <c r="H45" s="98" t="n"/>
      <c r="I45" s="38" t="inlineStr">
        <is>
          <t>地下水管制§4(2025-12-23)／監測§4(2013-12-18)；地下水第2類；管制第4條、監測第4條。2025修法刪除砷備註，數值門檻未變，2014-01-01起相同。</t>
        </is>
      </c>
      <c r="J45" s="2" t="inlineStr">
        <is>
          <t>已核對</t>
        </is>
      </c>
      <c r="K45" s="2" t="inlineStr">
        <is>
          <t>官方條文核對（自動）</t>
        </is>
      </c>
      <c r="L45" s="98" t="n">
        <v>46297</v>
      </c>
      <c r="M45" s="1">
        <f>IF(OR(A45="",B45="",C45=""),"",A45&amp;"|"&amp;B45&amp;"|"&amp;C45)</f>
        <v/>
      </c>
      <c r="N45" s="33">
        <f>IF(COUNTA(A45:L45)=0,"",IF(OR(A45="",B45="",C45="",D45="",I45="",J45=""),"缺必要欄位",IF(COUNTIFS(DB_05[標準鍵],M45)&gt;1,"標準鍵重複",IF(AND(G45&lt;&gt;"",H45&lt;&gt;"",G45&gt;H45),"日期起迄錯誤",IF(OR(AND(E45&lt;&gt;"",NOT(ISNUMBER(E45))),AND(F45&lt;&gt;"",NOT(ISNUMBER(F45)))),"標準非數值",IF(AND(J45="已核對",OR(K45="",NOT(ISNUMBER(L45)),NOT(ISNUMBER(G45)))),"缺核對資料","OK"))))))</f>
        <v/>
      </c>
    </row>
    <row r="46" ht="66" customHeight="1">
      <c r="A46" s="2" t="inlineStr">
        <is>
          <t>TW-GW1-20251223</t>
        </is>
      </c>
      <c r="B46" s="2" t="inlineStr">
        <is>
          <t>地下水</t>
        </is>
      </c>
      <c r="C46" s="2" t="inlineStr">
        <is>
          <t>1,1,2-三氯乙烷</t>
        </is>
      </c>
      <c r="D46" s="2" t="inlineStr">
        <is>
          <t>mg/L</t>
        </is>
      </c>
      <c r="E46" s="97" t="n">
        <v>0.005</v>
      </c>
      <c r="F46" s="97" t="n">
        <v>0.0025</v>
      </c>
      <c r="G46" s="98" t="n">
        <v>41640</v>
      </c>
      <c r="H46" s="98" t="n"/>
      <c r="I46" s="38" t="inlineStr">
        <is>
          <t>地下水管制§4(2025-12-23)／監測§4(2013-12-18)；地下水第1類；管制第4條、監測第4條。2025修法刪除砷備註，數值門檻未變，2014-01-01起相同。</t>
        </is>
      </c>
      <c r="J46" s="2" t="inlineStr">
        <is>
          <t>已核對</t>
        </is>
      </c>
      <c r="K46" s="2" t="inlineStr">
        <is>
          <t>官方條文核對（自動）</t>
        </is>
      </c>
      <c r="L46" s="98" t="n">
        <v>46297</v>
      </c>
      <c r="M46" s="1">
        <f>IF(OR(A46="",B46="",C46=""),"",A46&amp;"|"&amp;B46&amp;"|"&amp;C46)</f>
        <v/>
      </c>
      <c r="N46" s="33">
        <f>IF(COUNTA(A46:L46)=0,"",IF(OR(A46="",B46="",C46="",D46="",I46="",J46=""),"缺必要欄位",IF(COUNTIFS(DB_05[標準鍵],M46)&gt;1,"標準鍵重複",IF(AND(G46&lt;&gt;"",H46&lt;&gt;"",G46&gt;H46),"日期起迄錯誤",IF(OR(AND(E46&lt;&gt;"",NOT(ISNUMBER(E46))),AND(F46&lt;&gt;"",NOT(ISNUMBER(F46)))),"標準非數值",IF(AND(J46="已核對",OR(K46="",NOT(ISNUMBER(L46)),NOT(ISNUMBER(G46)))),"缺核對資料","OK"))))))</f>
        <v/>
      </c>
    </row>
    <row r="47" ht="66" customHeight="1">
      <c r="A47" s="2" t="inlineStr">
        <is>
          <t>TW-GW2-20251223</t>
        </is>
      </c>
      <c r="B47" s="2" t="inlineStr">
        <is>
          <t>地下水</t>
        </is>
      </c>
      <c r="C47" s="2" t="inlineStr">
        <is>
          <t>1,1,2-三氯乙烷</t>
        </is>
      </c>
      <c r="D47" s="2" t="inlineStr">
        <is>
          <t>mg/L</t>
        </is>
      </c>
      <c r="E47" s="97" t="n">
        <v>0.05</v>
      </c>
      <c r="F47" s="97" t="n">
        <v>0.025</v>
      </c>
      <c r="G47" s="98" t="n">
        <v>41640</v>
      </c>
      <c r="H47" s="98" t="n"/>
      <c r="I47" s="38" t="inlineStr">
        <is>
          <t>地下水管制§4(2025-12-23)／監測§4(2013-12-18)；地下水第2類；管制第4條、監測第4條。2025修法刪除砷備註，數值門檻未變，2014-01-01起相同。</t>
        </is>
      </c>
      <c r="J47" s="2" t="inlineStr">
        <is>
          <t>已核對</t>
        </is>
      </c>
      <c r="K47" s="2" t="inlineStr">
        <is>
          <t>官方條文核對（自動）</t>
        </is>
      </c>
      <c r="L47" s="98" t="n">
        <v>46297</v>
      </c>
      <c r="M47" s="1">
        <f>IF(OR(A47="",B47="",C47=""),"",A47&amp;"|"&amp;B47&amp;"|"&amp;C47)</f>
        <v/>
      </c>
      <c r="N47" s="33">
        <f>IF(COUNTA(A47:L47)=0,"",IF(OR(A47="",B47="",C47="",D47="",I47="",J47=""),"缺必要欄位",IF(COUNTIFS(DB_05[標準鍵],M47)&gt;1,"標準鍵重複",IF(AND(G47&lt;&gt;"",H47&lt;&gt;"",G47&gt;H47),"日期起迄錯誤",IF(OR(AND(E47&lt;&gt;"",NOT(ISNUMBER(E47))),AND(F47&lt;&gt;"",NOT(ISNUMBER(F47)))),"標準非數值",IF(AND(J47="已核對",OR(K47="",NOT(ISNUMBER(L47)),NOT(ISNUMBER(G47)))),"缺核對資料","OK"))))))</f>
        <v/>
      </c>
    </row>
    <row r="48" ht="66" customHeight="1">
      <c r="A48" s="2" t="inlineStr">
        <is>
          <t>TW-GW1-20251223</t>
        </is>
      </c>
      <c r="B48" s="2" t="inlineStr">
        <is>
          <t>地下水</t>
        </is>
      </c>
      <c r="C48" s="2" t="inlineStr">
        <is>
          <t>1,1,1-三氯乙烷</t>
        </is>
      </c>
      <c r="D48" s="2" t="inlineStr">
        <is>
          <t>mg/L</t>
        </is>
      </c>
      <c r="E48" s="97" t="n">
        <v>0.2</v>
      </c>
      <c r="F48" s="97" t="n">
        <v>0.1</v>
      </c>
      <c r="G48" s="98" t="n">
        <v>41640</v>
      </c>
      <c r="H48" s="98" t="n"/>
      <c r="I48" s="38" t="inlineStr">
        <is>
          <t>地下水管制§4(2025-12-23)／監測§4(2013-12-18)；地下水第1類；管制第4條、監測第4條。2025修法刪除砷備註，數值門檻未變，2014-01-01起相同。</t>
        </is>
      </c>
      <c r="J48" s="2" t="inlineStr">
        <is>
          <t>已核對</t>
        </is>
      </c>
      <c r="K48" s="2" t="inlineStr">
        <is>
          <t>官方條文核對（自動）</t>
        </is>
      </c>
      <c r="L48" s="98" t="n">
        <v>46297</v>
      </c>
      <c r="M48" s="1">
        <f>IF(OR(A48="",B48="",C48=""),"",A48&amp;"|"&amp;B48&amp;"|"&amp;C48)</f>
        <v/>
      </c>
      <c r="N48" s="33">
        <f>IF(COUNTA(A48:L48)=0,"",IF(OR(A48="",B48="",C48="",D48="",I48="",J48=""),"缺必要欄位",IF(COUNTIFS(DB_05[標準鍵],M48)&gt;1,"標準鍵重複",IF(AND(G48&lt;&gt;"",H48&lt;&gt;"",G48&gt;H48),"日期起迄錯誤",IF(OR(AND(E48&lt;&gt;"",NOT(ISNUMBER(E48))),AND(F48&lt;&gt;"",NOT(ISNUMBER(F48)))),"標準非數值",IF(AND(J48="已核對",OR(K48="",NOT(ISNUMBER(L48)),NOT(ISNUMBER(G48)))),"缺核對資料","OK"))))))</f>
        <v/>
      </c>
    </row>
    <row r="49" ht="66" customHeight="1">
      <c r="A49" s="2" t="inlineStr">
        <is>
          <t>TW-GW2-20251223</t>
        </is>
      </c>
      <c r="B49" s="2" t="inlineStr">
        <is>
          <t>地下水</t>
        </is>
      </c>
      <c r="C49" s="2" t="inlineStr">
        <is>
          <t>1,1,1-三氯乙烷</t>
        </is>
      </c>
      <c r="D49" s="2" t="inlineStr">
        <is>
          <t>mg/L</t>
        </is>
      </c>
      <c r="E49" s="97" t="n">
        <v>2</v>
      </c>
      <c r="F49" s="97" t="n">
        <v>1</v>
      </c>
      <c r="G49" s="98" t="n">
        <v>41640</v>
      </c>
      <c r="H49" s="98" t="n"/>
      <c r="I49" s="38" t="inlineStr">
        <is>
          <t>地下水管制§4(2025-12-23)／監測§4(2013-12-18)；地下水第2類；管制第4條、監測第4條。2025修法刪除砷備註，數值門檻未變，2014-01-01起相同。</t>
        </is>
      </c>
      <c r="J49" s="2" t="inlineStr">
        <is>
          <t>已核對</t>
        </is>
      </c>
      <c r="K49" s="2" t="inlineStr">
        <is>
          <t>官方條文核對（自動）</t>
        </is>
      </c>
      <c r="L49" s="98" t="n">
        <v>46297</v>
      </c>
      <c r="M49" s="1">
        <f>IF(OR(A49="",B49="",C49=""),"",A49&amp;"|"&amp;B49&amp;"|"&amp;C49)</f>
        <v/>
      </c>
      <c r="N49" s="33">
        <f>IF(COUNTA(A49:L49)=0,"",IF(OR(A49="",B49="",C49="",D49="",I49="",J49=""),"缺必要欄位",IF(COUNTIFS(DB_05[標準鍵],M49)&gt;1,"標準鍵重複",IF(AND(G49&lt;&gt;"",H49&lt;&gt;"",G49&gt;H49),"日期起迄錯誤",IF(OR(AND(E49&lt;&gt;"",NOT(ISNUMBER(E49))),AND(F49&lt;&gt;"",NOT(ISNUMBER(F49)))),"標準非數值",IF(AND(J49="已核對",OR(K49="",NOT(ISNUMBER(L49)),NOT(ISNUMBER(G49)))),"缺核對資料","OK"))))))</f>
        <v/>
      </c>
    </row>
    <row r="50" ht="66" customHeight="1">
      <c r="A50" s="2" t="inlineStr">
        <is>
          <t>TW-GW1-20251223</t>
        </is>
      </c>
      <c r="B50" s="2" t="inlineStr">
        <is>
          <t>地下水</t>
        </is>
      </c>
      <c r="C50" s="2" t="inlineStr">
        <is>
          <t>1,2-二氯苯</t>
        </is>
      </c>
      <c r="D50" s="2" t="inlineStr">
        <is>
          <t>mg/L</t>
        </is>
      </c>
      <c r="E50" s="97" t="n">
        <v>0.6</v>
      </c>
      <c r="F50" s="97" t="n">
        <v>0.3</v>
      </c>
      <c r="G50" s="98" t="n">
        <v>41640</v>
      </c>
      <c r="H50" s="98" t="n"/>
      <c r="I50" s="38" t="inlineStr">
        <is>
          <t>地下水管制§4(2025-12-23)／監測§4(2013-12-18)；地下水第1類；管制第4條、監測第4條。2025修法刪除砷備註，數值門檻未變，2014-01-01起相同。</t>
        </is>
      </c>
      <c r="J50" s="2" t="inlineStr">
        <is>
          <t>已核對</t>
        </is>
      </c>
      <c r="K50" s="2" t="inlineStr">
        <is>
          <t>官方條文核對（自動）</t>
        </is>
      </c>
      <c r="L50" s="98" t="n">
        <v>46297</v>
      </c>
      <c r="M50" s="1">
        <f>IF(OR(A50="",B50="",C50=""),"",A50&amp;"|"&amp;B50&amp;"|"&amp;C50)</f>
        <v/>
      </c>
      <c r="N50" s="33">
        <f>IF(COUNTA(A50:L50)=0,"",IF(OR(A50="",B50="",C50="",D50="",I50="",J50=""),"缺必要欄位",IF(COUNTIFS(DB_05[標準鍵],M50)&gt;1,"標準鍵重複",IF(AND(G50&lt;&gt;"",H50&lt;&gt;"",G50&gt;H50),"日期起迄錯誤",IF(OR(AND(E50&lt;&gt;"",NOT(ISNUMBER(E50))),AND(F50&lt;&gt;"",NOT(ISNUMBER(F50)))),"標準非數值",IF(AND(J50="已核對",OR(K50="",NOT(ISNUMBER(L50)),NOT(ISNUMBER(G50)))),"缺核對資料","OK"))))))</f>
        <v/>
      </c>
    </row>
    <row r="51" ht="66" customHeight="1">
      <c r="A51" s="2" t="inlineStr">
        <is>
          <t>TW-GW2-20251223</t>
        </is>
      </c>
      <c r="B51" s="2" t="inlineStr">
        <is>
          <t>地下水</t>
        </is>
      </c>
      <c r="C51" s="2" t="inlineStr">
        <is>
          <t>1,2-二氯苯</t>
        </is>
      </c>
      <c r="D51" s="2" t="inlineStr">
        <is>
          <t>mg/L</t>
        </is>
      </c>
      <c r="E51" s="97" t="n">
        <v>6</v>
      </c>
      <c r="F51" s="97" t="n">
        <v>3</v>
      </c>
      <c r="G51" s="98" t="n">
        <v>41640</v>
      </c>
      <c r="H51" s="98" t="n"/>
      <c r="I51" s="38" t="inlineStr">
        <is>
          <t>地下水管制§4(2025-12-23)／監測§4(2013-12-18)；地下水第2類；管制第4條、監測第4條。2025修法刪除砷備註，數值門檻未變，2014-01-01起相同。</t>
        </is>
      </c>
      <c r="J51" s="2" t="inlineStr">
        <is>
          <t>已核對</t>
        </is>
      </c>
      <c r="K51" s="2" t="inlineStr">
        <is>
          <t>官方條文核對（自動）</t>
        </is>
      </c>
      <c r="L51" s="98" t="n">
        <v>46297</v>
      </c>
      <c r="M51" s="1">
        <f>IF(OR(A51="",B51="",C51=""),"",A51&amp;"|"&amp;B51&amp;"|"&amp;C51)</f>
        <v/>
      </c>
      <c r="N51" s="33">
        <f>IF(COUNTA(A51:L51)=0,"",IF(OR(A51="",B51="",C51="",D51="",I51="",J51=""),"缺必要欄位",IF(COUNTIFS(DB_05[標準鍵],M51)&gt;1,"標準鍵重複",IF(AND(G51&lt;&gt;"",H51&lt;&gt;"",G51&gt;H51),"日期起迄錯誤",IF(OR(AND(E51&lt;&gt;"",NOT(ISNUMBER(E51))),AND(F51&lt;&gt;"",NOT(ISNUMBER(F51)))),"標準非數值",IF(AND(J51="已核對",OR(K51="",NOT(ISNUMBER(L51)),NOT(ISNUMBER(G51)))),"缺核對資料","OK"))))))</f>
        <v/>
      </c>
    </row>
    <row r="52" ht="66" customHeight="1">
      <c r="A52" s="2" t="inlineStr">
        <is>
          <t>TW-GW1-20251223</t>
        </is>
      </c>
      <c r="B52" s="2" t="inlineStr">
        <is>
          <t>地下水</t>
        </is>
      </c>
      <c r="C52" s="2" t="inlineStr">
        <is>
          <t>3,3’-二氯聯苯胺</t>
        </is>
      </c>
      <c r="D52" s="2" t="inlineStr">
        <is>
          <t>mg/L</t>
        </is>
      </c>
      <c r="E52" s="97" t="n">
        <v>0.01</v>
      </c>
      <c r="F52" s="97" t="n">
        <v>0.005</v>
      </c>
      <c r="G52" s="98" t="n">
        <v>41640</v>
      </c>
      <c r="H52" s="98" t="n"/>
      <c r="I52" s="38" t="inlineStr">
        <is>
          <t>地下水管制§4(2025-12-23)／監測§4(2013-12-18)；地下水第1類；管制第4條、監測第4條。2025修法刪除砷備註，數值門檻未變，2014-01-01起相同。</t>
        </is>
      </c>
      <c r="J52" s="2" t="inlineStr">
        <is>
          <t>已核對</t>
        </is>
      </c>
      <c r="K52" s="2" t="inlineStr">
        <is>
          <t>官方條文核對（自動）</t>
        </is>
      </c>
      <c r="L52" s="98" t="n">
        <v>46297</v>
      </c>
      <c r="M52" s="1">
        <f>IF(OR(A52="",B52="",C52=""),"",A52&amp;"|"&amp;B52&amp;"|"&amp;C52)</f>
        <v/>
      </c>
      <c r="N52" s="33">
        <f>IF(COUNTA(A52:L52)=0,"",IF(OR(A52="",B52="",C52="",D52="",I52="",J52=""),"缺必要欄位",IF(COUNTIFS(DB_05[標準鍵],M52)&gt;1,"標準鍵重複",IF(AND(G52&lt;&gt;"",H52&lt;&gt;"",G52&gt;H52),"日期起迄錯誤",IF(OR(AND(E52&lt;&gt;"",NOT(ISNUMBER(E52))),AND(F52&lt;&gt;"",NOT(ISNUMBER(F52)))),"標準非數值",IF(AND(J52="已核對",OR(K52="",NOT(ISNUMBER(L52)),NOT(ISNUMBER(G52)))),"缺核對資料","OK"))))))</f>
        <v/>
      </c>
    </row>
    <row r="53" ht="66" customHeight="1">
      <c r="A53" s="2" t="inlineStr">
        <is>
          <t>TW-GW2-20251223</t>
        </is>
      </c>
      <c r="B53" s="2" t="inlineStr">
        <is>
          <t>地下水</t>
        </is>
      </c>
      <c r="C53" s="2" t="inlineStr">
        <is>
          <t>3,3’-二氯聯苯胺</t>
        </is>
      </c>
      <c r="D53" s="2" t="inlineStr">
        <is>
          <t>mg/L</t>
        </is>
      </c>
      <c r="E53" s="97" t="n">
        <v>0.1</v>
      </c>
      <c r="F53" s="97" t="n">
        <v>0.05</v>
      </c>
      <c r="G53" s="98" t="n">
        <v>41640</v>
      </c>
      <c r="H53" s="98" t="n"/>
      <c r="I53" s="38" t="inlineStr">
        <is>
          <t>地下水管制§4(2025-12-23)／監測§4(2013-12-18)；地下水第2類；管制第4條、監測第4條。2025修法刪除砷備註，數值門檻未變，2014-01-01起相同。</t>
        </is>
      </c>
      <c r="J53" s="2" t="inlineStr">
        <is>
          <t>已核對</t>
        </is>
      </c>
      <c r="K53" s="2" t="inlineStr">
        <is>
          <t>官方條文核對（自動）</t>
        </is>
      </c>
      <c r="L53" s="98" t="n">
        <v>46297</v>
      </c>
      <c r="M53" s="1">
        <f>IF(OR(A53="",B53="",C53=""),"",A53&amp;"|"&amp;B53&amp;"|"&amp;C53)</f>
        <v/>
      </c>
      <c r="N53" s="33">
        <f>IF(COUNTA(A53:L53)=0,"",IF(OR(A53="",B53="",C53="",D53="",I53="",J53=""),"缺必要欄位",IF(COUNTIFS(DB_05[標準鍵],M53)&gt;1,"標準鍵重複",IF(AND(G53&lt;&gt;"",H53&lt;&gt;"",G53&gt;H53),"日期起迄錯誤",IF(OR(AND(E53&lt;&gt;"",NOT(ISNUMBER(E53))),AND(F53&lt;&gt;"",NOT(ISNUMBER(F53)))),"標準非數值",IF(AND(J53="已核對",OR(K53="",NOT(ISNUMBER(L53)),NOT(ISNUMBER(G53)))),"缺核對資料","OK"))))))</f>
        <v/>
      </c>
    </row>
    <row r="54" ht="66" customHeight="1">
      <c r="A54" s="2" t="inlineStr">
        <is>
          <t>TW-GW1-20251223</t>
        </is>
      </c>
      <c r="B54" s="2" t="inlineStr">
        <is>
          <t>地下水</t>
        </is>
      </c>
      <c r="C54" s="2" t="inlineStr">
        <is>
          <t>2,4-地</t>
        </is>
      </c>
      <c r="D54" s="2" t="inlineStr">
        <is>
          <t>mg/L</t>
        </is>
      </c>
      <c r="E54" s="97" t="n">
        <v>0.07000000000000001</v>
      </c>
      <c r="F54" s="97" t="n">
        <v>0.035</v>
      </c>
      <c r="G54" s="98" t="n">
        <v>41640</v>
      </c>
      <c r="H54" s="98" t="n"/>
      <c r="I54" s="38" t="inlineStr">
        <is>
          <t>地下水管制§4(2025-12-23)／監測§4(2013-12-18)；地下水第1類；管制第4條、監測第4條。2025修法刪除砷備註，數值門檻未變，2014-01-01起相同。</t>
        </is>
      </c>
      <c r="J54" s="2" t="inlineStr">
        <is>
          <t>已核對</t>
        </is>
      </c>
      <c r="K54" s="2" t="inlineStr">
        <is>
          <t>官方條文核對（自動）</t>
        </is>
      </c>
      <c r="L54" s="98" t="n">
        <v>46297</v>
      </c>
      <c r="M54" s="1">
        <f>IF(OR(A54="",B54="",C54=""),"",A54&amp;"|"&amp;B54&amp;"|"&amp;C54)</f>
        <v/>
      </c>
      <c r="N54" s="33">
        <f>IF(COUNTA(A54:L54)=0,"",IF(OR(A54="",B54="",C54="",D54="",I54="",J54=""),"缺必要欄位",IF(COUNTIFS(DB_05[標準鍵],M54)&gt;1,"標準鍵重複",IF(AND(G54&lt;&gt;"",H54&lt;&gt;"",G54&gt;H54),"日期起迄錯誤",IF(OR(AND(E54&lt;&gt;"",NOT(ISNUMBER(E54))),AND(F54&lt;&gt;"",NOT(ISNUMBER(F54)))),"標準非數值",IF(AND(J54="已核對",OR(K54="",NOT(ISNUMBER(L54)),NOT(ISNUMBER(G54)))),"缺核對資料","OK"))))))</f>
        <v/>
      </c>
    </row>
    <row r="55" ht="66" customHeight="1">
      <c r="A55" s="2" t="inlineStr">
        <is>
          <t>TW-GW2-20251223</t>
        </is>
      </c>
      <c r="B55" s="2" t="inlineStr">
        <is>
          <t>地下水</t>
        </is>
      </c>
      <c r="C55" s="2" t="inlineStr">
        <is>
          <t>2,4-地</t>
        </is>
      </c>
      <c r="D55" s="2" t="inlineStr">
        <is>
          <t>mg/L</t>
        </is>
      </c>
      <c r="E55" s="97" t="n">
        <v>0.7</v>
      </c>
      <c r="F55" s="97" t="n">
        <v>0.35</v>
      </c>
      <c r="G55" s="98" t="n">
        <v>41640</v>
      </c>
      <c r="H55" s="98" t="n"/>
      <c r="I55" s="38" t="inlineStr">
        <is>
          <t>地下水管制§4(2025-12-23)／監測§4(2013-12-18)；地下水第2類；管制第4條、監測第4條。2025修法刪除砷備註，數值門檻未變，2014-01-01起相同。</t>
        </is>
      </c>
      <c r="J55" s="2" t="inlineStr">
        <is>
          <t>已核對</t>
        </is>
      </c>
      <c r="K55" s="2" t="inlineStr">
        <is>
          <t>官方條文核對（自動）</t>
        </is>
      </c>
      <c r="L55" s="98" t="n">
        <v>46297</v>
      </c>
      <c r="M55" s="1">
        <f>IF(OR(A55="",B55="",C55=""),"",A55&amp;"|"&amp;B55&amp;"|"&amp;C55)</f>
        <v/>
      </c>
      <c r="N55" s="33">
        <f>IF(COUNTA(A55:L55)=0,"",IF(OR(A55="",B55="",C55="",D55="",I55="",J55=""),"缺必要欄位",IF(COUNTIFS(DB_05[標準鍵],M55)&gt;1,"標準鍵重複",IF(AND(G55&lt;&gt;"",H55&lt;&gt;"",G55&gt;H55),"日期起迄錯誤",IF(OR(AND(E55&lt;&gt;"",NOT(ISNUMBER(E55))),AND(F55&lt;&gt;"",NOT(ISNUMBER(F55)))),"標準非數值",IF(AND(J55="已核對",OR(K55="",NOT(ISNUMBER(L55)),NOT(ISNUMBER(G55)))),"缺核對資料","OK"))))))</f>
        <v/>
      </c>
    </row>
    <row r="56" ht="66" customHeight="1">
      <c r="A56" s="2" t="inlineStr">
        <is>
          <t>TW-GW1-20251223</t>
        </is>
      </c>
      <c r="B56" s="2" t="inlineStr">
        <is>
          <t>地下水</t>
        </is>
      </c>
      <c r="C56" s="2" t="inlineStr">
        <is>
          <t>加保扶</t>
        </is>
      </c>
      <c r="D56" s="2" t="inlineStr">
        <is>
          <t>mg/L</t>
        </is>
      </c>
      <c r="E56" s="97" t="n">
        <v>0.04</v>
      </c>
      <c r="F56" s="97" t="n">
        <v>0.02</v>
      </c>
      <c r="G56" s="98" t="n">
        <v>41640</v>
      </c>
      <c r="H56" s="98" t="n"/>
      <c r="I56" s="38" t="inlineStr">
        <is>
          <t>地下水管制§4(2025-12-23)／監測§4(2013-12-18)；地下水第1類；管制第4條、監測第4條。2025修法刪除砷備註，數值門檻未變，2014-01-01起相同。</t>
        </is>
      </c>
      <c r="J56" s="2" t="inlineStr">
        <is>
          <t>已核對</t>
        </is>
      </c>
      <c r="K56" s="2" t="inlineStr">
        <is>
          <t>官方條文核對（自動）</t>
        </is>
      </c>
      <c r="L56" s="98" t="n">
        <v>46297</v>
      </c>
      <c r="M56" s="1">
        <f>IF(OR(A56="",B56="",C56=""),"",A56&amp;"|"&amp;B56&amp;"|"&amp;C56)</f>
        <v/>
      </c>
      <c r="N56" s="33">
        <f>IF(COUNTA(A56:L56)=0,"",IF(OR(A56="",B56="",C56="",D56="",I56="",J56=""),"缺必要欄位",IF(COUNTIFS(DB_05[標準鍵],M56)&gt;1,"標準鍵重複",IF(AND(G56&lt;&gt;"",H56&lt;&gt;"",G56&gt;H56),"日期起迄錯誤",IF(OR(AND(E56&lt;&gt;"",NOT(ISNUMBER(E56))),AND(F56&lt;&gt;"",NOT(ISNUMBER(F56)))),"標準非數值",IF(AND(J56="已核對",OR(K56="",NOT(ISNUMBER(L56)),NOT(ISNUMBER(G56)))),"缺核對資料","OK"))))))</f>
        <v/>
      </c>
    </row>
    <row r="57" ht="66" customHeight="1">
      <c r="A57" s="2" t="inlineStr">
        <is>
          <t>TW-GW2-20251223</t>
        </is>
      </c>
      <c r="B57" s="2" t="inlineStr">
        <is>
          <t>地下水</t>
        </is>
      </c>
      <c r="C57" s="2" t="inlineStr">
        <is>
          <t>加保扶</t>
        </is>
      </c>
      <c r="D57" s="2" t="inlineStr">
        <is>
          <t>mg/L</t>
        </is>
      </c>
      <c r="E57" s="97" t="n">
        <v>0.4</v>
      </c>
      <c r="F57" s="97" t="n">
        <v>0.2</v>
      </c>
      <c r="G57" s="98" t="n">
        <v>41640</v>
      </c>
      <c r="H57" s="98" t="n"/>
      <c r="I57" s="38" t="inlineStr">
        <is>
          <t>地下水管制§4(2025-12-23)／監測§4(2013-12-18)；地下水第2類；管制第4條、監測第4條。2025修法刪除砷備註，數值門檻未變，2014-01-01起相同。</t>
        </is>
      </c>
      <c r="J57" s="2" t="inlineStr">
        <is>
          <t>已核對</t>
        </is>
      </c>
      <c r="K57" s="2" t="inlineStr">
        <is>
          <t>官方條文核對（自動）</t>
        </is>
      </c>
      <c r="L57" s="98" t="n">
        <v>46297</v>
      </c>
      <c r="M57" s="1">
        <f>IF(OR(A57="",B57="",C57=""),"",A57&amp;"|"&amp;B57&amp;"|"&amp;C57)</f>
        <v/>
      </c>
      <c r="N57" s="33">
        <f>IF(COUNTA(A57:L57)=0,"",IF(OR(A57="",B57="",C57="",D57="",I57="",J57=""),"缺必要欄位",IF(COUNTIFS(DB_05[標準鍵],M57)&gt;1,"標準鍵重複",IF(AND(G57&lt;&gt;"",H57&lt;&gt;"",G57&gt;H57),"日期起迄錯誤",IF(OR(AND(E57&lt;&gt;"",NOT(ISNUMBER(E57))),AND(F57&lt;&gt;"",NOT(ISNUMBER(F57)))),"標準非數值",IF(AND(J57="已核對",OR(K57="",NOT(ISNUMBER(L57)),NOT(ISNUMBER(G57)))),"缺核對資料","OK"))))))</f>
        <v/>
      </c>
    </row>
    <row r="58" ht="66" customHeight="1">
      <c r="A58" s="2" t="inlineStr">
        <is>
          <t>TW-GW1-20251223</t>
        </is>
      </c>
      <c r="B58" s="2" t="inlineStr">
        <is>
          <t>地下水</t>
        </is>
      </c>
      <c r="C58" s="2" t="inlineStr">
        <is>
          <t>可氯丹</t>
        </is>
      </c>
      <c r="D58" s="2" t="inlineStr">
        <is>
          <t>mg/L</t>
        </is>
      </c>
      <c r="E58" s="97" t="n">
        <v>0.002</v>
      </c>
      <c r="F58" s="97" t="n">
        <v>0.001</v>
      </c>
      <c r="G58" s="98" t="n">
        <v>41640</v>
      </c>
      <c r="H58" s="98" t="n"/>
      <c r="I58" s="38" t="inlineStr">
        <is>
          <t>地下水管制§4(2025-12-23)／監測§4(2013-12-18)；地下水第1類；管制第4條、監測第4條。2025修法刪除砷備註，數值門檻未變，2014-01-01起相同。</t>
        </is>
      </c>
      <c r="J58" s="2" t="inlineStr">
        <is>
          <t>已核對</t>
        </is>
      </c>
      <c r="K58" s="2" t="inlineStr">
        <is>
          <t>官方條文核對（自動）</t>
        </is>
      </c>
      <c r="L58" s="98" t="n">
        <v>46297</v>
      </c>
      <c r="M58" s="1">
        <f>IF(OR(A58="",B58="",C58=""),"",A58&amp;"|"&amp;B58&amp;"|"&amp;C58)</f>
        <v/>
      </c>
      <c r="N58" s="33">
        <f>IF(COUNTA(A58:L58)=0,"",IF(OR(A58="",B58="",C58="",D58="",I58="",J58=""),"缺必要欄位",IF(COUNTIFS(DB_05[標準鍵],M58)&gt;1,"標準鍵重複",IF(AND(G58&lt;&gt;"",H58&lt;&gt;"",G58&gt;H58),"日期起迄錯誤",IF(OR(AND(E58&lt;&gt;"",NOT(ISNUMBER(E58))),AND(F58&lt;&gt;"",NOT(ISNUMBER(F58)))),"標準非數值",IF(AND(J58="已核對",OR(K58="",NOT(ISNUMBER(L58)),NOT(ISNUMBER(G58)))),"缺核對資料","OK"))))))</f>
        <v/>
      </c>
    </row>
    <row r="59" ht="66" customHeight="1">
      <c r="A59" s="2" t="inlineStr">
        <is>
          <t>TW-GW2-20251223</t>
        </is>
      </c>
      <c r="B59" s="2" t="inlineStr">
        <is>
          <t>地下水</t>
        </is>
      </c>
      <c r="C59" s="2" t="inlineStr">
        <is>
          <t>可氯丹</t>
        </is>
      </c>
      <c r="D59" s="2" t="inlineStr">
        <is>
          <t>mg/L</t>
        </is>
      </c>
      <c r="E59" s="97" t="n">
        <v>0.02</v>
      </c>
      <c r="F59" s="97" t="n">
        <v>0.01</v>
      </c>
      <c r="G59" s="98" t="n">
        <v>41640</v>
      </c>
      <c r="H59" s="98" t="n"/>
      <c r="I59" s="38" t="inlineStr">
        <is>
          <t>地下水管制§4(2025-12-23)／監測§4(2013-12-18)；地下水第2類；管制第4條、監測第4條。2025修法刪除砷備註，數值門檻未變，2014-01-01起相同。</t>
        </is>
      </c>
      <c r="J59" s="2" t="inlineStr">
        <is>
          <t>已核對</t>
        </is>
      </c>
      <c r="K59" s="2" t="inlineStr">
        <is>
          <t>官方條文核對（自動）</t>
        </is>
      </c>
      <c r="L59" s="98" t="n">
        <v>46297</v>
      </c>
      <c r="M59" s="1">
        <f>IF(OR(A59="",B59="",C59=""),"",A59&amp;"|"&amp;B59&amp;"|"&amp;C59)</f>
        <v/>
      </c>
      <c r="N59" s="33">
        <f>IF(COUNTA(A59:L59)=0,"",IF(OR(A59="",B59="",C59="",D59="",I59="",J59=""),"缺必要欄位",IF(COUNTIFS(DB_05[標準鍵],M59)&gt;1,"標準鍵重複",IF(AND(G59&lt;&gt;"",H59&lt;&gt;"",G59&gt;H59),"日期起迄錯誤",IF(OR(AND(E59&lt;&gt;"",NOT(ISNUMBER(E59))),AND(F59&lt;&gt;"",NOT(ISNUMBER(F59)))),"標準非數值",IF(AND(J59="已核對",OR(K59="",NOT(ISNUMBER(L59)),NOT(ISNUMBER(G59)))),"缺核對資料","OK"))))))</f>
        <v/>
      </c>
    </row>
    <row r="60" ht="66" customHeight="1">
      <c r="A60" s="2" t="inlineStr">
        <is>
          <t>TW-GW1-20251223</t>
        </is>
      </c>
      <c r="B60" s="2" t="inlineStr">
        <is>
          <t>地下水</t>
        </is>
      </c>
      <c r="C60" s="2" t="inlineStr">
        <is>
          <t>大利松</t>
        </is>
      </c>
      <c r="D60" s="2" t="inlineStr">
        <is>
          <t>mg/L</t>
        </is>
      </c>
      <c r="E60" s="97" t="n">
        <v>0.005</v>
      </c>
      <c r="F60" s="97" t="n">
        <v>0.0025</v>
      </c>
      <c r="G60" s="98" t="n">
        <v>41640</v>
      </c>
      <c r="H60" s="98" t="n"/>
      <c r="I60" s="38" t="inlineStr">
        <is>
          <t>地下水管制§4(2025-12-23)／監測§4(2013-12-18)；地下水第1類；管制第4條、監測第4條。2025修法刪除砷備註，數值門檻未變，2014-01-01起相同。</t>
        </is>
      </c>
      <c r="J60" s="2" t="inlineStr">
        <is>
          <t>已核對</t>
        </is>
      </c>
      <c r="K60" s="2" t="inlineStr">
        <is>
          <t>官方條文核對（自動）</t>
        </is>
      </c>
      <c r="L60" s="98" t="n">
        <v>46297</v>
      </c>
      <c r="M60" s="1">
        <f>IF(OR(A60="",B60="",C60=""),"",A60&amp;"|"&amp;B60&amp;"|"&amp;C60)</f>
        <v/>
      </c>
      <c r="N60" s="33">
        <f>IF(COUNTA(A60:L60)=0,"",IF(OR(A60="",B60="",C60="",D60="",I60="",J60=""),"缺必要欄位",IF(COUNTIFS(DB_05[標準鍵],M60)&gt;1,"標準鍵重複",IF(AND(G60&lt;&gt;"",H60&lt;&gt;"",G60&gt;H60),"日期起迄錯誤",IF(OR(AND(E60&lt;&gt;"",NOT(ISNUMBER(E60))),AND(F60&lt;&gt;"",NOT(ISNUMBER(F60)))),"標準非數值",IF(AND(J60="已核對",OR(K60="",NOT(ISNUMBER(L60)),NOT(ISNUMBER(G60)))),"缺核對資料","OK"))))))</f>
        <v/>
      </c>
    </row>
    <row r="61" ht="66" customHeight="1">
      <c r="A61" s="2" t="inlineStr">
        <is>
          <t>TW-GW2-20251223</t>
        </is>
      </c>
      <c r="B61" s="2" t="inlineStr">
        <is>
          <t>地下水</t>
        </is>
      </c>
      <c r="C61" s="2" t="inlineStr">
        <is>
          <t>大利松</t>
        </is>
      </c>
      <c r="D61" s="2" t="inlineStr">
        <is>
          <t>mg/L</t>
        </is>
      </c>
      <c r="E61" s="97" t="n">
        <v>0.05</v>
      </c>
      <c r="F61" s="97" t="n">
        <v>0.025</v>
      </c>
      <c r="G61" s="98" t="n">
        <v>41640</v>
      </c>
      <c r="H61" s="98" t="n"/>
      <c r="I61" s="38" t="inlineStr">
        <is>
          <t>地下水管制§4(2025-12-23)／監測§4(2013-12-18)；地下水第2類；管制第4條、監測第4條。2025修法刪除砷備註，數值門檻未變，2014-01-01起相同。</t>
        </is>
      </c>
      <c r="J61" s="2" t="inlineStr">
        <is>
          <t>已核對</t>
        </is>
      </c>
      <c r="K61" s="2" t="inlineStr">
        <is>
          <t>官方條文核對（自動）</t>
        </is>
      </c>
      <c r="L61" s="98" t="n">
        <v>46297</v>
      </c>
      <c r="M61" s="1">
        <f>IF(OR(A61="",B61="",C61=""),"",A61&amp;"|"&amp;B61&amp;"|"&amp;C61)</f>
        <v/>
      </c>
      <c r="N61" s="33">
        <f>IF(COUNTA(A61:L61)=0,"",IF(OR(A61="",B61="",C61="",D61="",I61="",J61=""),"缺必要欄位",IF(COUNTIFS(DB_05[標準鍵],M61)&gt;1,"標準鍵重複",IF(AND(G61&lt;&gt;"",H61&lt;&gt;"",G61&gt;H61),"日期起迄錯誤",IF(OR(AND(E61&lt;&gt;"",NOT(ISNUMBER(E61))),AND(F61&lt;&gt;"",NOT(ISNUMBER(F61)))),"標準非數值",IF(AND(J61="已核對",OR(K61="",NOT(ISNUMBER(L61)),NOT(ISNUMBER(G61)))),"缺核對資料","OK"))))))</f>
        <v/>
      </c>
    </row>
    <row r="62" ht="66" customHeight="1">
      <c r="A62" s="2" t="inlineStr">
        <is>
          <t>TW-GW1-20251223</t>
        </is>
      </c>
      <c r="B62" s="2" t="inlineStr">
        <is>
          <t>地下水</t>
        </is>
      </c>
      <c r="C62" s="2" t="inlineStr">
        <is>
          <t>達馬松</t>
        </is>
      </c>
      <c r="D62" s="2" t="inlineStr">
        <is>
          <t>mg/L</t>
        </is>
      </c>
      <c r="E62" s="97" t="n">
        <v>0.02</v>
      </c>
      <c r="F62" s="97" t="n">
        <v>0.01</v>
      </c>
      <c r="G62" s="98" t="n">
        <v>41640</v>
      </c>
      <c r="H62" s="98" t="n"/>
      <c r="I62" s="38" t="inlineStr">
        <is>
          <t>地下水管制§4(2025-12-23)／監測§4(2013-12-18)；地下水第1類；管制第4條、監測第4條。2025修法刪除砷備註，數值門檻未變，2014-01-01起相同。</t>
        </is>
      </c>
      <c r="J62" s="2" t="inlineStr">
        <is>
          <t>已核對</t>
        </is>
      </c>
      <c r="K62" s="2" t="inlineStr">
        <is>
          <t>官方條文核對（自動）</t>
        </is>
      </c>
      <c r="L62" s="98" t="n">
        <v>46297</v>
      </c>
      <c r="M62" s="1">
        <f>IF(OR(A62="",B62="",C62=""),"",A62&amp;"|"&amp;B62&amp;"|"&amp;C62)</f>
        <v/>
      </c>
      <c r="N62" s="33">
        <f>IF(COUNTA(A62:L62)=0,"",IF(OR(A62="",B62="",C62="",D62="",I62="",J62=""),"缺必要欄位",IF(COUNTIFS(DB_05[標準鍵],M62)&gt;1,"標準鍵重複",IF(AND(G62&lt;&gt;"",H62&lt;&gt;"",G62&gt;H62),"日期起迄錯誤",IF(OR(AND(E62&lt;&gt;"",NOT(ISNUMBER(E62))),AND(F62&lt;&gt;"",NOT(ISNUMBER(F62)))),"標準非數值",IF(AND(J62="已核對",OR(K62="",NOT(ISNUMBER(L62)),NOT(ISNUMBER(G62)))),"缺核對資料","OK"))))))</f>
        <v/>
      </c>
    </row>
    <row r="63" ht="66" customHeight="1">
      <c r="A63" s="2" t="inlineStr">
        <is>
          <t>TW-GW2-20251223</t>
        </is>
      </c>
      <c r="B63" s="2" t="inlineStr">
        <is>
          <t>地下水</t>
        </is>
      </c>
      <c r="C63" s="2" t="inlineStr">
        <is>
          <t>達馬松</t>
        </is>
      </c>
      <c r="D63" s="2" t="inlineStr">
        <is>
          <t>mg/L</t>
        </is>
      </c>
      <c r="E63" s="97" t="n">
        <v>0.2</v>
      </c>
      <c r="F63" s="97" t="n">
        <v>0.1</v>
      </c>
      <c r="G63" s="98" t="n">
        <v>41640</v>
      </c>
      <c r="H63" s="98" t="n"/>
      <c r="I63" s="38" t="inlineStr">
        <is>
          <t>地下水管制§4(2025-12-23)／監測§4(2013-12-18)；地下水第2類；管制第4條、監測第4條。2025修法刪除砷備註，數值門檻未變，2014-01-01起相同。</t>
        </is>
      </c>
      <c r="J63" s="2" t="inlineStr">
        <is>
          <t>已核對</t>
        </is>
      </c>
      <c r="K63" s="2" t="inlineStr">
        <is>
          <t>官方條文核對（自動）</t>
        </is>
      </c>
      <c r="L63" s="98" t="n">
        <v>46297</v>
      </c>
      <c r="M63" s="1">
        <f>IF(OR(A63="",B63="",C63=""),"",A63&amp;"|"&amp;B63&amp;"|"&amp;C63)</f>
        <v/>
      </c>
      <c r="N63" s="33">
        <f>IF(COUNTA(A63:L63)=0,"",IF(OR(A63="",B63="",C63="",D63="",I63="",J63=""),"缺必要欄位",IF(COUNTIFS(DB_05[標準鍵],M63)&gt;1,"標準鍵重複",IF(AND(G63&lt;&gt;"",H63&lt;&gt;"",G63&gt;H63),"日期起迄錯誤",IF(OR(AND(E63&lt;&gt;"",NOT(ISNUMBER(E63))),AND(F63&lt;&gt;"",NOT(ISNUMBER(F63)))),"標準非數值",IF(AND(J63="已核對",OR(K63="",NOT(ISNUMBER(L63)),NOT(ISNUMBER(G63)))),"缺核對資料","OK"))))))</f>
        <v/>
      </c>
    </row>
    <row r="64" ht="66" customHeight="1">
      <c r="A64" s="2" t="inlineStr">
        <is>
          <t>TW-GW1-20251223</t>
        </is>
      </c>
      <c r="B64" s="2" t="inlineStr">
        <is>
          <t>地下水</t>
        </is>
      </c>
      <c r="C64" s="2" t="inlineStr">
        <is>
          <t>巴拉刈</t>
        </is>
      </c>
      <c r="D64" s="2" t="inlineStr">
        <is>
          <t>mg/L</t>
        </is>
      </c>
      <c r="E64" s="97" t="n">
        <v>0.03</v>
      </c>
      <c r="F64" s="97" t="n">
        <v>0.015</v>
      </c>
      <c r="G64" s="98" t="n">
        <v>41640</v>
      </c>
      <c r="H64" s="98" t="n"/>
      <c r="I64" s="38" t="inlineStr">
        <is>
          <t>地下水管制§4(2025-12-23)／監測§4(2013-12-18)；地下水第1類；管制第4條、監測第4條。2025修法刪除砷備註，數值門檻未變，2014-01-01起相同。</t>
        </is>
      </c>
      <c r="J64" s="2" t="inlineStr">
        <is>
          <t>已核對</t>
        </is>
      </c>
      <c r="K64" s="2" t="inlineStr">
        <is>
          <t>官方條文核對（自動）</t>
        </is>
      </c>
      <c r="L64" s="98" t="n">
        <v>46297</v>
      </c>
      <c r="M64" s="1">
        <f>IF(OR(A64="",B64="",C64=""),"",A64&amp;"|"&amp;B64&amp;"|"&amp;C64)</f>
        <v/>
      </c>
      <c r="N64" s="33">
        <f>IF(COUNTA(A64:L64)=0,"",IF(OR(A64="",B64="",C64="",D64="",I64="",J64=""),"缺必要欄位",IF(COUNTIFS(DB_05[標準鍵],M64)&gt;1,"標準鍵重複",IF(AND(G64&lt;&gt;"",H64&lt;&gt;"",G64&gt;H64),"日期起迄錯誤",IF(OR(AND(E64&lt;&gt;"",NOT(ISNUMBER(E64))),AND(F64&lt;&gt;"",NOT(ISNUMBER(F64)))),"標準非數值",IF(AND(J64="已核對",OR(K64="",NOT(ISNUMBER(L64)),NOT(ISNUMBER(G64)))),"缺核對資料","OK"))))))</f>
        <v/>
      </c>
    </row>
    <row r="65" ht="66" customHeight="1">
      <c r="A65" s="2" t="inlineStr">
        <is>
          <t>TW-GW2-20251223</t>
        </is>
      </c>
      <c r="B65" s="2" t="inlineStr">
        <is>
          <t>地下水</t>
        </is>
      </c>
      <c r="C65" s="2" t="inlineStr">
        <is>
          <t>巴拉刈</t>
        </is>
      </c>
      <c r="D65" s="2" t="inlineStr">
        <is>
          <t>mg/L</t>
        </is>
      </c>
      <c r="E65" s="97" t="n">
        <v>0.3</v>
      </c>
      <c r="F65" s="97" t="n">
        <v>0.15</v>
      </c>
      <c r="G65" s="98" t="n">
        <v>41640</v>
      </c>
      <c r="H65" s="98" t="n"/>
      <c r="I65" s="38" t="inlineStr">
        <is>
          <t>地下水管制§4(2025-12-23)／監測§4(2013-12-18)；地下水第2類；管制第4條、監測第4條。2025修法刪除砷備註，數值門檻未變，2014-01-01起相同。</t>
        </is>
      </c>
      <c r="J65" s="2" t="inlineStr">
        <is>
          <t>已核對</t>
        </is>
      </c>
      <c r="K65" s="2" t="inlineStr">
        <is>
          <t>官方條文核對（自動）</t>
        </is>
      </c>
      <c r="L65" s="98" t="n">
        <v>46297</v>
      </c>
      <c r="M65" s="1">
        <f>IF(OR(A65="",B65="",C65=""),"",A65&amp;"|"&amp;B65&amp;"|"&amp;C65)</f>
        <v/>
      </c>
      <c r="N65" s="33">
        <f>IF(COUNTA(A65:L65)=0,"",IF(OR(A65="",B65="",C65="",D65="",I65="",J65=""),"缺必要欄位",IF(COUNTIFS(DB_05[標準鍵],M65)&gt;1,"標準鍵重複",IF(AND(G65&lt;&gt;"",H65&lt;&gt;"",G65&gt;H65),"日期起迄錯誤",IF(OR(AND(E65&lt;&gt;"",NOT(ISNUMBER(E65))),AND(F65&lt;&gt;"",NOT(ISNUMBER(F65)))),"標準非數值",IF(AND(J65="已核對",OR(K65="",NOT(ISNUMBER(L65)),NOT(ISNUMBER(G65)))),"缺核對資料","OK"))))))</f>
        <v/>
      </c>
    </row>
    <row r="66" ht="66" customHeight="1">
      <c r="A66" s="2" t="inlineStr">
        <is>
          <t>TW-GW1-20251223</t>
        </is>
      </c>
      <c r="B66" s="2" t="inlineStr">
        <is>
          <t>地下水</t>
        </is>
      </c>
      <c r="C66" s="2" t="inlineStr">
        <is>
          <t>巴拉松</t>
        </is>
      </c>
      <c r="D66" s="2" t="inlineStr">
        <is>
          <t>mg/L</t>
        </is>
      </c>
      <c r="E66" s="97" t="n">
        <v>0.022</v>
      </c>
      <c r="F66" s="97" t="n">
        <v>0.011</v>
      </c>
      <c r="G66" s="98" t="n">
        <v>41640</v>
      </c>
      <c r="H66" s="98" t="n"/>
      <c r="I66" s="38" t="inlineStr">
        <is>
          <t>地下水管制§4(2025-12-23)／監測§4(2013-12-18)；地下水第1類；管制第4條、監測第4條。2025修法刪除砷備註，數值門檻未變，2014-01-01起相同。</t>
        </is>
      </c>
      <c r="J66" s="2" t="inlineStr">
        <is>
          <t>已核對</t>
        </is>
      </c>
      <c r="K66" s="2" t="inlineStr">
        <is>
          <t>官方條文核對（自動）</t>
        </is>
      </c>
      <c r="L66" s="98" t="n">
        <v>46297</v>
      </c>
      <c r="M66" s="1">
        <f>IF(OR(A66="",B66="",C66=""),"",A66&amp;"|"&amp;B66&amp;"|"&amp;C66)</f>
        <v/>
      </c>
      <c r="N66" s="33">
        <f>IF(COUNTA(A66:L66)=0,"",IF(OR(A66="",B66="",C66="",D66="",I66="",J66=""),"缺必要欄位",IF(COUNTIFS(DB_05[標準鍵],M66)&gt;1,"標準鍵重複",IF(AND(G66&lt;&gt;"",H66&lt;&gt;"",G66&gt;H66),"日期起迄錯誤",IF(OR(AND(E66&lt;&gt;"",NOT(ISNUMBER(E66))),AND(F66&lt;&gt;"",NOT(ISNUMBER(F66)))),"標準非數值",IF(AND(J66="已核對",OR(K66="",NOT(ISNUMBER(L66)),NOT(ISNUMBER(G66)))),"缺核對資料","OK"))))))</f>
        <v/>
      </c>
    </row>
    <row r="67" ht="66" customHeight="1">
      <c r="A67" s="2" t="inlineStr">
        <is>
          <t>TW-GW2-20251223</t>
        </is>
      </c>
      <c r="B67" s="2" t="inlineStr">
        <is>
          <t>地下水</t>
        </is>
      </c>
      <c r="C67" s="2" t="inlineStr">
        <is>
          <t>巴拉松</t>
        </is>
      </c>
      <c r="D67" s="2" t="inlineStr">
        <is>
          <t>mg/L</t>
        </is>
      </c>
      <c r="E67" s="97" t="n">
        <v>0.22</v>
      </c>
      <c r="F67" s="97" t="n">
        <v>0.11</v>
      </c>
      <c r="G67" s="98" t="n">
        <v>41640</v>
      </c>
      <c r="H67" s="98" t="n"/>
      <c r="I67" s="38" t="inlineStr">
        <is>
          <t>地下水管制§4(2025-12-23)／監測§4(2013-12-18)；地下水第2類；管制第4條、監測第4條。2025修法刪除砷備註，數值門檻未變，2014-01-01起相同。</t>
        </is>
      </c>
      <c r="J67" s="2" t="inlineStr">
        <is>
          <t>已核對</t>
        </is>
      </c>
      <c r="K67" s="2" t="inlineStr">
        <is>
          <t>官方條文核對（自動）</t>
        </is>
      </c>
      <c r="L67" s="98" t="n">
        <v>46297</v>
      </c>
      <c r="M67" s="1">
        <f>IF(OR(A67="",B67="",C67=""),"",A67&amp;"|"&amp;B67&amp;"|"&amp;C67)</f>
        <v/>
      </c>
      <c r="N67" s="33">
        <f>IF(COUNTA(A67:L67)=0,"",IF(OR(A67="",B67="",C67="",D67="",I67="",J67=""),"缺必要欄位",IF(COUNTIFS(DB_05[標準鍵],M67)&gt;1,"標準鍵重複",IF(AND(G67&lt;&gt;"",H67&lt;&gt;"",G67&gt;H67),"日期起迄錯誤",IF(OR(AND(E67&lt;&gt;"",NOT(ISNUMBER(E67))),AND(F67&lt;&gt;"",NOT(ISNUMBER(F67)))),"標準非數值",IF(AND(J67="已核對",OR(K67="",NOT(ISNUMBER(L67)),NOT(ISNUMBER(G67)))),"缺核對資料","OK"))))))</f>
        <v/>
      </c>
    </row>
    <row r="68" ht="66" customHeight="1">
      <c r="A68" s="2" t="inlineStr">
        <is>
          <t>TW-GW1-20251223</t>
        </is>
      </c>
      <c r="B68" s="2" t="inlineStr">
        <is>
          <t>地下水</t>
        </is>
      </c>
      <c r="C68" s="2" t="inlineStr">
        <is>
          <t>毒殺芬</t>
        </is>
      </c>
      <c r="D68" s="2" t="inlineStr">
        <is>
          <t>mg/L</t>
        </is>
      </c>
      <c r="E68" s="97" t="n">
        <v>0.003</v>
      </c>
      <c r="F68" s="97" t="n">
        <v>0.0015</v>
      </c>
      <c r="G68" s="98" t="n">
        <v>41640</v>
      </c>
      <c r="H68" s="98" t="n"/>
      <c r="I68" s="38" t="inlineStr">
        <is>
          <t>地下水管制§4(2025-12-23)／監測§4(2013-12-18)；地下水第1類；管制第4條、監測第4條。2025修法刪除砷備註，數值門檻未變，2014-01-01起相同。</t>
        </is>
      </c>
      <c r="J68" s="2" t="inlineStr">
        <is>
          <t>已核對</t>
        </is>
      </c>
      <c r="K68" s="2" t="inlineStr">
        <is>
          <t>官方條文核對（自動）</t>
        </is>
      </c>
      <c r="L68" s="98" t="n">
        <v>46297</v>
      </c>
      <c r="M68" s="1">
        <f>IF(OR(A68="",B68="",C68=""),"",A68&amp;"|"&amp;B68&amp;"|"&amp;C68)</f>
        <v/>
      </c>
      <c r="N68" s="33">
        <f>IF(COUNTA(A68:L68)=0,"",IF(OR(A68="",B68="",C68="",D68="",I68="",J68=""),"缺必要欄位",IF(COUNTIFS(DB_05[標準鍵],M68)&gt;1,"標準鍵重複",IF(AND(G68&lt;&gt;"",H68&lt;&gt;"",G68&gt;H68),"日期起迄錯誤",IF(OR(AND(E68&lt;&gt;"",NOT(ISNUMBER(E68))),AND(F68&lt;&gt;"",NOT(ISNUMBER(F68)))),"標準非數值",IF(AND(J68="已核對",OR(K68="",NOT(ISNUMBER(L68)),NOT(ISNUMBER(G68)))),"缺核對資料","OK"))))))</f>
        <v/>
      </c>
    </row>
    <row r="69" ht="66" customHeight="1">
      <c r="A69" s="2" t="inlineStr">
        <is>
          <t>TW-GW2-20251223</t>
        </is>
      </c>
      <c r="B69" s="2" t="inlineStr">
        <is>
          <t>地下水</t>
        </is>
      </c>
      <c r="C69" s="2" t="inlineStr">
        <is>
          <t>毒殺芬</t>
        </is>
      </c>
      <c r="D69" s="2" t="inlineStr">
        <is>
          <t>mg/L</t>
        </is>
      </c>
      <c r="E69" s="97" t="n">
        <v>0.03</v>
      </c>
      <c r="F69" s="97" t="n">
        <v>0.015</v>
      </c>
      <c r="G69" s="98" t="n">
        <v>41640</v>
      </c>
      <c r="H69" s="98" t="n"/>
      <c r="I69" s="38" t="inlineStr">
        <is>
          <t>地下水管制§4(2025-12-23)／監測§4(2013-12-18)；地下水第2類；管制第4條、監測第4條。2025修法刪除砷備註，數值門檻未變，2014-01-01起相同。</t>
        </is>
      </c>
      <c r="J69" s="2" t="inlineStr">
        <is>
          <t>已核對</t>
        </is>
      </c>
      <c r="K69" s="2" t="inlineStr">
        <is>
          <t>官方條文核對（自動）</t>
        </is>
      </c>
      <c r="L69" s="98" t="n">
        <v>46297</v>
      </c>
      <c r="M69" s="1">
        <f>IF(OR(A69="",B69="",C69=""),"",A69&amp;"|"&amp;B69&amp;"|"&amp;C69)</f>
        <v/>
      </c>
      <c r="N69" s="33">
        <f>IF(COUNTA(A69:L69)=0,"",IF(OR(A69="",B69="",C69="",D69="",I69="",J69=""),"缺必要欄位",IF(COUNTIFS(DB_05[標準鍵],M69)&gt;1,"標準鍵重複",IF(AND(G69&lt;&gt;"",H69&lt;&gt;"",G69&gt;H69),"日期起迄錯誤",IF(OR(AND(E69&lt;&gt;"",NOT(ISNUMBER(E69))),AND(F69&lt;&gt;"",NOT(ISNUMBER(F69)))),"標準非數值",IF(AND(J69="已核對",OR(K69="",NOT(ISNUMBER(L69)),NOT(ISNUMBER(G69)))),"缺核對資料","OK"))))))</f>
        <v/>
      </c>
    </row>
    <row r="70" ht="66" customHeight="1">
      <c r="A70" s="2" t="inlineStr">
        <is>
          <t>TW-GW1-20251223</t>
        </is>
      </c>
      <c r="B70" s="2" t="inlineStr">
        <is>
          <t>地下水</t>
        </is>
      </c>
      <c r="C70" s="2" t="inlineStr">
        <is>
          <t>砷</t>
        </is>
      </c>
      <c r="D70" s="2" t="inlineStr">
        <is>
          <t>mg/L</t>
        </is>
      </c>
      <c r="E70" s="97" t="n">
        <v>0.05</v>
      </c>
      <c r="F70" s="97" t="n">
        <v>0.025</v>
      </c>
      <c r="G70" s="98" t="n">
        <v>41640</v>
      </c>
      <c r="H70" s="98" t="n"/>
      <c r="I70" s="38" t="inlineStr">
        <is>
          <t>地下水管制§4(2025-12-23)／監測§4(2013-12-18)；地下水第1類；管制第4條、監測第4條。2025修法刪除砷備註，數值門檻未變，2014-01-01起相同。</t>
        </is>
      </c>
      <c r="J70" s="2" t="inlineStr">
        <is>
          <t>已核對</t>
        </is>
      </c>
      <c r="K70" s="2" t="inlineStr">
        <is>
          <t>官方條文核對（自動）</t>
        </is>
      </c>
      <c r="L70" s="98" t="n">
        <v>46297</v>
      </c>
      <c r="M70" s="1">
        <f>IF(OR(A70="",B70="",C70=""),"",A70&amp;"|"&amp;B70&amp;"|"&amp;C70)</f>
        <v/>
      </c>
      <c r="N70" s="33">
        <f>IF(COUNTA(A70:L70)=0,"",IF(OR(A70="",B70="",C70="",D70="",I70="",J70=""),"缺必要欄位",IF(COUNTIFS(DB_05[標準鍵],M70)&gt;1,"標準鍵重複",IF(AND(G70&lt;&gt;"",H70&lt;&gt;"",G70&gt;H70),"日期起迄錯誤",IF(OR(AND(E70&lt;&gt;"",NOT(ISNUMBER(E70))),AND(F70&lt;&gt;"",NOT(ISNUMBER(F70)))),"標準非數值",IF(AND(J70="已核對",OR(K70="",NOT(ISNUMBER(L70)),NOT(ISNUMBER(G70)))),"缺核對資料","OK"))))))</f>
        <v/>
      </c>
    </row>
    <row r="71" ht="66" customHeight="1">
      <c r="A71" s="2" t="inlineStr">
        <is>
          <t>TW-GW2-20251223</t>
        </is>
      </c>
      <c r="B71" s="2" t="inlineStr">
        <is>
          <t>地下水</t>
        </is>
      </c>
      <c r="C71" s="2" t="inlineStr">
        <is>
          <t>砷</t>
        </is>
      </c>
      <c r="D71" s="2" t="inlineStr">
        <is>
          <t>mg/L</t>
        </is>
      </c>
      <c r="E71" s="97" t="n">
        <v>0.5</v>
      </c>
      <c r="F71" s="97" t="n">
        <v>0.25</v>
      </c>
      <c r="G71" s="98" t="n">
        <v>41640</v>
      </c>
      <c r="H71" s="98" t="n"/>
      <c r="I71" s="38" t="inlineStr">
        <is>
          <t>地下水管制§4(2025-12-23)／監測§4(2013-12-18)；地下水第2類；管制第4條、監測第4條。2025修法刪除砷備註，數值門檻未變，2014-01-01起相同。</t>
        </is>
      </c>
      <c r="J71" s="2" t="inlineStr">
        <is>
          <t>已核對</t>
        </is>
      </c>
      <c r="K71" s="2" t="inlineStr">
        <is>
          <t>官方條文核對（自動）</t>
        </is>
      </c>
      <c r="L71" s="98" t="n">
        <v>46297</v>
      </c>
      <c r="M71" s="1">
        <f>IF(OR(A71="",B71="",C71=""),"",A71&amp;"|"&amp;B71&amp;"|"&amp;C71)</f>
        <v/>
      </c>
      <c r="N71" s="33">
        <f>IF(COUNTA(A71:L71)=0,"",IF(OR(A71="",B71="",C71="",D71="",I71="",J71=""),"缺必要欄位",IF(COUNTIFS(DB_05[標準鍵],M71)&gt;1,"標準鍵重複",IF(AND(G71&lt;&gt;"",H71&lt;&gt;"",G71&gt;H71),"日期起迄錯誤",IF(OR(AND(E71&lt;&gt;"",NOT(ISNUMBER(E71))),AND(F71&lt;&gt;"",NOT(ISNUMBER(F71)))),"標準非數值",IF(AND(J71="已核對",OR(K71="",NOT(ISNUMBER(L71)),NOT(ISNUMBER(G71)))),"缺核對資料","OK"))))))</f>
        <v/>
      </c>
    </row>
    <row r="72" ht="66" customHeight="1">
      <c r="A72" s="2" t="inlineStr">
        <is>
          <t>TW-GW1-20251223</t>
        </is>
      </c>
      <c r="B72" s="2" t="inlineStr">
        <is>
          <t>地下水</t>
        </is>
      </c>
      <c r="C72" s="2" t="inlineStr">
        <is>
          <t>鎘</t>
        </is>
      </c>
      <c r="D72" s="2" t="inlineStr">
        <is>
          <t>mg/L</t>
        </is>
      </c>
      <c r="E72" s="97" t="n">
        <v>0.005</v>
      </c>
      <c r="F72" s="97" t="n">
        <v>0.0025</v>
      </c>
      <c r="G72" s="98" t="n">
        <v>41640</v>
      </c>
      <c r="H72" s="98" t="n"/>
      <c r="I72" s="38" t="inlineStr">
        <is>
          <t>地下水管制§4(2025-12-23)／監測§4(2013-12-18)；地下水第1類；管制第4條、監測第4條。2025修法刪除砷備註，數值門檻未變，2014-01-01起相同。</t>
        </is>
      </c>
      <c r="J72" s="2" t="inlineStr">
        <is>
          <t>已核對</t>
        </is>
      </c>
      <c r="K72" s="2" t="inlineStr">
        <is>
          <t>官方條文核對（自動）</t>
        </is>
      </c>
      <c r="L72" s="98" t="n">
        <v>46297</v>
      </c>
      <c r="M72" s="1">
        <f>IF(OR(A72="",B72="",C72=""),"",A72&amp;"|"&amp;B72&amp;"|"&amp;C72)</f>
        <v/>
      </c>
      <c r="N72" s="33">
        <f>IF(COUNTA(A72:L72)=0,"",IF(OR(A72="",B72="",C72="",D72="",I72="",J72=""),"缺必要欄位",IF(COUNTIFS(DB_05[標準鍵],M72)&gt;1,"標準鍵重複",IF(AND(G72&lt;&gt;"",H72&lt;&gt;"",G72&gt;H72),"日期起迄錯誤",IF(OR(AND(E72&lt;&gt;"",NOT(ISNUMBER(E72))),AND(F72&lt;&gt;"",NOT(ISNUMBER(F72)))),"標準非數值",IF(AND(J72="已核對",OR(K72="",NOT(ISNUMBER(L72)),NOT(ISNUMBER(G72)))),"缺核對資料","OK"))))))</f>
        <v/>
      </c>
    </row>
    <row r="73" ht="66" customHeight="1">
      <c r="A73" s="2" t="inlineStr">
        <is>
          <t>TW-GW2-20251223</t>
        </is>
      </c>
      <c r="B73" s="2" t="inlineStr">
        <is>
          <t>地下水</t>
        </is>
      </c>
      <c r="C73" s="2" t="inlineStr">
        <is>
          <t>鎘</t>
        </is>
      </c>
      <c r="D73" s="2" t="inlineStr">
        <is>
          <t>mg/L</t>
        </is>
      </c>
      <c r="E73" s="97" t="n">
        <v>0.05</v>
      </c>
      <c r="F73" s="97" t="n">
        <v>0.025</v>
      </c>
      <c r="G73" s="98" t="n">
        <v>41640</v>
      </c>
      <c r="H73" s="98" t="n"/>
      <c r="I73" s="38" t="inlineStr">
        <is>
          <t>地下水管制§4(2025-12-23)／監測§4(2013-12-18)；地下水第2類；管制第4條、監測第4條。2025修法刪除砷備註，數值門檻未變，2014-01-01起相同。</t>
        </is>
      </c>
      <c r="J73" s="2" t="inlineStr">
        <is>
          <t>已核對</t>
        </is>
      </c>
      <c r="K73" s="2" t="inlineStr">
        <is>
          <t>官方條文核對（自動）</t>
        </is>
      </c>
      <c r="L73" s="98" t="n">
        <v>46297</v>
      </c>
      <c r="M73" s="1">
        <f>IF(OR(A73="",B73="",C73=""),"",A73&amp;"|"&amp;B73&amp;"|"&amp;C73)</f>
        <v/>
      </c>
      <c r="N73" s="33">
        <f>IF(COUNTA(A73:L73)=0,"",IF(OR(A73="",B73="",C73="",D73="",I73="",J73=""),"缺必要欄位",IF(COUNTIFS(DB_05[標準鍵],M73)&gt;1,"標準鍵重複",IF(AND(G73&lt;&gt;"",H73&lt;&gt;"",G73&gt;H73),"日期起迄錯誤",IF(OR(AND(E73&lt;&gt;"",NOT(ISNUMBER(E73))),AND(F73&lt;&gt;"",NOT(ISNUMBER(F73)))),"標準非數值",IF(AND(J73="已核對",OR(K73="",NOT(ISNUMBER(L73)),NOT(ISNUMBER(G73)))),"缺核對資料","OK"))))))</f>
        <v/>
      </c>
    </row>
    <row r="74" ht="66" customHeight="1">
      <c r="A74" s="2" t="inlineStr">
        <is>
          <t>TW-GW1-20251223</t>
        </is>
      </c>
      <c r="B74" s="2" t="inlineStr">
        <is>
          <t>地下水</t>
        </is>
      </c>
      <c r="C74" s="2" t="inlineStr">
        <is>
          <t>鉻</t>
        </is>
      </c>
      <c r="D74" s="2" t="inlineStr">
        <is>
          <t>mg/L</t>
        </is>
      </c>
      <c r="E74" s="97" t="n">
        <v>0.05</v>
      </c>
      <c r="F74" s="97" t="n">
        <v>0.025</v>
      </c>
      <c r="G74" s="98" t="n">
        <v>41640</v>
      </c>
      <c r="H74" s="98" t="n"/>
      <c r="I74" s="38" t="inlineStr">
        <is>
          <t>地下水管制§4(2025-12-23)／監測§4(2013-12-18)；地下水第1類；管制第4條、監測第4條。2025修法刪除砷備註，數值門檻未變，2014-01-01起相同。</t>
        </is>
      </c>
      <c r="J74" s="2" t="inlineStr">
        <is>
          <t>已核對</t>
        </is>
      </c>
      <c r="K74" s="2" t="inlineStr">
        <is>
          <t>官方條文核對（自動）</t>
        </is>
      </c>
      <c r="L74" s="98" t="n">
        <v>46297</v>
      </c>
      <c r="M74" s="1">
        <f>IF(OR(A74="",B74="",C74=""),"",A74&amp;"|"&amp;B74&amp;"|"&amp;C74)</f>
        <v/>
      </c>
      <c r="N74" s="33">
        <f>IF(COUNTA(A74:L74)=0,"",IF(OR(A74="",B74="",C74="",D74="",I74="",J74=""),"缺必要欄位",IF(COUNTIFS(DB_05[標準鍵],M74)&gt;1,"標準鍵重複",IF(AND(G74&lt;&gt;"",H74&lt;&gt;"",G74&gt;H74),"日期起迄錯誤",IF(OR(AND(E74&lt;&gt;"",NOT(ISNUMBER(E74))),AND(F74&lt;&gt;"",NOT(ISNUMBER(F74)))),"標準非數值",IF(AND(J74="已核對",OR(K74="",NOT(ISNUMBER(L74)),NOT(ISNUMBER(G74)))),"缺核對資料","OK"))))))</f>
        <v/>
      </c>
    </row>
    <row r="75" ht="66" customHeight="1">
      <c r="A75" s="2" t="inlineStr">
        <is>
          <t>TW-GW2-20251223</t>
        </is>
      </c>
      <c r="B75" s="2" t="inlineStr">
        <is>
          <t>地下水</t>
        </is>
      </c>
      <c r="C75" s="2" t="inlineStr">
        <is>
          <t>鉻</t>
        </is>
      </c>
      <c r="D75" s="2" t="inlineStr">
        <is>
          <t>mg/L</t>
        </is>
      </c>
      <c r="E75" s="97" t="n">
        <v>0.5</v>
      </c>
      <c r="F75" s="97" t="n">
        <v>0.25</v>
      </c>
      <c r="G75" s="98" t="n">
        <v>41640</v>
      </c>
      <c r="H75" s="98" t="n"/>
      <c r="I75" s="38" t="inlineStr">
        <is>
          <t>地下水管制§4(2025-12-23)／監測§4(2013-12-18)；地下水第2類；管制第4條、監測第4條。2025修法刪除砷備註，數值門檻未變，2014-01-01起相同。</t>
        </is>
      </c>
      <c r="J75" s="2" t="inlineStr">
        <is>
          <t>已核對</t>
        </is>
      </c>
      <c r="K75" s="2" t="inlineStr">
        <is>
          <t>官方條文核對（自動）</t>
        </is>
      </c>
      <c r="L75" s="98" t="n">
        <v>46297</v>
      </c>
      <c r="M75" s="1">
        <f>IF(OR(A75="",B75="",C75=""),"",A75&amp;"|"&amp;B75&amp;"|"&amp;C75)</f>
        <v/>
      </c>
      <c r="N75" s="33">
        <f>IF(COUNTA(A75:L75)=0,"",IF(OR(A75="",B75="",C75="",D75="",I75="",J75=""),"缺必要欄位",IF(COUNTIFS(DB_05[標準鍵],M75)&gt;1,"標準鍵重複",IF(AND(G75&lt;&gt;"",H75&lt;&gt;"",G75&gt;H75),"日期起迄錯誤",IF(OR(AND(E75&lt;&gt;"",NOT(ISNUMBER(E75))),AND(F75&lt;&gt;"",NOT(ISNUMBER(F75)))),"標準非數值",IF(AND(J75="已核對",OR(K75="",NOT(ISNUMBER(L75)),NOT(ISNUMBER(G75)))),"缺核對資料","OK"))))))</f>
        <v/>
      </c>
    </row>
    <row r="76" ht="66" customHeight="1">
      <c r="A76" s="2" t="inlineStr">
        <is>
          <t>TW-GW1-20251223</t>
        </is>
      </c>
      <c r="B76" s="2" t="inlineStr">
        <is>
          <t>地下水</t>
        </is>
      </c>
      <c r="C76" s="2" t="inlineStr">
        <is>
          <t>銅</t>
        </is>
      </c>
      <c r="D76" s="2" t="inlineStr">
        <is>
          <t>mg/L</t>
        </is>
      </c>
      <c r="E76" s="97" t="n">
        <v>1</v>
      </c>
      <c r="F76" s="97" t="n">
        <v>0.5</v>
      </c>
      <c r="G76" s="98" t="n">
        <v>41640</v>
      </c>
      <c r="H76" s="98" t="n"/>
      <c r="I76" s="38" t="inlineStr">
        <is>
          <t>地下水管制§4(2025-12-23)／監測§4(2013-12-18)；地下水第1類；管制第4條、監測第4條。2025修法刪除砷備註，數值門檻未變，2014-01-01起相同。</t>
        </is>
      </c>
      <c r="J76" s="2" t="inlineStr">
        <is>
          <t>已核對</t>
        </is>
      </c>
      <c r="K76" s="2" t="inlineStr">
        <is>
          <t>官方條文核對（自動）</t>
        </is>
      </c>
      <c r="L76" s="98" t="n">
        <v>46297</v>
      </c>
      <c r="M76" s="1">
        <f>IF(OR(A76="",B76="",C76=""),"",A76&amp;"|"&amp;B76&amp;"|"&amp;C76)</f>
        <v/>
      </c>
      <c r="N76" s="33">
        <f>IF(COUNTA(A76:L76)=0,"",IF(OR(A76="",B76="",C76="",D76="",I76="",J76=""),"缺必要欄位",IF(COUNTIFS(DB_05[標準鍵],M76)&gt;1,"標準鍵重複",IF(AND(G76&lt;&gt;"",H76&lt;&gt;"",G76&gt;H76),"日期起迄錯誤",IF(OR(AND(E76&lt;&gt;"",NOT(ISNUMBER(E76))),AND(F76&lt;&gt;"",NOT(ISNUMBER(F76)))),"標準非數值",IF(AND(J76="已核對",OR(K76="",NOT(ISNUMBER(L76)),NOT(ISNUMBER(G76)))),"缺核對資料","OK"))))))</f>
        <v/>
      </c>
    </row>
    <row r="77" ht="66" customHeight="1">
      <c r="A77" s="2" t="inlineStr">
        <is>
          <t>TW-GW2-20251223</t>
        </is>
      </c>
      <c r="B77" s="2" t="inlineStr">
        <is>
          <t>地下水</t>
        </is>
      </c>
      <c r="C77" s="2" t="inlineStr">
        <is>
          <t>銅</t>
        </is>
      </c>
      <c r="D77" s="2" t="inlineStr">
        <is>
          <t>mg/L</t>
        </is>
      </c>
      <c r="E77" s="97" t="n">
        <v>10</v>
      </c>
      <c r="F77" s="97" t="n">
        <v>5</v>
      </c>
      <c r="G77" s="98" t="n">
        <v>41640</v>
      </c>
      <c r="H77" s="98" t="n"/>
      <c r="I77" s="38" t="inlineStr">
        <is>
          <t>地下水管制§4(2025-12-23)／監測§4(2013-12-18)；地下水第2類；管制第4條、監測第4條。2025修法刪除砷備註，數值門檻未變，2014-01-01起相同。</t>
        </is>
      </c>
      <c r="J77" s="2" t="inlineStr">
        <is>
          <t>已核對</t>
        </is>
      </c>
      <c r="K77" s="2" t="inlineStr">
        <is>
          <t>官方條文核對（自動）</t>
        </is>
      </c>
      <c r="L77" s="98" t="n">
        <v>46297</v>
      </c>
      <c r="M77" s="1">
        <f>IF(OR(A77="",B77="",C77=""),"",A77&amp;"|"&amp;B77&amp;"|"&amp;C77)</f>
        <v/>
      </c>
      <c r="N77" s="33">
        <f>IF(COUNTA(A77:L77)=0,"",IF(OR(A77="",B77="",C77="",D77="",I77="",J77=""),"缺必要欄位",IF(COUNTIFS(DB_05[標準鍵],M77)&gt;1,"標準鍵重複",IF(AND(G77&lt;&gt;"",H77&lt;&gt;"",G77&gt;H77),"日期起迄錯誤",IF(OR(AND(E77&lt;&gt;"",NOT(ISNUMBER(E77))),AND(F77&lt;&gt;"",NOT(ISNUMBER(F77)))),"標準非數值",IF(AND(J77="已核對",OR(K77="",NOT(ISNUMBER(L77)),NOT(ISNUMBER(G77)))),"缺核對資料","OK"))))))</f>
        <v/>
      </c>
    </row>
    <row r="78" ht="66" customHeight="1">
      <c r="A78" s="2" t="inlineStr">
        <is>
          <t>TW-GW1-20251223</t>
        </is>
      </c>
      <c r="B78" s="2" t="inlineStr">
        <is>
          <t>地下水</t>
        </is>
      </c>
      <c r="C78" s="2" t="inlineStr">
        <is>
          <t>鉛</t>
        </is>
      </c>
      <c r="D78" s="2" t="inlineStr">
        <is>
          <t>mg/L</t>
        </is>
      </c>
      <c r="E78" s="97" t="n">
        <v>0.01</v>
      </c>
      <c r="F78" s="97" t="n">
        <v>0.005</v>
      </c>
      <c r="G78" s="98" t="n">
        <v>41640</v>
      </c>
      <c r="H78" s="98" t="n"/>
      <c r="I78" s="38" t="inlineStr">
        <is>
          <t>地下水管制§4(2025-12-23)／監測§4(2013-12-18)；地下水第1類；管制第4條、監測第4條。2025修法刪除砷備註，數值門檻未變，2014-01-01起相同。</t>
        </is>
      </c>
      <c r="J78" s="2" t="inlineStr">
        <is>
          <t>已核對</t>
        </is>
      </c>
      <c r="K78" s="2" t="inlineStr">
        <is>
          <t>官方條文核對（自動）</t>
        </is>
      </c>
      <c r="L78" s="98" t="n">
        <v>46297</v>
      </c>
      <c r="M78" s="1">
        <f>IF(OR(A78="",B78="",C78=""),"",A78&amp;"|"&amp;B78&amp;"|"&amp;C78)</f>
        <v/>
      </c>
      <c r="N78" s="33">
        <f>IF(COUNTA(A78:L78)=0,"",IF(OR(A78="",B78="",C78="",D78="",I78="",J78=""),"缺必要欄位",IF(COUNTIFS(DB_05[標準鍵],M78)&gt;1,"標準鍵重複",IF(AND(G78&lt;&gt;"",H78&lt;&gt;"",G78&gt;H78),"日期起迄錯誤",IF(OR(AND(E78&lt;&gt;"",NOT(ISNUMBER(E78))),AND(F78&lt;&gt;"",NOT(ISNUMBER(F78)))),"標準非數值",IF(AND(J78="已核對",OR(K78="",NOT(ISNUMBER(L78)),NOT(ISNUMBER(G78)))),"缺核對資料","OK"))))))</f>
        <v/>
      </c>
    </row>
    <row r="79" ht="66" customHeight="1">
      <c r="A79" s="2" t="inlineStr">
        <is>
          <t>TW-GW2-20251223</t>
        </is>
      </c>
      <c r="B79" s="2" t="inlineStr">
        <is>
          <t>地下水</t>
        </is>
      </c>
      <c r="C79" s="2" t="inlineStr">
        <is>
          <t>鉛</t>
        </is>
      </c>
      <c r="D79" s="2" t="inlineStr">
        <is>
          <t>mg/L</t>
        </is>
      </c>
      <c r="E79" s="97" t="n">
        <v>0.1</v>
      </c>
      <c r="F79" s="97" t="n">
        <v>0.05</v>
      </c>
      <c r="G79" s="98" t="n">
        <v>41640</v>
      </c>
      <c r="H79" s="98" t="n"/>
      <c r="I79" s="38" t="inlineStr">
        <is>
          <t>地下水管制§4(2025-12-23)／監測§4(2013-12-18)；地下水第2類；管制第4條、監測第4條。2025修法刪除砷備註，數值門檻未變，2014-01-01起相同。</t>
        </is>
      </c>
      <c r="J79" s="2" t="inlineStr">
        <is>
          <t>已核對</t>
        </is>
      </c>
      <c r="K79" s="2" t="inlineStr">
        <is>
          <t>官方條文核對（自動）</t>
        </is>
      </c>
      <c r="L79" s="98" t="n">
        <v>46297</v>
      </c>
      <c r="M79" s="1">
        <f>IF(OR(A79="",B79="",C79=""),"",A79&amp;"|"&amp;B79&amp;"|"&amp;C79)</f>
        <v/>
      </c>
      <c r="N79" s="33">
        <f>IF(COUNTA(A79:L79)=0,"",IF(OR(A79="",B79="",C79="",D79="",I79="",J79=""),"缺必要欄位",IF(COUNTIFS(DB_05[標準鍵],M79)&gt;1,"標準鍵重複",IF(AND(G79&lt;&gt;"",H79&lt;&gt;"",G79&gt;H79),"日期起迄錯誤",IF(OR(AND(E79&lt;&gt;"",NOT(ISNUMBER(E79))),AND(F79&lt;&gt;"",NOT(ISNUMBER(F79)))),"標準非數值",IF(AND(J79="已核對",OR(K79="",NOT(ISNUMBER(L79)),NOT(ISNUMBER(G79)))),"缺核對資料","OK"))))))</f>
        <v/>
      </c>
    </row>
    <row r="80" ht="66" customHeight="1">
      <c r="A80" s="2" t="inlineStr">
        <is>
          <t>TW-GW1-20251223</t>
        </is>
      </c>
      <c r="B80" s="2" t="inlineStr">
        <is>
          <t>地下水</t>
        </is>
      </c>
      <c r="C80" s="2" t="inlineStr">
        <is>
          <t>汞</t>
        </is>
      </c>
      <c r="D80" s="2" t="inlineStr">
        <is>
          <t>mg/L</t>
        </is>
      </c>
      <c r="E80" s="97" t="n">
        <v>0.002</v>
      </c>
      <c r="F80" s="97" t="n">
        <v>0.001</v>
      </c>
      <c r="G80" s="98" t="n">
        <v>41640</v>
      </c>
      <c r="H80" s="98" t="n"/>
      <c r="I80" s="38" t="inlineStr">
        <is>
          <t>地下水管制§4(2025-12-23)／監測§4(2013-12-18)；地下水第1類；管制第4條、監測第4條。2025修法刪除砷備註，數值門檻未變，2014-01-01起相同。</t>
        </is>
      </c>
      <c r="J80" s="2" t="inlineStr">
        <is>
          <t>已核對</t>
        </is>
      </c>
      <c r="K80" s="2" t="inlineStr">
        <is>
          <t>官方條文核對（自動）</t>
        </is>
      </c>
      <c r="L80" s="98" t="n">
        <v>46297</v>
      </c>
      <c r="M80" s="1">
        <f>IF(OR(A80="",B80="",C80=""),"",A80&amp;"|"&amp;B80&amp;"|"&amp;C80)</f>
        <v/>
      </c>
      <c r="N80" s="33">
        <f>IF(COUNTA(A80:L80)=0,"",IF(OR(A80="",B80="",C80="",D80="",I80="",J80=""),"缺必要欄位",IF(COUNTIFS(DB_05[標準鍵],M80)&gt;1,"標準鍵重複",IF(AND(G80&lt;&gt;"",H80&lt;&gt;"",G80&gt;H80),"日期起迄錯誤",IF(OR(AND(E80&lt;&gt;"",NOT(ISNUMBER(E80))),AND(F80&lt;&gt;"",NOT(ISNUMBER(F80)))),"標準非數值",IF(AND(J80="已核對",OR(K80="",NOT(ISNUMBER(L80)),NOT(ISNUMBER(G80)))),"缺核對資料","OK"))))))</f>
        <v/>
      </c>
    </row>
    <row r="81" ht="66" customHeight="1">
      <c r="A81" s="2" t="inlineStr">
        <is>
          <t>TW-GW2-20251223</t>
        </is>
      </c>
      <c r="B81" s="2" t="inlineStr">
        <is>
          <t>地下水</t>
        </is>
      </c>
      <c r="C81" s="2" t="inlineStr">
        <is>
          <t>汞</t>
        </is>
      </c>
      <c r="D81" s="2" t="inlineStr">
        <is>
          <t>mg/L</t>
        </is>
      </c>
      <c r="E81" s="97" t="n">
        <v>0.02</v>
      </c>
      <c r="F81" s="97" t="n">
        <v>0.01</v>
      </c>
      <c r="G81" s="98" t="n">
        <v>41640</v>
      </c>
      <c r="H81" s="98" t="n"/>
      <c r="I81" s="38" t="inlineStr">
        <is>
          <t>地下水管制§4(2025-12-23)／監測§4(2013-12-18)；地下水第2類；管制第4條、監測第4條。2025修法刪除砷備註，數值門檻未變，2014-01-01起相同。</t>
        </is>
      </c>
      <c r="J81" s="2" t="inlineStr">
        <is>
          <t>已核對</t>
        </is>
      </c>
      <c r="K81" s="2" t="inlineStr">
        <is>
          <t>官方條文核對（自動）</t>
        </is>
      </c>
      <c r="L81" s="98" t="n">
        <v>46297</v>
      </c>
      <c r="M81" s="1">
        <f>IF(OR(A81="",B81="",C81=""),"",A81&amp;"|"&amp;B81&amp;"|"&amp;C81)</f>
        <v/>
      </c>
      <c r="N81" s="33">
        <f>IF(COUNTA(A81:L81)=0,"",IF(OR(A81="",B81="",C81="",D81="",I81="",J81=""),"缺必要欄位",IF(COUNTIFS(DB_05[標準鍵],M81)&gt;1,"標準鍵重複",IF(AND(G81&lt;&gt;"",H81&lt;&gt;"",G81&gt;H81),"日期起迄錯誤",IF(OR(AND(E81&lt;&gt;"",NOT(ISNUMBER(E81))),AND(F81&lt;&gt;"",NOT(ISNUMBER(F81)))),"標準非數值",IF(AND(J81="已核對",OR(K81="",NOT(ISNUMBER(L81)),NOT(ISNUMBER(G81)))),"缺核對資料","OK"))))))</f>
        <v/>
      </c>
    </row>
    <row r="82" ht="66" customHeight="1">
      <c r="A82" s="2" t="inlineStr">
        <is>
          <t>TW-GW1-20251223</t>
        </is>
      </c>
      <c r="B82" s="2" t="inlineStr">
        <is>
          <t>地下水</t>
        </is>
      </c>
      <c r="C82" s="2" t="inlineStr">
        <is>
          <t>鎳</t>
        </is>
      </c>
      <c r="D82" s="2" t="inlineStr">
        <is>
          <t>mg/L</t>
        </is>
      </c>
      <c r="E82" s="97" t="n">
        <v>0.1</v>
      </c>
      <c r="F82" s="97" t="n">
        <v>0.05</v>
      </c>
      <c r="G82" s="98" t="n">
        <v>41640</v>
      </c>
      <c r="H82" s="98" t="n"/>
      <c r="I82" s="38" t="inlineStr">
        <is>
          <t>地下水管制§4(2025-12-23)／監測§4(2013-12-18)；地下水第1類；管制第4條、監測第4條。2025修法刪除砷備註，數值門檻未變，2014-01-01起相同。</t>
        </is>
      </c>
      <c r="J82" s="2" t="inlineStr">
        <is>
          <t>已核對</t>
        </is>
      </c>
      <c r="K82" s="2" t="inlineStr">
        <is>
          <t>官方條文核對（自動）</t>
        </is>
      </c>
      <c r="L82" s="98" t="n">
        <v>46297</v>
      </c>
      <c r="M82" s="1">
        <f>IF(OR(A82="",B82="",C82=""),"",A82&amp;"|"&amp;B82&amp;"|"&amp;C82)</f>
        <v/>
      </c>
      <c r="N82" s="33">
        <f>IF(COUNTA(A82:L82)=0,"",IF(OR(A82="",B82="",C82="",D82="",I82="",J82=""),"缺必要欄位",IF(COUNTIFS(DB_05[標準鍵],M82)&gt;1,"標準鍵重複",IF(AND(G82&lt;&gt;"",H82&lt;&gt;"",G82&gt;H82),"日期起迄錯誤",IF(OR(AND(E82&lt;&gt;"",NOT(ISNUMBER(E82))),AND(F82&lt;&gt;"",NOT(ISNUMBER(F82)))),"標準非數值",IF(AND(J82="已核對",OR(K82="",NOT(ISNUMBER(L82)),NOT(ISNUMBER(G82)))),"缺核對資料","OK"))))))</f>
        <v/>
      </c>
    </row>
    <row r="83" ht="66" customHeight="1">
      <c r="A83" s="2" t="inlineStr">
        <is>
          <t>TW-GW2-20251223</t>
        </is>
      </c>
      <c r="B83" s="2" t="inlineStr">
        <is>
          <t>地下水</t>
        </is>
      </c>
      <c r="C83" s="2" t="inlineStr">
        <is>
          <t>鎳</t>
        </is>
      </c>
      <c r="D83" s="2" t="inlineStr">
        <is>
          <t>mg/L</t>
        </is>
      </c>
      <c r="E83" s="97" t="n">
        <v>1</v>
      </c>
      <c r="F83" s="97" t="n">
        <v>0.5</v>
      </c>
      <c r="G83" s="98" t="n">
        <v>41640</v>
      </c>
      <c r="H83" s="98" t="n"/>
      <c r="I83" s="38" t="inlineStr">
        <is>
          <t>地下水管制§4(2025-12-23)／監測§4(2013-12-18)；地下水第2類；管制第4條、監測第4條。2025修法刪除砷備註，數值門檻未變，2014-01-01起相同。</t>
        </is>
      </c>
      <c r="J83" s="2" t="inlineStr">
        <is>
          <t>已核對</t>
        </is>
      </c>
      <c r="K83" s="2" t="inlineStr">
        <is>
          <t>官方條文核對（自動）</t>
        </is>
      </c>
      <c r="L83" s="98" t="n">
        <v>46297</v>
      </c>
      <c r="M83" s="1">
        <f>IF(OR(A83="",B83="",C83=""),"",A83&amp;"|"&amp;B83&amp;"|"&amp;C83)</f>
        <v/>
      </c>
      <c r="N83" s="33">
        <f>IF(COUNTA(A83:L83)=0,"",IF(OR(A83="",B83="",C83="",D83="",I83="",J83=""),"缺必要欄位",IF(COUNTIFS(DB_05[標準鍵],M83)&gt;1,"標準鍵重複",IF(AND(G83&lt;&gt;"",H83&lt;&gt;"",G83&gt;H83),"日期起迄錯誤",IF(OR(AND(E83&lt;&gt;"",NOT(ISNUMBER(E83))),AND(F83&lt;&gt;"",NOT(ISNUMBER(F83)))),"標準非數值",IF(AND(J83="已核對",OR(K83="",NOT(ISNUMBER(L83)),NOT(ISNUMBER(G83)))),"缺核對資料","OK"))))))</f>
        <v/>
      </c>
    </row>
    <row r="84" ht="66" customHeight="1">
      <c r="A84" s="2" t="inlineStr">
        <is>
          <t>TW-GW1-20251223</t>
        </is>
      </c>
      <c r="B84" s="2" t="inlineStr">
        <is>
          <t>地下水</t>
        </is>
      </c>
      <c r="C84" s="2" t="inlineStr">
        <is>
          <t>鋅</t>
        </is>
      </c>
      <c r="D84" s="2" t="inlineStr">
        <is>
          <t>mg/L</t>
        </is>
      </c>
      <c r="E84" s="97" t="n">
        <v>5</v>
      </c>
      <c r="F84" s="97" t="n">
        <v>2.5</v>
      </c>
      <c r="G84" s="98" t="n">
        <v>41640</v>
      </c>
      <c r="H84" s="98" t="n"/>
      <c r="I84" s="38" t="inlineStr">
        <is>
          <t>地下水管制§4(2025-12-23)／監測§4(2013-12-18)；地下水第1類；管制第4條、監測第4條。2025修法刪除砷備註，數值門檻未變，2014-01-01起相同。</t>
        </is>
      </c>
      <c r="J84" s="2" t="inlineStr">
        <is>
          <t>已核對</t>
        </is>
      </c>
      <c r="K84" s="2" t="inlineStr">
        <is>
          <t>官方條文核對（自動）</t>
        </is>
      </c>
      <c r="L84" s="98" t="n">
        <v>46297</v>
      </c>
      <c r="M84" s="1">
        <f>IF(OR(A84="",B84="",C84=""),"",A84&amp;"|"&amp;B84&amp;"|"&amp;C84)</f>
        <v/>
      </c>
      <c r="N84" s="33">
        <f>IF(COUNTA(A84:L84)=0,"",IF(OR(A84="",B84="",C84="",D84="",I84="",J84=""),"缺必要欄位",IF(COUNTIFS(DB_05[標準鍵],M84)&gt;1,"標準鍵重複",IF(AND(G84&lt;&gt;"",H84&lt;&gt;"",G84&gt;H84),"日期起迄錯誤",IF(OR(AND(E84&lt;&gt;"",NOT(ISNUMBER(E84))),AND(F84&lt;&gt;"",NOT(ISNUMBER(F84)))),"標準非數值",IF(AND(J84="已核對",OR(K84="",NOT(ISNUMBER(L84)),NOT(ISNUMBER(G84)))),"缺核對資料","OK"))))))</f>
        <v/>
      </c>
    </row>
    <row r="85" ht="66" customHeight="1">
      <c r="A85" s="2" t="inlineStr">
        <is>
          <t>TW-GW2-20251223</t>
        </is>
      </c>
      <c r="B85" s="2" t="inlineStr">
        <is>
          <t>地下水</t>
        </is>
      </c>
      <c r="C85" s="2" t="inlineStr">
        <is>
          <t>鋅</t>
        </is>
      </c>
      <c r="D85" s="2" t="inlineStr">
        <is>
          <t>mg/L</t>
        </is>
      </c>
      <c r="E85" s="97" t="n">
        <v>50</v>
      </c>
      <c r="F85" s="97" t="n">
        <v>25</v>
      </c>
      <c r="G85" s="98" t="n">
        <v>41640</v>
      </c>
      <c r="H85" s="98" t="n"/>
      <c r="I85" s="38" t="inlineStr">
        <is>
          <t>地下水管制§4(2025-12-23)／監測§4(2013-12-18)；地下水第2類；管制第4條、監測第4條。2025修法刪除砷備註，數值門檻未變，2014-01-01起相同。</t>
        </is>
      </c>
      <c r="J85" s="2" t="inlineStr">
        <is>
          <t>已核對</t>
        </is>
      </c>
      <c r="K85" s="2" t="inlineStr">
        <is>
          <t>官方條文核對（自動）</t>
        </is>
      </c>
      <c r="L85" s="98" t="n">
        <v>46297</v>
      </c>
      <c r="M85" s="1">
        <f>IF(OR(A85="",B85="",C85=""),"",A85&amp;"|"&amp;B85&amp;"|"&amp;C85)</f>
        <v/>
      </c>
      <c r="N85" s="33">
        <f>IF(COUNTA(A85:L85)=0,"",IF(OR(A85="",B85="",C85="",D85="",I85="",J85=""),"缺必要欄位",IF(COUNTIFS(DB_05[標準鍵],M85)&gt;1,"標準鍵重複",IF(AND(G85&lt;&gt;"",H85&lt;&gt;"",G85&gt;H85),"日期起迄錯誤",IF(OR(AND(E85&lt;&gt;"",NOT(ISNUMBER(E85))),AND(F85&lt;&gt;"",NOT(ISNUMBER(F85)))),"標準非數值",IF(AND(J85="已核對",OR(K85="",NOT(ISNUMBER(L85)),NOT(ISNUMBER(G85)))),"缺核對資料","OK"))))))</f>
        <v/>
      </c>
    </row>
    <row r="86" ht="66" customHeight="1">
      <c r="A86" s="2" t="inlineStr">
        <is>
          <t>TW-GW1-20251223</t>
        </is>
      </c>
      <c r="B86" s="2" t="inlineStr">
        <is>
          <t>地下水</t>
        </is>
      </c>
      <c r="C86" s="2" t="inlineStr">
        <is>
          <t>銦</t>
        </is>
      </c>
      <c r="D86" s="2" t="inlineStr">
        <is>
          <t>mg/L</t>
        </is>
      </c>
      <c r="E86" s="97" t="n">
        <v>0.07000000000000001</v>
      </c>
      <c r="F86" s="97" t="n">
        <v>0.035</v>
      </c>
      <c r="G86" s="98" t="n">
        <v>41640</v>
      </c>
      <c r="H86" s="98" t="n"/>
      <c r="I86" s="38" t="inlineStr">
        <is>
          <t>地下水管制§4(2025-12-23)／監測§4(2013-12-18)；地下水第1類；管制第4條、監測第4條。製程使用含銦、鉬原料行業之污染潛勢調查檢測項目。2025修法刪除砷備註，數值門檻未變，2014-01-01起相同。</t>
        </is>
      </c>
      <c r="J86" s="2" t="inlineStr">
        <is>
          <t>已核對</t>
        </is>
      </c>
      <c r="K86" s="2" t="inlineStr">
        <is>
          <t>官方條文核對（自動）</t>
        </is>
      </c>
      <c r="L86" s="98" t="n">
        <v>46297</v>
      </c>
      <c r="M86" s="1">
        <f>IF(OR(A86="",B86="",C86=""),"",A86&amp;"|"&amp;B86&amp;"|"&amp;C86)</f>
        <v/>
      </c>
      <c r="N86" s="33">
        <f>IF(COUNTA(A86:L86)=0,"",IF(OR(A86="",B86="",C86="",D86="",I86="",J86=""),"缺必要欄位",IF(COUNTIFS(DB_05[標準鍵],M86)&gt;1,"標準鍵重複",IF(AND(G86&lt;&gt;"",H86&lt;&gt;"",G86&gt;H86),"日期起迄錯誤",IF(OR(AND(E86&lt;&gt;"",NOT(ISNUMBER(E86))),AND(F86&lt;&gt;"",NOT(ISNUMBER(F86)))),"標準非數值",IF(AND(J86="已核對",OR(K86="",NOT(ISNUMBER(L86)),NOT(ISNUMBER(G86)))),"缺核對資料","OK"))))))</f>
        <v/>
      </c>
    </row>
    <row r="87" ht="66" customHeight="1">
      <c r="A87" s="2" t="inlineStr">
        <is>
          <t>TW-GW2-20251223</t>
        </is>
      </c>
      <c r="B87" s="2" t="inlineStr">
        <is>
          <t>地下水</t>
        </is>
      </c>
      <c r="C87" s="2" t="inlineStr">
        <is>
          <t>銦</t>
        </is>
      </c>
      <c r="D87" s="2" t="inlineStr">
        <is>
          <t>mg/L</t>
        </is>
      </c>
      <c r="E87" s="97" t="n">
        <v>0.7</v>
      </c>
      <c r="F87" s="97" t="n">
        <v>0.35</v>
      </c>
      <c r="G87" s="98" t="n">
        <v>41640</v>
      </c>
      <c r="H87" s="98" t="n"/>
      <c r="I87" s="38" t="inlineStr">
        <is>
          <t>地下水管制§4(2025-12-23)／監測§4(2013-12-18)；地下水第2類；管制第4條、監測第4條。製程使用含銦、鉬原料行業之污染潛勢調查檢測項目。2025修法刪除砷備註，數值門檻未變，2014-01-01起相同。</t>
        </is>
      </c>
      <c r="J87" s="2" t="inlineStr">
        <is>
          <t>已核對</t>
        </is>
      </c>
      <c r="K87" s="2" t="inlineStr">
        <is>
          <t>官方條文核對（自動）</t>
        </is>
      </c>
      <c r="L87" s="98" t="n">
        <v>46297</v>
      </c>
      <c r="M87" s="1">
        <f>IF(OR(A87="",B87="",C87=""),"",A87&amp;"|"&amp;B87&amp;"|"&amp;C87)</f>
        <v/>
      </c>
      <c r="N87" s="33">
        <f>IF(COUNTA(A87:L87)=0,"",IF(OR(A87="",B87="",C87="",D87="",I87="",J87=""),"缺必要欄位",IF(COUNTIFS(DB_05[標準鍵],M87)&gt;1,"標準鍵重複",IF(AND(G87&lt;&gt;"",H87&lt;&gt;"",G87&gt;H87),"日期起迄錯誤",IF(OR(AND(E87&lt;&gt;"",NOT(ISNUMBER(E87))),AND(F87&lt;&gt;"",NOT(ISNUMBER(F87)))),"標準非數值",IF(AND(J87="已核對",OR(K87="",NOT(ISNUMBER(L87)),NOT(ISNUMBER(G87)))),"缺核對資料","OK"))))))</f>
        <v/>
      </c>
    </row>
    <row r="88" ht="66" customHeight="1">
      <c r="A88" s="2" t="inlineStr">
        <is>
          <t>TW-GW1-20251223</t>
        </is>
      </c>
      <c r="B88" s="2" t="inlineStr">
        <is>
          <t>地下水</t>
        </is>
      </c>
      <c r="C88" s="2" t="inlineStr">
        <is>
          <t>鉬</t>
        </is>
      </c>
      <c r="D88" s="2" t="inlineStr">
        <is>
          <t>mg/L</t>
        </is>
      </c>
      <c r="E88" s="97" t="n">
        <v>0.07000000000000001</v>
      </c>
      <c r="F88" s="97" t="n">
        <v>0.035</v>
      </c>
      <c r="G88" s="98" t="n">
        <v>41640</v>
      </c>
      <c r="H88" s="98" t="n"/>
      <c r="I88" s="38" t="inlineStr">
        <is>
          <t>地下水管制§4(2025-12-23)／監測§4(2013-12-18)；地下水第1類；管制第4條、監測第4條。製程使用含銦、鉬原料行業之污染潛勢調查檢測項目。2025修法刪除砷備註，數值門檻未變，2014-01-01起相同。</t>
        </is>
      </c>
      <c r="J88" s="2" t="inlineStr">
        <is>
          <t>已核對</t>
        </is>
      </c>
      <c r="K88" s="2" t="inlineStr">
        <is>
          <t>官方條文核對（自動）</t>
        </is>
      </c>
      <c r="L88" s="98" t="n">
        <v>46297</v>
      </c>
      <c r="M88" s="1">
        <f>IF(OR(A88="",B88="",C88=""),"",A88&amp;"|"&amp;B88&amp;"|"&amp;C88)</f>
        <v/>
      </c>
      <c r="N88" s="33">
        <f>IF(COUNTA(A88:L88)=0,"",IF(OR(A88="",B88="",C88="",D88="",I88="",J88=""),"缺必要欄位",IF(COUNTIFS(DB_05[標準鍵],M88)&gt;1,"標準鍵重複",IF(AND(G88&lt;&gt;"",H88&lt;&gt;"",G88&gt;H88),"日期起迄錯誤",IF(OR(AND(E88&lt;&gt;"",NOT(ISNUMBER(E88))),AND(F88&lt;&gt;"",NOT(ISNUMBER(F88)))),"標準非數值",IF(AND(J88="已核對",OR(K88="",NOT(ISNUMBER(L88)),NOT(ISNUMBER(G88)))),"缺核對資料","OK"))))))</f>
        <v/>
      </c>
    </row>
    <row r="89" ht="66" customHeight="1">
      <c r="A89" s="2" t="inlineStr">
        <is>
          <t>TW-GW2-20251223</t>
        </is>
      </c>
      <c r="B89" s="2" t="inlineStr">
        <is>
          <t>地下水</t>
        </is>
      </c>
      <c r="C89" s="2" t="inlineStr">
        <is>
          <t>鉬</t>
        </is>
      </c>
      <c r="D89" s="2" t="inlineStr">
        <is>
          <t>mg/L</t>
        </is>
      </c>
      <c r="E89" s="97" t="n">
        <v>0.7</v>
      </c>
      <c r="F89" s="97" t="n">
        <v>0.35</v>
      </c>
      <c r="G89" s="98" t="n">
        <v>41640</v>
      </c>
      <c r="H89" s="98" t="n"/>
      <c r="I89" s="38" t="inlineStr">
        <is>
          <t>地下水管制§4(2025-12-23)／監測§4(2013-12-18)；地下水第2類；管制第4條、監測第4條。製程使用含銦、鉬原料行業之污染潛勢調查檢測項目。2025修法刪除砷備註，數值門檻未變，2014-01-01起相同。</t>
        </is>
      </c>
      <c r="J89" s="2" t="inlineStr">
        <is>
          <t>已核對</t>
        </is>
      </c>
      <c r="K89" s="2" t="inlineStr">
        <is>
          <t>官方條文核對（自動）</t>
        </is>
      </c>
      <c r="L89" s="98" t="n">
        <v>46297</v>
      </c>
      <c r="M89" s="1">
        <f>IF(OR(A89="",B89="",C89=""),"",A89&amp;"|"&amp;B89&amp;"|"&amp;C89)</f>
        <v/>
      </c>
      <c r="N89" s="33">
        <f>IF(COUNTA(A89:L89)=0,"",IF(OR(A89="",B89="",C89="",D89="",I89="",J89=""),"缺必要欄位",IF(COUNTIFS(DB_05[標準鍵],M89)&gt;1,"標準鍵重複",IF(AND(G89&lt;&gt;"",H89&lt;&gt;"",G89&gt;H89),"日期起迄錯誤",IF(OR(AND(E89&lt;&gt;"",NOT(ISNUMBER(E89))),AND(F89&lt;&gt;"",NOT(ISNUMBER(F89)))),"標準非數值",IF(AND(J89="已核對",OR(K89="",NOT(ISNUMBER(L89)),NOT(ISNUMBER(G89)))),"缺核對資料","OK"))))))</f>
        <v/>
      </c>
    </row>
    <row r="90" ht="66" customHeight="1">
      <c r="A90" s="2" t="inlineStr">
        <is>
          <t>TW-GW1-20251223</t>
        </is>
      </c>
      <c r="B90" s="2" t="inlineStr">
        <is>
          <t>地下水</t>
        </is>
      </c>
      <c r="C90" s="2" t="inlineStr">
        <is>
          <t>硝酸鹽氮</t>
        </is>
      </c>
      <c r="D90" s="2" t="inlineStr">
        <is>
          <t>mg/L</t>
        </is>
      </c>
      <c r="E90" s="97" t="n">
        <v>10</v>
      </c>
      <c r="F90" s="97" t="n">
        <v>5</v>
      </c>
      <c r="G90" s="98" t="n">
        <v>41640</v>
      </c>
      <c r="H90" s="98" t="n"/>
      <c r="I90" s="38" t="inlineStr">
        <is>
          <t>地下水管制§4(2025-12-23)／監測§4(2013-12-18)；地下水第1類；管制第4條、監測第4條。2025修法刪除砷備註，數值門檻未變，2014-01-01起相同。</t>
        </is>
      </c>
      <c r="J90" s="2" t="inlineStr">
        <is>
          <t>已核對</t>
        </is>
      </c>
      <c r="K90" s="2" t="inlineStr">
        <is>
          <t>官方條文核對（自動）</t>
        </is>
      </c>
      <c r="L90" s="98" t="n">
        <v>46297</v>
      </c>
      <c r="M90" s="1">
        <f>IF(OR(A90="",B90="",C90=""),"",A90&amp;"|"&amp;B90&amp;"|"&amp;C90)</f>
        <v/>
      </c>
      <c r="N90" s="33">
        <f>IF(COUNTA(A90:L90)=0,"",IF(OR(A90="",B90="",C90="",D90="",I90="",J90=""),"缺必要欄位",IF(COUNTIFS(DB_05[標準鍵],M90)&gt;1,"標準鍵重複",IF(AND(G90&lt;&gt;"",H90&lt;&gt;"",G90&gt;H90),"日期起迄錯誤",IF(OR(AND(E90&lt;&gt;"",NOT(ISNUMBER(E90))),AND(F90&lt;&gt;"",NOT(ISNUMBER(F90)))),"標準非數值",IF(AND(J90="已核對",OR(K90="",NOT(ISNUMBER(L90)),NOT(ISNUMBER(G90)))),"缺核對資料","OK"))))))</f>
        <v/>
      </c>
    </row>
    <row r="91" ht="66" customHeight="1">
      <c r="A91" s="2" t="inlineStr">
        <is>
          <t>TW-GW2-20251223</t>
        </is>
      </c>
      <c r="B91" s="2" t="inlineStr">
        <is>
          <t>地下水</t>
        </is>
      </c>
      <c r="C91" s="2" t="inlineStr">
        <is>
          <t>硝酸鹽氮</t>
        </is>
      </c>
      <c r="D91" s="2" t="inlineStr">
        <is>
          <t>mg/L</t>
        </is>
      </c>
      <c r="E91" s="97" t="n">
        <v>100</v>
      </c>
      <c r="F91" s="97" t="n">
        <v>50</v>
      </c>
      <c r="G91" s="98" t="n">
        <v>41640</v>
      </c>
      <c r="H91" s="98" t="n"/>
      <c r="I91" s="38" t="inlineStr">
        <is>
          <t>地下水管制§4(2025-12-23)／監測§4(2013-12-18)；地下水第2類；管制第4條、監測第4條。2025修法刪除砷備註，數值門檻未變，2014-01-01起相同。</t>
        </is>
      </c>
      <c r="J91" s="2" t="inlineStr">
        <is>
          <t>已核對</t>
        </is>
      </c>
      <c r="K91" s="2" t="inlineStr">
        <is>
          <t>官方條文核對（自動）</t>
        </is>
      </c>
      <c r="L91" s="98" t="n">
        <v>46297</v>
      </c>
      <c r="M91" s="1">
        <f>IF(OR(A91="",B91="",C91=""),"",A91&amp;"|"&amp;B91&amp;"|"&amp;C91)</f>
        <v/>
      </c>
      <c r="N91" s="33">
        <f>IF(COUNTA(A91:L91)=0,"",IF(OR(A91="",B91="",C91="",D91="",I91="",J91=""),"缺必要欄位",IF(COUNTIFS(DB_05[標準鍵],M91)&gt;1,"標準鍵重複",IF(AND(G91&lt;&gt;"",H91&lt;&gt;"",G91&gt;H91),"日期起迄錯誤",IF(OR(AND(E91&lt;&gt;"",NOT(ISNUMBER(E91))),AND(F91&lt;&gt;"",NOT(ISNUMBER(F91)))),"標準非數值",IF(AND(J91="已核對",OR(K91="",NOT(ISNUMBER(L91)),NOT(ISNUMBER(G91)))),"缺核對資料","OK"))))))</f>
        <v/>
      </c>
    </row>
    <row r="92" ht="66" customHeight="1">
      <c r="A92" s="2" t="inlineStr">
        <is>
          <t>TW-GW1-20251223</t>
        </is>
      </c>
      <c r="B92" s="2" t="inlineStr">
        <is>
          <t>地下水</t>
        </is>
      </c>
      <c r="C92" s="2" t="inlineStr">
        <is>
          <t>亞硝酸鹽氮</t>
        </is>
      </c>
      <c r="D92" s="2" t="inlineStr">
        <is>
          <t>mg/L</t>
        </is>
      </c>
      <c r="E92" s="97" t="n">
        <v>1</v>
      </c>
      <c r="F92" s="97" t="n">
        <v>0.5</v>
      </c>
      <c r="G92" s="98" t="n">
        <v>41640</v>
      </c>
      <c r="H92" s="98" t="n"/>
      <c r="I92" s="38" t="inlineStr">
        <is>
          <t>地下水管制§4(2025-12-23)／監測§4(2013-12-18)；地下水第1類；管制第4條、監測第4條。2025修法刪除砷備註，數值門檻未變，2014-01-01起相同。</t>
        </is>
      </c>
      <c r="J92" s="2" t="inlineStr">
        <is>
          <t>已核對</t>
        </is>
      </c>
      <c r="K92" s="2" t="inlineStr">
        <is>
          <t>官方條文核對（自動）</t>
        </is>
      </c>
      <c r="L92" s="98" t="n">
        <v>46297</v>
      </c>
      <c r="M92" s="1">
        <f>IF(OR(A92="",B92="",C92=""),"",A92&amp;"|"&amp;B92&amp;"|"&amp;C92)</f>
        <v/>
      </c>
      <c r="N92" s="33">
        <f>IF(COUNTA(A92:L92)=0,"",IF(OR(A92="",B92="",C92="",D92="",I92="",J92=""),"缺必要欄位",IF(COUNTIFS(DB_05[標準鍵],M92)&gt;1,"標準鍵重複",IF(AND(G92&lt;&gt;"",H92&lt;&gt;"",G92&gt;H92),"日期起迄錯誤",IF(OR(AND(E92&lt;&gt;"",NOT(ISNUMBER(E92))),AND(F92&lt;&gt;"",NOT(ISNUMBER(F92)))),"標準非數值",IF(AND(J92="已核對",OR(K92="",NOT(ISNUMBER(L92)),NOT(ISNUMBER(G92)))),"缺核對資料","OK"))))))</f>
        <v/>
      </c>
    </row>
    <row r="93" ht="66" customHeight="1">
      <c r="A93" s="2" t="inlineStr">
        <is>
          <t>TW-GW2-20251223</t>
        </is>
      </c>
      <c r="B93" s="2" t="inlineStr">
        <is>
          <t>地下水</t>
        </is>
      </c>
      <c r="C93" s="2" t="inlineStr">
        <is>
          <t>亞硝酸鹽氮</t>
        </is>
      </c>
      <c r="D93" s="2" t="inlineStr">
        <is>
          <t>mg/L</t>
        </is>
      </c>
      <c r="E93" s="97" t="n">
        <v>10</v>
      </c>
      <c r="F93" s="97" t="n">
        <v>5</v>
      </c>
      <c r="G93" s="98" t="n">
        <v>41640</v>
      </c>
      <c r="H93" s="98" t="n"/>
      <c r="I93" s="38" t="inlineStr">
        <is>
          <t>地下水管制§4(2025-12-23)／監測§4(2013-12-18)；地下水第2類；管制第4條、監測第4條。2025修法刪除砷備註，數值門檻未變，2014-01-01起相同。</t>
        </is>
      </c>
      <c r="J93" s="2" t="inlineStr">
        <is>
          <t>已核對</t>
        </is>
      </c>
      <c r="K93" s="2" t="inlineStr">
        <is>
          <t>官方條文核對（自動）</t>
        </is>
      </c>
      <c r="L93" s="98" t="n">
        <v>46297</v>
      </c>
      <c r="M93" s="1">
        <f>IF(OR(A93="",B93="",C93=""),"",A93&amp;"|"&amp;B93&amp;"|"&amp;C93)</f>
        <v/>
      </c>
      <c r="N93" s="33">
        <f>IF(COUNTA(A93:L93)=0,"",IF(OR(A93="",B93="",C93="",D93="",I93="",J93=""),"缺必要欄位",IF(COUNTIFS(DB_05[標準鍵],M93)&gt;1,"標準鍵重複",IF(AND(G93&lt;&gt;"",H93&lt;&gt;"",G93&gt;H93),"日期起迄錯誤",IF(OR(AND(E93&lt;&gt;"",NOT(ISNUMBER(E93))),AND(F93&lt;&gt;"",NOT(ISNUMBER(F93)))),"標準非數值",IF(AND(J93="已核對",OR(K93="",NOT(ISNUMBER(L93)),NOT(ISNUMBER(G93)))),"缺核對資料","OK"))))))</f>
        <v/>
      </c>
    </row>
    <row r="94" ht="66" customHeight="1">
      <c r="A94" s="2" t="inlineStr">
        <is>
          <t>TW-GW1-20251223</t>
        </is>
      </c>
      <c r="B94" s="2" t="inlineStr">
        <is>
          <t>地下水</t>
        </is>
      </c>
      <c r="C94" s="2" t="inlineStr">
        <is>
          <t>氟鹽</t>
        </is>
      </c>
      <c r="D94" s="2" t="inlineStr">
        <is>
          <t>mg/L</t>
        </is>
      </c>
      <c r="E94" s="97" t="n">
        <v>0.8</v>
      </c>
      <c r="F94" s="97" t="n">
        <v>0.4</v>
      </c>
      <c r="G94" s="98" t="n">
        <v>41640</v>
      </c>
      <c r="H94" s="98" t="n"/>
      <c r="I94" s="38" t="inlineStr">
        <is>
          <t>地下水管制§4(2025-12-23)／監測§4(2013-12-18)；地下水第1類；管制第4條、監測第4條。2025修法刪除砷備註，數值門檻未變，2014-01-01起相同。</t>
        </is>
      </c>
      <c r="J94" s="2" t="inlineStr">
        <is>
          <t>已核對</t>
        </is>
      </c>
      <c r="K94" s="2" t="inlineStr">
        <is>
          <t>官方條文核對（自動）</t>
        </is>
      </c>
      <c r="L94" s="98" t="n">
        <v>46297</v>
      </c>
      <c r="M94" s="1">
        <f>IF(OR(A94="",B94="",C94=""),"",A94&amp;"|"&amp;B94&amp;"|"&amp;C94)</f>
        <v/>
      </c>
      <c r="N94" s="33">
        <f>IF(COUNTA(A94:L94)=0,"",IF(OR(A94="",B94="",C94="",D94="",I94="",J94=""),"缺必要欄位",IF(COUNTIFS(DB_05[標準鍵],M94)&gt;1,"標準鍵重複",IF(AND(G94&lt;&gt;"",H94&lt;&gt;"",G94&gt;H94),"日期起迄錯誤",IF(OR(AND(E94&lt;&gt;"",NOT(ISNUMBER(E94))),AND(F94&lt;&gt;"",NOT(ISNUMBER(F94)))),"標準非數值",IF(AND(J94="已核對",OR(K94="",NOT(ISNUMBER(L94)),NOT(ISNUMBER(G94)))),"缺核對資料","OK"))))))</f>
        <v/>
      </c>
    </row>
    <row r="95" ht="66" customHeight="1">
      <c r="A95" s="2" t="inlineStr">
        <is>
          <t>TW-GW2-20251223</t>
        </is>
      </c>
      <c r="B95" s="2" t="inlineStr">
        <is>
          <t>地下水</t>
        </is>
      </c>
      <c r="C95" s="2" t="inlineStr">
        <is>
          <t>氟鹽</t>
        </is>
      </c>
      <c r="D95" s="2" t="inlineStr">
        <is>
          <t>mg/L</t>
        </is>
      </c>
      <c r="E95" s="97" t="n">
        <v>8</v>
      </c>
      <c r="F95" s="97" t="n">
        <v>4</v>
      </c>
      <c r="G95" s="98" t="n">
        <v>41640</v>
      </c>
      <c r="H95" s="98" t="n"/>
      <c r="I95" s="38" t="inlineStr">
        <is>
          <t>地下水管制§4(2025-12-23)／監測§4(2013-12-18)；地下水第2類；管制第4條、監測第4條。2025修法刪除砷備註，數值門檻未變，2014-01-01起相同。</t>
        </is>
      </c>
      <c r="J95" s="2" t="inlineStr">
        <is>
          <t>已核對</t>
        </is>
      </c>
      <c r="K95" s="2" t="inlineStr">
        <is>
          <t>官方條文核對（自動）</t>
        </is>
      </c>
      <c r="L95" s="98" t="n">
        <v>46297</v>
      </c>
      <c r="M95" s="1">
        <f>IF(OR(A95="",B95="",C95=""),"",A95&amp;"|"&amp;B95&amp;"|"&amp;C95)</f>
        <v/>
      </c>
      <c r="N95" s="33">
        <f>IF(COUNTA(A95:L95)=0,"",IF(OR(A95="",B95="",C95="",D95="",I95="",J95=""),"缺必要欄位",IF(COUNTIFS(DB_05[標準鍵],M95)&gt;1,"標準鍵重複",IF(AND(G95&lt;&gt;"",H95&lt;&gt;"",G95&gt;H95),"日期起迄錯誤",IF(OR(AND(E95&lt;&gt;"",NOT(ISNUMBER(E95))),AND(F95&lt;&gt;"",NOT(ISNUMBER(F95)))),"標準非數值",IF(AND(J95="已核對",OR(K95="",NOT(ISNUMBER(L95)),NOT(ISNUMBER(G95)))),"缺核對資料","OK"))))))</f>
        <v/>
      </c>
    </row>
    <row r="96" ht="66" customHeight="1">
      <c r="A96" s="2" t="inlineStr">
        <is>
          <t>TW-GW1-20251223</t>
        </is>
      </c>
      <c r="B96" s="2" t="inlineStr">
        <is>
          <t>地下水</t>
        </is>
      </c>
      <c r="C96" s="2" t="inlineStr">
        <is>
          <t>甲基第三丁基醚</t>
        </is>
      </c>
      <c r="D96" s="2" t="inlineStr">
        <is>
          <t>mg/L</t>
        </is>
      </c>
      <c r="E96" s="97" t="n">
        <v>0.1</v>
      </c>
      <c r="F96" s="97" t="n">
        <v>0.05</v>
      </c>
      <c r="G96" s="98" t="n">
        <v>41640</v>
      </c>
      <c r="H96" s="98" t="n"/>
      <c r="I96" s="38" t="inlineStr">
        <is>
          <t>地下水管制§4(2025-12-23)／監測§4(2013-12-18)；地下水第1類；管制第4條、監測第4條。2025修法刪除砷備註，數值門檻未變，2014-01-01起相同。</t>
        </is>
      </c>
      <c r="J96" s="2" t="inlineStr">
        <is>
          <t>已核對</t>
        </is>
      </c>
      <c r="K96" s="2" t="inlineStr">
        <is>
          <t>官方條文核對（自動）</t>
        </is>
      </c>
      <c r="L96" s="98" t="n">
        <v>46297</v>
      </c>
      <c r="M96" s="1">
        <f>IF(OR(A96="",B96="",C96=""),"",A96&amp;"|"&amp;B96&amp;"|"&amp;C96)</f>
        <v/>
      </c>
      <c r="N96" s="33">
        <f>IF(COUNTA(A96:L96)=0,"",IF(OR(A96="",B96="",C96="",D96="",I96="",J96=""),"缺必要欄位",IF(COUNTIFS(DB_05[標準鍵],M96)&gt;1,"標準鍵重複",IF(AND(G96&lt;&gt;"",H96&lt;&gt;"",G96&gt;H96),"日期起迄錯誤",IF(OR(AND(E96&lt;&gt;"",NOT(ISNUMBER(E96))),AND(F96&lt;&gt;"",NOT(ISNUMBER(F96)))),"標準非數值",IF(AND(J96="已核對",OR(K96="",NOT(ISNUMBER(L96)),NOT(ISNUMBER(G96)))),"缺核對資料","OK"))))))</f>
        <v/>
      </c>
    </row>
    <row r="97" ht="66" customHeight="1">
      <c r="A97" s="2" t="inlineStr">
        <is>
          <t>TW-GW2-20251223</t>
        </is>
      </c>
      <c r="B97" s="2" t="inlineStr">
        <is>
          <t>地下水</t>
        </is>
      </c>
      <c r="C97" s="2" t="inlineStr">
        <is>
          <t>甲基第三丁基醚</t>
        </is>
      </c>
      <c r="D97" s="2" t="inlineStr">
        <is>
          <t>mg/L</t>
        </is>
      </c>
      <c r="E97" s="97" t="n">
        <v>1</v>
      </c>
      <c r="F97" s="97" t="n">
        <v>0.5</v>
      </c>
      <c r="G97" s="98" t="n">
        <v>41640</v>
      </c>
      <c r="H97" s="98" t="n"/>
      <c r="I97" s="38" t="inlineStr">
        <is>
          <t>地下水管制§4(2025-12-23)／監測§4(2013-12-18)；地下水第2類；管制第4條、監測第4條。2025修法刪除砷備註，數值門檻未變，2014-01-01起相同。</t>
        </is>
      </c>
      <c r="J97" s="2" t="inlineStr">
        <is>
          <t>已核對</t>
        </is>
      </c>
      <c r="K97" s="2" t="inlineStr">
        <is>
          <t>官方條文核對（自動）</t>
        </is>
      </c>
      <c r="L97" s="98" t="n">
        <v>46297</v>
      </c>
      <c r="M97" s="1">
        <f>IF(OR(A97="",B97="",C97=""),"",A97&amp;"|"&amp;B97&amp;"|"&amp;C97)</f>
        <v/>
      </c>
      <c r="N97" s="33">
        <f>IF(COUNTA(A97:L97)=0,"",IF(OR(A97="",B97="",C97="",D97="",I97="",J97=""),"缺必要欄位",IF(COUNTIFS(DB_05[標準鍵],M97)&gt;1,"標準鍵重複",IF(AND(G97&lt;&gt;"",H97&lt;&gt;"",G97&gt;H97),"日期起迄錯誤",IF(OR(AND(E97&lt;&gt;"",NOT(ISNUMBER(E97))),AND(F97&lt;&gt;"",NOT(ISNUMBER(F97)))),"標準非數值",IF(AND(J97="已核對",OR(K97="",NOT(ISNUMBER(L97)),NOT(ISNUMBER(G97)))),"缺核對資料","OK"))))))</f>
        <v/>
      </c>
    </row>
    <row r="98" ht="66" customHeight="1">
      <c r="A98" s="2" t="inlineStr">
        <is>
          <t>TW-GW1-20251223</t>
        </is>
      </c>
      <c r="B98" s="2" t="inlineStr">
        <is>
          <t>地下水</t>
        </is>
      </c>
      <c r="C98" s="2" t="inlineStr">
        <is>
          <t>總石油碳氫化合物</t>
        </is>
      </c>
      <c r="D98" s="2" t="inlineStr">
        <is>
          <t>mg/L</t>
        </is>
      </c>
      <c r="E98" s="97" t="n">
        <v>1</v>
      </c>
      <c r="F98" s="97" t="n">
        <v>0.5</v>
      </c>
      <c r="G98" s="98" t="n">
        <v>41640</v>
      </c>
      <c r="H98" s="98" t="n"/>
      <c r="I98" s="38" t="inlineStr">
        <is>
          <t>地下水管制§4(2025-12-23)／監測§4(2013-12-18)；地下水第1類；管制第4條、監測第4條。2025修法刪除砷備註，數值門檻未變，2014-01-01起相同。</t>
        </is>
      </c>
      <c r="J98" s="2" t="inlineStr">
        <is>
          <t>已核對</t>
        </is>
      </c>
      <c r="K98" s="2" t="inlineStr">
        <is>
          <t>官方條文核對（自動）</t>
        </is>
      </c>
      <c r="L98" s="98" t="n">
        <v>46297</v>
      </c>
      <c r="M98" s="1">
        <f>IF(OR(A98="",B98="",C98=""),"",A98&amp;"|"&amp;B98&amp;"|"&amp;C98)</f>
        <v/>
      </c>
      <c r="N98" s="33">
        <f>IF(COUNTA(A98:L98)=0,"",IF(OR(A98="",B98="",C98="",D98="",I98="",J98=""),"缺必要欄位",IF(COUNTIFS(DB_05[標準鍵],M98)&gt;1,"標準鍵重複",IF(AND(G98&lt;&gt;"",H98&lt;&gt;"",G98&gt;H98),"日期起迄錯誤",IF(OR(AND(E98&lt;&gt;"",NOT(ISNUMBER(E98))),AND(F98&lt;&gt;"",NOT(ISNUMBER(F98)))),"標準非數值",IF(AND(J98="已核對",OR(K98="",NOT(ISNUMBER(L98)),NOT(ISNUMBER(G98)))),"缺核對資料","OK"))))))</f>
        <v/>
      </c>
    </row>
    <row r="99" ht="66" customHeight="1">
      <c r="A99" s="2" t="inlineStr">
        <is>
          <t>TW-GW2-20251223</t>
        </is>
      </c>
      <c r="B99" s="2" t="inlineStr">
        <is>
          <t>地下水</t>
        </is>
      </c>
      <c r="C99" s="2" t="inlineStr">
        <is>
          <t>總石油碳氫化合物</t>
        </is>
      </c>
      <c r="D99" s="2" t="inlineStr">
        <is>
          <t>mg/L</t>
        </is>
      </c>
      <c r="E99" s="97" t="n">
        <v>10</v>
      </c>
      <c r="F99" s="97" t="n">
        <v>5</v>
      </c>
      <c r="G99" s="98" t="n">
        <v>41640</v>
      </c>
      <c r="H99" s="98" t="n"/>
      <c r="I99" s="38" t="inlineStr">
        <is>
          <t>地下水管制§4(2025-12-23)／監測§4(2013-12-18)；地下水第2類；管制第4條、監測第4條。2025修法刪除砷備註，數值門檻未變，2014-01-01起相同。</t>
        </is>
      </c>
      <c r="J99" s="2" t="inlineStr">
        <is>
          <t>已核對</t>
        </is>
      </c>
      <c r="K99" s="2" t="inlineStr">
        <is>
          <t>官方條文核對（自動）</t>
        </is>
      </c>
      <c r="L99" s="98" t="n">
        <v>46297</v>
      </c>
      <c r="M99" s="1">
        <f>IF(OR(A99="",B99="",C99=""),"",A99&amp;"|"&amp;B99&amp;"|"&amp;C99)</f>
        <v/>
      </c>
      <c r="N99" s="33">
        <f>IF(COUNTA(A99:L99)=0,"",IF(OR(A99="",B99="",C99="",D99="",I99="",J99=""),"缺必要欄位",IF(COUNTIFS(DB_05[標準鍵],M99)&gt;1,"標準鍵重複",IF(AND(G99&lt;&gt;"",H99&lt;&gt;"",G99&gt;H99),"日期起迄錯誤",IF(OR(AND(E99&lt;&gt;"",NOT(ISNUMBER(E99))),AND(F99&lt;&gt;"",NOT(ISNUMBER(F99)))),"標準非數值",IF(AND(J99="已核對",OR(K99="",NOT(ISNUMBER(L99)),NOT(ISNUMBER(G99)))),"缺核對資料","OK"))))))</f>
        <v/>
      </c>
    </row>
    <row r="100" ht="66" customHeight="1">
      <c r="A100" s="2" t="inlineStr">
        <is>
          <t>TW-GW1-20251223</t>
        </is>
      </c>
      <c r="B100" s="2" t="inlineStr">
        <is>
          <t>地下水</t>
        </is>
      </c>
      <c r="C100" s="2" t="inlineStr">
        <is>
          <t>氰化物</t>
        </is>
      </c>
      <c r="D100" s="2" t="inlineStr">
        <is>
          <t>mg/L</t>
        </is>
      </c>
      <c r="E100" s="97" t="n">
        <v>0.05</v>
      </c>
      <c r="F100" s="97" t="n">
        <v>0.025</v>
      </c>
      <c r="G100" s="98" t="n">
        <v>41640</v>
      </c>
      <c r="H100" s="98" t="n"/>
      <c r="I100" s="38" t="inlineStr">
        <is>
          <t>地下水管制§4(2025-12-23)／監測§4(2013-12-18)；地下水第1類；管制第4條、監測第4條。2025修法刪除砷備註，數值門檻未變，2014-01-01起相同。</t>
        </is>
      </c>
      <c r="J100" s="2" t="inlineStr">
        <is>
          <t>已核對</t>
        </is>
      </c>
      <c r="K100" s="2" t="inlineStr">
        <is>
          <t>官方條文核對（自動）</t>
        </is>
      </c>
      <c r="L100" s="98" t="n">
        <v>46297</v>
      </c>
      <c r="M100" s="1">
        <f>IF(OR(A100="",B100="",C100=""),"",A100&amp;"|"&amp;B100&amp;"|"&amp;C100)</f>
        <v/>
      </c>
      <c r="N100" s="33">
        <f>IF(COUNTA(A100:L100)=0,"",IF(OR(A100="",B100="",C100="",D100="",I100="",J100=""),"缺必要欄位",IF(COUNTIFS(DB_05[標準鍵],M100)&gt;1,"標準鍵重複",IF(AND(G100&lt;&gt;"",H100&lt;&gt;"",G100&gt;H100),"日期起迄錯誤",IF(OR(AND(E100&lt;&gt;"",NOT(ISNUMBER(E100))),AND(F100&lt;&gt;"",NOT(ISNUMBER(F100)))),"標準非數值",IF(AND(J100="已核對",OR(K100="",NOT(ISNUMBER(L100)),NOT(ISNUMBER(G100)))),"缺核對資料","OK"))))))</f>
        <v/>
      </c>
    </row>
    <row r="101" ht="66" customHeight="1">
      <c r="A101" s="2" t="inlineStr">
        <is>
          <t>TW-GW2-20251223</t>
        </is>
      </c>
      <c r="B101" s="2" t="inlineStr">
        <is>
          <t>地下水</t>
        </is>
      </c>
      <c r="C101" s="2" t="inlineStr">
        <is>
          <t>氰化物</t>
        </is>
      </c>
      <c r="D101" s="2" t="inlineStr">
        <is>
          <t>mg/L</t>
        </is>
      </c>
      <c r="E101" s="97" t="n">
        <v>0.5</v>
      </c>
      <c r="F101" s="97" t="n">
        <v>0.25</v>
      </c>
      <c r="G101" s="98" t="n">
        <v>41640</v>
      </c>
      <c r="H101" s="98" t="n"/>
      <c r="I101" s="38" t="inlineStr">
        <is>
          <t>地下水管制§4(2025-12-23)／監測§4(2013-12-18)；地下水第2類；管制第4條、監測第4條。2025修法刪除砷備註，數值門檻未變，2014-01-01起相同。</t>
        </is>
      </c>
      <c r="J101" s="2" t="inlineStr">
        <is>
          <t>已核對</t>
        </is>
      </c>
      <c r="K101" s="2" t="inlineStr">
        <is>
          <t>官方條文核對（自動）</t>
        </is>
      </c>
      <c r="L101" s="98" t="n">
        <v>46297</v>
      </c>
      <c r="M101" s="1">
        <f>IF(OR(A101="",B101="",C101=""),"",A101&amp;"|"&amp;B101&amp;"|"&amp;C101)</f>
        <v/>
      </c>
      <c r="N101" s="33">
        <f>IF(COUNTA(A101:L101)=0,"",IF(OR(A101="",B101="",C101="",D101="",I101="",J101=""),"缺必要欄位",IF(COUNTIFS(DB_05[標準鍵],M101)&gt;1,"標準鍵重複",IF(AND(G101&lt;&gt;"",H101&lt;&gt;"",G101&gt;H101),"日期起迄錯誤",IF(OR(AND(E101&lt;&gt;"",NOT(ISNUMBER(E101))),AND(F101&lt;&gt;"",NOT(ISNUMBER(F101)))),"標準非數值",IF(AND(J101="已核對",OR(K101="",NOT(ISNUMBER(L101)),NOT(ISNUMBER(G101)))),"缺核對資料","OK"))))))</f>
        <v/>
      </c>
    </row>
    <row r="102" ht="66" customHeight="1">
      <c r="A102" s="2" t="inlineStr">
        <is>
          <t>TW-GW1-20251223</t>
        </is>
      </c>
      <c r="B102" s="2" t="inlineStr">
        <is>
          <t>地下水</t>
        </is>
      </c>
      <c r="C102" s="2" t="inlineStr">
        <is>
          <t>鐵</t>
        </is>
      </c>
      <c r="D102" s="2" t="inlineStr">
        <is>
          <t>mg/L</t>
        </is>
      </c>
      <c r="E102" s="97" t="n"/>
      <c r="F102" s="97" t="n">
        <v>0.15</v>
      </c>
      <c r="G102" s="98" t="n">
        <v>41640</v>
      </c>
      <c r="H102" s="98" t="n"/>
      <c r="I102" s="38" t="inlineStr">
        <is>
          <t>地下水管制§4(2025-12-23)／監測§4(2013-12-18)；地下水第1類；僅有監測值，未訂管制值。</t>
        </is>
      </c>
      <c r="J102" s="2" t="inlineStr">
        <is>
          <t>已核對</t>
        </is>
      </c>
      <c r="K102" s="2" t="inlineStr">
        <is>
          <t>官方條文核對（自動）</t>
        </is>
      </c>
      <c r="L102" s="98" t="n">
        <v>46297</v>
      </c>
      <c r="M102" s="1">
        <f>IF(OR(A102="",B102="",C102=""),"",A102&amp;"|"&amp;B102&amp;"|"&amp;C102)</f>
        <v/>
      </c>
      <c r="N102" s="33">
        <f>IF(COUNTA(A102:L102)=0,"",IF(OR(A102="",B102="",C102="",D102="",I102="",J102=""),"缺必要欄位",IF(COUNTIFS(DB_05[標準鍵],M102)&gt;1,"標準鍵重複",IF(AND(G102&lt;&gt;"",H102&lt;&gt;"",G102&gt;H102),"日期起迄錯誤",IF(OR(AND(E102&lt;&gt;"",NOT(ISNUMBER(E102))),AND(F102&lt;&gt;"",NOT(ISNUMBER(F102)))),"標準非數值",IF(AND(J102="已核對",OR(K102="",NOT(ISNUMBER(L102)),NOT(ISNUMBER(G102)))),"缺核對資料","OK"))))))</f>
        <v/>
      </c>
    </row>
    <row r="103" ht="66" customHeight="1">
      <c r="A103" s="2" t="inlineStr">
        <is>
          <t>TW-GW2-20251223</t>
        </is>
      </c>
      <c r="B103" s="2" t="inlineStr">
        <is>
          <t>地下水</t>
        </is>
      </c>
      <c r="C103" s="2" t="inlineStr">
        <is>
          <t>鐵</t>
        </is>
      </c>
      <c r="D103" s="2" t="inlineStr">
        <is>
          <t>mg/L</t>
        </is>
      </c>
      <c r="E103" s="97" t="n"/>
      <c r="F103" s="97" t="n">
        <v>1.5</v>
      </c>
      <c r="G103" s="98" t="n">
        <v>41640</v>
      </c>
      <c r="H103" s="98" t="n"/>
      <c r="I103" s="38" t="inlineStr">
        <is>
          <t>地下水管制§4(2025-12-23)／監測§4(2013-12-18)；地下水第2類；僅有監測值，未訂管制值。</t>
        </is>
      </c>
      <c r="J103" s="2" t="inlineStr">
        <is>
          <t>已核對</t>
        </is>
      </c>
      <c r="K103" s="2" t="inlineStr">
        <is>
          <t>官方條文核對（自動）</t>
        </is>
      </c>
      <c r="L103" s="98" t="n">
        <v>46297</v>
      </c>
      <c r="M103" s="1">
        <f>IF(OR(A103="",B103="",C103=""),"",A103&amp;"|"&amp;B103&amp;"|"&amp;C103)</f>
        <v/>
      </c>
      <c r="N103" s="33">
        <f>IF(COUNTA(A103:L103)=0,"",IF(OR(A103="",B103="",C103="",D103="",I103="",J103=""),"缺必要欄位",IF(COUNTIFS(DB_05[標準鍵],M103)&gt;1,"標準鍵重複",IF(AND(G103&lt;&gt;"",H103&lt;&gt;"",G103&gt;H103),"日期起迄錯誤",IF(OR(AND(E103&lt;&gt;"",NOT(ISNUMBER(E103))),AND(F103&lt;&gt;"",NOT(ISNUMBER(F103)))),"標準非數值",IF(AND(J103="已核對",OR(K103="",NOT(ISNUMBER(L103)),NOT(ISNUMBER(G103)))),"缺核對資料","OK"))))))</f>
        <v/>
      </c>
    </row>
    <row r="104" ht="66" customHeight="1">
      <c r="A104" s="2" t="inlineStr">
        <is>
          <t>TW-GW1-20251223</t>
        </is>
      </c>
      <c r="B104" s="2" t="inlineStr">
        <is>
          <t>地下水</t>
        </is>
      </c>
      <c r="C104" s="2" t="inlineStr">
        <is>
          <t>錳</t>
        </is>
      </c>
      <c r="D104" s="2" t="inlineStr">
        <is>
          <t>mg/L</t>
        </is>
      </c>
      <c r="E104" s="97" t="n"/>
      <c r="F104" s="97" t="n">
        <v>0.025</v>
      </c>
      <c r="G104" s="98" t="n">
        <v>41640</v>
      </c>
      <c r="H104" s="98" t="n"/>
      <c r="I104" s="38" t="inlineStr">
        <is>
          <t>地下水管制§4(2025-12-23)／監測§4(2013-12-18)；地下水第1類；僅有監測值，未訂管制值。</t>
        </is>
      </c>
      <c r="J104" s="2" t="inlineStr">
        <is>
          <t>已核對</t>
        </is>
      </c>
      <c r="K104" s="2" t="inlineStr">
        <is>
          <t>官方條文核對（自動）</t>
        </is>
      </c>
      <c r="L104" s="98" t="n">
        <v>46297</v>
      </c>
      <c r="M104" s="1">
        <f>IF(OR(A104="",B104="",C104=""),"",A104&amp;"|"&amp;B104&amp;"|"&amp;C104)</f>
        <v/>
      </c>
      <c r="N104" s="33">
        <f>IF(COUNTA(A104:L104)=0,"",IF(OR(A104="",B104="",C104="",D104="",I104="",J104=""),"缺必要欄位",IF(COUNTIFS(DB_05[標準鍵],M104)&gt;1,"標準鍵重複",IF(AND(G104&lt;&gt;"",H104&lt;&gt;"",G104&gt;H104),"日期起迄錯誤",IF(OR(AND(E104&lt;&gt;"",NOT(ISNUMBER(E104))),AND(F104&lt;&gt;"",NOT(ISNUMBER(F104)))),"標準非數值",IF(AND(J104="已核對",OR(K104="",NOT(ISNUMBER(L104)),NOT(ISNUMBER(G104)))),"缺核對資料","OK"))))))</f>
        <v/>
      </c>
    </row>
    <row r="105" ht="66" customHeight="1">
      <c r="A105" s="2" t="inlineStr">
        <is>
          <t>TW-GW2-20251223</t>
        </is>
      </c>
      <c r="B105" s="2" t="inlineStr">
        <is>
          <t>地下水</t>
        </is>
      </c>
      <c r="C105" s="2" t="inlineStr">
        <is>
          <t>錳</t>
        </is>
      </c>
      <c r="D105" s="2" t="inlineStr">
        <is>
          <t>mg/L</t>
        </is>
      </c>
      <c r="E105" s="97" t="n"/>
      <c r="F105" s="97" t="n">
        <v>0.25</v>
      </c>
      <c r="G105" s="98" t="n">
        <v>41640</v>
      </c>
      <c r="H105" s="98" t="n"/>
      <c r="I105" s="38" t="inlineStr">
        <is>
          <t>地下水管制§4(2025-12-23)／監測§4(2013-12-18)；地下水第2類；僅有監測值，未訂管制值。</t>
        </is>
      </c>
      <c r="J105" s="2" t="inlineStr">
        <is>
          <t>已核對</t>
        </is>
      </c>
      <c r="K105" s="2" t="inlineStr">
        <is>
          <t>官方條文核對（自動）</t>
        </is>
      </c>
      <c r="L105" s="98" t="n">
        <v>46297</v>
      </c>
      <c r="M105" s="1">
        <f>IF(OR(A105="",B105="",C105=""),"",A105&amp;"|"&amp;B105&amp;"|"&amp;C105)</f>
        <v/>
      </c>
      <c r="N105" s="33">
        <f>IF(COUNTA(A105:L105)=0,"",IF(OR(A105="",B105="",C105="",D105="",I105="",J105=""),"缺必要欄位",IF(COUNTIFS(DB_05[標準鍵],M105)&gt;1,"標準鍵重複",IF(AND(G105&lt;&gt;"",H105&lt;&gt;"",G105&gt;H105),"日期起迄錯誤",IF(OR(AND(E105&lt;&gt;"",NOT(ISNUMBER(E105))),AND(F105&lt;&gt;"",NOT(ISNUMBER(F105)))),"標準非數值",IF(AND(J105="已核對",OR(K105="",NOT(ISNUMBER(L105)),NOT(ISNUMBER(G105)))),"缺核對資料","OK"))))))</f>
        <v/>
      </c>
    </row>
    <row r="106" ht="66" customHeight="1">
      <c r="A106" s="2" t="inlineStr">
        <is>
          <t>TW-GW1-20251223</t>
        </is>
      </c>
      <c r="B106" s="2" t="inlineStr">
        <is>
          <t>地下水</t>
        </is>
      </c>
      <c r="C106" s="2" t="inlineStr">
        <is>
          <t>總硬度</t>
        </is>
      </c>
      <c r="D106" s="2" t="inlineStr">
        <is>
          <t>mg/L</t>
        </is>
      </c>
      <c r="E106" s="97" t="n"/>
      <c r="F106" s="97" t="n">
        <v>150</v>
      </c>
      <c r="G106" s="98" t="n">
        <v>41640</v>
      </c>
      <c r="H106" s="98" t="n"/>
      <c r="I106" s="38" t="inlineStr">
        <is>
          <t>地下水管制§4(2025-12-23)／監測§4(2013-12-18)；地下水第1類；僅有監測值，未訂管制值。</t>
        </is>
      </c>
      <c r="J106" s="2" t="inlineStr">
        <is>
          <t>已核對</t>
        </is>
      </c>
      <c r="K106" s="2" t="inlineStr">
        <is>
          <t>官方條文核對（自動）</t>
        </is>
      </c>
      <c r="L106" s="98" t="n">
        <v>46297</v>
      </c>
      <c r="M106" s="1">
        <f>IF(OR(A106="",B106="",C106=""),"",A106&amp;"|"&amp;B106&amp;"|"&amp;C106)</f>
        <v/>
      </c>
      <c r="N106" s="33">
        <f>IF(COUNTA(A106:L106)=0,"",IF(OR(A106="",B106="",C106="",D106="",I106="",J106=""),"缺必要欄位",IF(COUNTIFS(DB_05[標準鍵],M106)&gt;1,"標準鍵重複",IF(AND(G106&lt;&gt;"",H106&lt;&gt;"",G106&gt;H106),"日期起迄錯誤",IF(OR(AND(E106&lt;&gt;"",NOT(ISNUMBER(E106))),AND(F106&lt;&gt;"",NOT(ISNUMBER(F106)))),"標準非數值",IF(AND(J106="已核對",OR(K106="",NOT(ISNUMBER(L106)),NOT(ISNUMBER(G106)))),"缺核對資料","OK"))))))</f>
        <v/>
      </c>
    </row>
    <row r="107" ht="66" customHeight="1">
      <c r="A107" s="2" t="inlineStr">
        <is>
          <t>TW-GW2-20251223</t>
        </is>
      </c>
      <c r="B107" s="2" t="inlineStr">
        <is>
          <t>地下水</t>
        </is>
      </c>
      <c r="C107" s="2" t="inlineStr">
        <is>
          <t>總硬度</t>
        </is>
      </c>
      <c r="D107" s="2" t="inlineStr">
        <is>
          <t>mg/L</t>
        </is>
      </c>
      <c r="E107" s="97" t="n"/>
      <c r="F107" s="97" t="n">
        <v>750</v>
      </c>
      <c r="G107" s="98" t="n">
        <v>41640</v>
      </c>
      <c r="H107" s="98" t="n"/>
      <c r="I107" s="38" t="inlineStr">
        <is>
          <t>地下水管制§4(2025-12-23)／監測§4(2013-12-18)；地下水第2類；僅有監測值，未訂管制值。</t>
        </is>
      </c>
      <c r="J107" s="2" t="inlineStr">
        <is>
          <t>已核對</t>
        </is>
      </c>
      <c r="K107" s="2" t="inlineStr">
        <is>
          <t>官方條文核對（自動）</t>
        </is>
      </c>
      <c r="L107" s="98" t="n">
        <v>46297</v>
      </c>
      <c r="M107" s="1">
        <f>IF(OR(A107="",B107="",C107=""),"",A107&amp;"|"&amp;B107&amp;"|"&amp;C107)</f>
        <v/>
      </c>
      <c r="N107" s="33">
        <f>IF(COUNTA(A107:L107)=0,"",IF(OR(A107="",B107="",C107="",D107="",I107="",J107=""),"缺必要欄位",IF(COUNTIFS(DB_05[標準鍵],M107)&gt;1,"標準鍵重複",IF(AND(G107&lt;&gt;"",H107&lt;&gt;"",G107&gt;H107),"日期起迄錯誤",IF(OR(AND(E107&lt;&gt;"",NOT(ISNUMBER(E107))),AND(F107&lt;&gt;"",NOT(ISNUMBER(F107)))),"標準非數值",IF(AND(J107="已核對",OR(K107="",NOT(ISNUMBER(L107)),NOT(ISNUMBER(G107)))),"缺核對資料","OK"))))))</f>
        <v/>
      </c>
    </row>
    <row r="108" ht="66" customHeight="1">
      <c r="A108" s="2" t="inlineStr">
        <is>
          <t>TW-GW1-20251223</t>
        </is>
      </c>
      <c r="B108" s="2" t="inlineStr">
        <is>
          <t>地下水</t>
        </is>
      </c>
      <c r="C108" s="2" t="inlineStr">
        <is>
          <t>總溶解固體物</t>
        </is>
      </c>
      <c r="D108" s="2" t="inlineStr">
        <is>
          <t>mg/L</t>
        </is>
      </c>
      <c r="E108" s="97" t="n"/>
      <c r="F108" s="97" t="n">
        <v>250</v>
      </c>
      <c r="G108" s="98" t="n">
        <v>41640</v>
      </c>
      <c r="H108" s="98" t="n"/>
      <c r="I108" s="38" t="inlineStr">
        <is>
          <t>地下水管制§4(2025-12-23)／監測§4(2013-12-18)；地下水第1類；僅有監測值，未訂管制值。</t>
        </is>
      </c>
      <c r="J108" s="2" t="inlineStr">
        <is>
          <t>已核對</t>
        </is>
      </c>
      <c r="K108" s="2" t="inlineStr">
        <is>
          <t>官方條文核對（自動）</t>
        </is>
      </c>
      <c r="L108" s="98" t="n">
        <v>46297</v>
      </c>
      <c r="M108" s="1">
        <f>IF(OR(A108="",B108="",C108=""),"",A108&amp;"|"&amp;B108&amp;"|"&amp;C108)</f>
        <v/>
      </c>
      <c r="N108" s="33">
        <f>IF(COUNTA(A108:L108)=0,"",IF(OR(A108="",B108="",C108="",D108="",I108="",J108=""),"缺必要欄位",IF(COUNTIFS(DB_05[標準鍵],M108)&gt;1,"標準鍵重複",IF(AND(G108&lt;&gt;"",H108&lt;&gt;"",G108&gt;H108),"日期起迄錯誤",IF(OR(AND(E108&lt;&gt;"",NOT(ISNUMBER(E108))),AND(F108&lt;&gt;"",NOT(ISNUMBER(F108)))),"標準非數值",IF(AND(J108="已核對",OR(K108="",NOT(ISNUMBER(L108)),NOT(ISNUMBER(G108)))),"缺核對資料","OK"))))))</f>
        <v/>
      </c>
    </row>
    <row r="109" ht="66" customHeight="1">
      <c r="A109" s="2" t="inlineStr">
        <is>
          <t>TW-GW2-20251223</t>
        </is>
      </c>
      <c r="B109" s="2" t="inlineStr">
        <is>
          <t>地下水</t>
        </is>
      </c>
      <c r="C109" s="2" t="inlineStr">
        <is>
          <t>總溶解固體物</t>
        </is>
      </c>
      <c r="D109" s="2" t="inlineStr">
        <is>
          <t>mg/L</t>
        </is>
      </c>
      <c r="E109" s="97" t="n"/>
      <c r="F109" s="97" t="n">
        <v>1250</v>
      </c>
      <c r="G109" s="98" t="n">
        <v>41640</v>
      </c>
      <c r="H109" s="98" t="n"/>
      <c r="I109" s="38" t="inlineStr">
        <is>
          <t>地下水管制§4(2025-12-23)／監測§4(2013-12-18)；地下水第2類；僅有監測值，未訂管制值。</t>
        </is>
      </c>
      <c r="J109" s="2" t="inlineStr">
        <is>
          <t>已核對</t>
        </is>
      </c>
      <c r="K109" s="2" t="inlineStr">
        <is>
          <t>官方條文核對（自動）</t>
        </is>
      </c>
      <c r="L109" s="98" t="n">
        <v>46297</v>
      </c>
      <c r="M109" s="1">
        <f>IF(OR(A109="",B109="",C109=""),"",A109&amp;"|"&amp;B109&amp;"|"&amp;C109)</f>
        <v/>
      </c>
      <c r="N109" s="33">
        <f>IF(COUNTA(A109:L109)=0,"",IF(OR(A109="",B109="",C109="",D109="",I109="",J109=""),"缺必要欄位",IF(COUNTIFS(DB_05[標準鍵],M109)&gt;1,"標準鍵重複",IF(AND(G109&lt;&gt;"",H109&lt;&gt;"",G109&gt;H109),"日期起迄錯誤",IF(OR(AND(E109&lt;&gt;"",NOT(ISNUMBER(E109))),AND(F109&lt;&gt;"",NOT(ISNUMBER(F109)))),"標準非數值",IF(AND(J109="已核對",OR(K109="",NOT(ISNUMBER(L109)),NOT(ISNUMBER(G109)))),"缺核對資料","OK"))))))</f>
        <v/>
      </c>
    </row>
    <row r="110" ht="66" customHeight="1">
      <c r="A110" s="2" t="inlineStr">
        <is>
          <t>TW-GW1-20251223</t>
        </is>
      </c>
      <c r="B110" s="2" t="inlineStr">
        <is>
          <t>地下水</t>
        </is>
      </c>
      <c r="C110" s="2" t="inlineStr">
        <is>
          <t>氯鹽</t>
        </is>
      </c>
      <c r="D110" s="2" t="inlineStr">
        <is>
          <t>mg/L</t>
        </is>
      </c>
      <c r="E110" s="97" t="n"/>
      <c r="F110" s="97" t="n">
        <v>125</v>
      </c>
      <c r="G110" s="98" t="n">
        <v>41640</v>
      </c>
      <c r="H110" s="98" t="n"/>
      <c r="I110" s="38" t="inlineStr">
        <is>
          <t>地下水管制§4(2025-12-23)／監測§4(2013-12-18)；地下水第1類；僅有監測值，未訂管制值。</t>
        </is>
      </c>
      <c r="J110" s="2" t="inlineStr">
        <is>
          <t>已核對</t>
        </is>
      </c>
      <c r="K110" s="2" t="inlineStr">
        <is>
          <t>官方條文核對（自動）</t>
        </is>
      </c>
      <c r="L110" s="98" t="n">
        <v>46297</v>
      </c>
      <c r="M110" s="1">
        <f>IF(OR(A110="",B110="",C110=""),"",A110&amp;"|"&amp;B110&amp;"|"&amp;C110)</f>
        <v/>
      </c>
      <c r="N110" s="33">
        <f>IF(COUNTA(A110:L110)=0,"",IF(OR(A110="",B110="",C110="",D110="",I110="",J110=""),"缺必要欄位",IF(COUNTIFS(DB_05[標準鍵],M110)&gt;1,"標準鍵重複",IF(AND(G110&lt;&gt;"",H110&lt;&gt;"",G110&gt;H110),"日期起迄錯誤",IF(OR(AND(E110&lt;&gt;"",NOT(ISNUMBER(E110))),AND(F110&lt;&gt;"",NOT(ISNUMBER(F110)))),"標準非數值",IF(AND(J110="已核對",OR(K110="",NOT(ISNUMBER(L110)),NOT(ISNUMBER(G110)))),"缺核對資料","OK"))))))</f>
        <v/>
      </c>
    </row>
    <row r="111" ht="66" customHeight="1">
      <c r="A111" s="2" t="inlineStr">
        <is>
          <t>TW-GW2-20251223</t>
        </is>
      </c>
      <c r="B111" s="2" t="inlineStr">
        <is>
          <t>地下水</t>
        </is>
      </c>
      <c r="C111" s="2" t="inlineStr">
        <is>
          <t>氯鹽</t>
        </is>
      </c>
      <c r="D111" s="2" t="inlineStr">
        <is>
          <t>mg/L</t>
        </is>
      </c>
      <c r="E111" s="97" t="n"/>
      <c r="F111" s="97" t="n">
        <v>625</v>
      </c>
      <c r="G111" s="98" t="n">
        <v>41640</v>
      </c>
      <c r="H111" s="98" t="n"/>
      <c r="I111" s="38" t="inlineStr">
        <is>
          <t>地下水管制§4(2025-12-23)／監測§4(2013-12-18)；地下水第2類；僅有監測值，未訂管制值。</t>
        </is>
      </c>
      <c r="J111" s="2" t="inlineStr">
        <is>
          <t>已核對</t>
        </is>
      </c>
      <c r="K111" s="2" t="inlineStr">
        <is>
          <t>官方條文核對（自動）</t>
        </is>
      </c>
      <c r="L111" s="98" t="n">
        <v>46297</v>
      </c>
      <c r="M111" s="1">
        <f>IF(OR(A111="",B111="",C111=""),"",A111&amp;"|"&amp;B111&amp;"|"&amp;C111)</f>
        <v/>
      </c>
      <c r="N111" s="33">
        <f>IF(COUNTA(A111:L111)=0,"",IF(OR(A111="",B111="",C111="",D111="",I111="",J111=""),"缺必要欄位",IF(COUNTIFS(DB_05[標準鍵],M111)&gt;1,"標準鍵重複",IF(AND(G111&lt;&gt;"",H111&lt;&gt;"",G111&gt;H111),"日期起迄錯誤",IF(OR(AND(E111&lt;&gt;"",NOT(ISNUMBER(E111))),AND(F111&lt;&gt;"",NOT(ISNUMBER(F111)))),"標準非數值",IF(AND(J111="已核對",OR(K111="",NOT(ISNUMBER(L111)),NOT(ISNUMBER(G111)))),"缺核對資料","OK"))))))</f>
        <v/>
      </c>
    </row>
    <row r="112" ht="66" customHeight="1">
      <c r="A112" s="2" t="inlineStr">
        <is>
          <t>TW-GW1-20251223</t>
        </is>
      </c>
      <c r="B112" s="2" t="inlineStr">
        <is>
          <t>地下水</t>
        </is>
      </c>
      <c r="C112" s="2" t="inlineStr">
        <is>
          <t>氨氮</t>
        </is>
      </c>
      <c r="D112" s="2" t="inlineStr">
        <is>
          <t>mg/L</t>
        </is>
      </c>
      <c r="E112" s="97" t="n"/>
      <c r="F112" s="97" t="n">
        <v>0.05</v>
      </c>
      <c r="G112" s="98" t="n">
        <v>41640</v>
      </c>
      <c r="H112" s="98" t="n"/>
      <c r="I112" s="38" t="inlineStr">
        <is>
          <t>地下水管制§4(2025-12-23)／監測§4(2013-12-18)；地下水第1類；僅有監測值，未訂管制值。</t>
        </is>
      </c>
      <c r="J112" s="2" t="inlineStr">
        <is>
          <t>已核對</t>
        </is>
      </c>
      <c r="K112" s="2" t="inlineStr">
        <is>
          <t>官方條文核對（自動）</t>
        </is>
      </c>
      <c r="L112" s="98" t="n">
        <v>46297</v>
      </c>
      <c r="M112" s="1">
        <f>IF(OR(A112="",B112="",C112=""),"",A112&amp;"|"&amp;B112&amp;"|"&amp;C112)</f>
        <v/>
      </c>
      <c r="N112" s="33">
        <f>IF(COUNTA(A112:L112)=0,"",IF(OR(A112="",B112="",C112="",D112="",I112="",J112=""),"缺必要欄位",IF(COUNTIFS(DB_05[標準鍵],M112)&gt;1,"標準鍵重複",IF(AND(G112&lt;&gt;"",H112&lt;&gt;"",G112&gt;H112),"日期起迄錯誤",IF(OR(AND(E112&lt;&gt;"",NOT(ISNUMBER(E112))),AND(F112&lt;&gt;"",NOT(ISNUMBER(F112)))),"標準非數值",IF(AND(J112="已核對",OR(K112="",NOT(ISNUMBER(L112)),NOT(ISNUMBER(G112)))),"缺核對資料","OK"))))))</f>
        <v/>
      </c>
    </row>
    <row r="113" ht="66" customHeight="1">
      <c r="A113" s="2" t="inlineStr">
        <is>
          <t>TW-GW2-20251223</t>
        </is>
      </c>
      <c r="B113" s="2" t="inlineStr">
        <is>
          <t>地下水</t>
        </is>
      </c>
      <c r="C113" s="2" t="inlineStr">
        <is>
          <t>氨氮</t>
        </is>
      </c>
      <c r="D113" s="2" t="inlineStr">
        <is>
          <t>mg/L</t>
        </is>
      </c>
      <c r="E113" s="97" t="n"/>
      <c r="F113" s="97" t="n">
        <v>0.25</v>
      </c>
      <c r="G113" s="98" t="n">
        <v>41640</v>
      </c>
      <c r="H113" s="98" t="n"/>
      <c r="I113" s="38" t="inlineStr">
        <is>
          <t>地下水管制§4(2025-12-23)／監測§4(2013-12-18)；地下水第2類；僅有監測值，未訂管制值。</t>
        </is>
      </c>
      <c r="J113" s="2" t="inlineStr">
        <is>
          <t>已核對</t>
        </is>
      </c>
      <c r="K113" s="2" t="inlineStr">
        <is>
          <t>官方條文核對（自動）</t>
        </is>
      </c>
      <c r="L113" s="98" t="n">
        <v>46297</v>
      </c>
      <c r="M113" s="1">
        <f>IF(OR(A113="",B113="",C113=""),"",A113&amp;"|"&amp;B113&amp;"|"&amp;C113)</f>
        <v/>
      </c>
      <c r="N113" s="33">
        <f>IF(COUNTA(A113:L113)=0,"",IF(OR(A113="",B113="",C113="",D113="",I113="",J113=""),"缺必要欄位",IF(COUNTIFS(DB_05[標準鍵],M113)&gt;1,"標準鍵重複",IF(AND(G113&lt;&gt;"",H113&lt;&gt;"",G113&gt;H113),"日期起迄錯誤",IF(OR(AND(E113&lt;&gt;"",NOT(ISNUMBER(E113))),AND(F113&lt;&gt;"",NOT(ISNUMBER(F113)))),"標準非數值",IF(AND(J113="已核對",OR(K113="",NOT(ISNUMBER(L113)),NOT(ISNUMBER(G113)))),"缺核對資料","OK"))))))</f>
        <v/>
      </c>
    </row>
    <row r="114" ht="66" customHeight="1">
      <c r="A114" s="2" t="inlineStr">
        <is>
          <t>TW-GW1-20251223</t>
        </is>
      </c>
      <c r="B114" s="2" t="inlineStr">
        <is>
          <t>地下水</t>
        </is>
      </c>
      <c r="C114" s="2" t="inlineStr">
        <is>
          <t>硫酸鹽</t>
        </is>
      </c>
      <c r="D114" s="2" t="inlineStr">
        <is>
          <t>mg/L</t>
        </is>
      </c>
      <c r="E114" s="97" t="n"/>
      <c r="F114" s="97" t="n">
        <v>125</v>
      </c>
      <c r="G114" s="98" t="n">
        <v>41640</v>
      </c>
      <c r="H114" s="98" t="n"/>
      <c r="I114" s="38" t="inlineStr">
        <is>
          <t>地下水管制§4(2025-12-23)／監測§4(2013-12-18)；地下水第1類；僅有監測值，未訂管制值。</t>
        </is>
      </c>
      <c r="J114" s="2" t="inlineStr">
        <is>
          <t>已核對</t>
        </is>
      </c>
      <c r="K114" s="2" t="inlineStr">
        <is>
          <t>官方條文核對（自動）</t>
        </is>
      </c>
      <c r="L114" s="98" t="n">
        <v>46297</v>
      </c>
      <c r="M114" s="1">
        <f>IF(OR(A114="",B114="",C114=""),"",A114&amp;"|"&amp;B114&amp;"|"&amp;C114)</f>
        <v/>
      </c>
      <c r="N114" s="33">
        <f>IF(COUNTA(A114:L114)=0,"",IF(OR(A114="",B114="",C114="",D114="",I114="",J114=""),"缺必要欄位",IF(COUNTIFS(DB_05[標準鍵],M114)&gt;1,"標準鍵重複",IF(AND(G114&lt;&gt;"",H114&lt;&gt;"",G114&gt;H114),"日期起迄錯誤",IF(OR(AND(E114&lt;&gt;"",NOT(ISNUMBER(E114))),AND(F114&lt;&gt;"",NOT(ISNUMBER(F114)))),"標準非數值",IF(AND(J114="已核對",OR(K114="",NOT(ISNUMBER(L114)),NOT(ISNUMBER(G114)))),"缺核對資料","OK"))))))</f>
        <v/>
      </c>
    </row>
    <row r="115" ht="66" customHeight="1">
      <c r="A115" s="2" t="inlineStr">
        <is>
          <t>TW-GW2-20251223</t>
        </is>
      </c>
      <c r="B115" s="2" t="inlineStr">
        <is>
          <t>地下水</t>
        </is>
      </c>
      <c r="C115" s="2" t="inlineStr">
        <is>
          <t>硫酸鹽</t>
        </is>
      </c>
      <c r="D115" s="2" t="inlineStr">
        <is>
          <t>mg/L</t>
        </is>
      </c>
      <c r="E115" s="97" t="n"/>
      <c r="F115" s="97" t="n">
        <v>625</v>
      </c>
      <c r="G115" s="98" t="n">
        <v>41640</v>
      </c>
      <c r="H115" s="98" t="n"/>
      <c r="I115" s="38" t="inlineStr">
        <is>
          <t>地下水管制§4(2025-12-23)／監測§4(2013-12-18)；地下水第2類；僅有監測值，未訂管制值。</t>
        </is>
      </c>
      <c r="J115" s="2" t="inlineStr">
        <is>
          <t>已核對</t>
        </is>
      </c>
      <c r="K115" s="2" t="inlineStr">
        <is>
          <t>官方條文核對（自動）</t>
        </is>
      </c>
      <c r="L115" s="98" t="n">
        <v>46297</v>
      </c>
      <c r="M115" s="1">
        <f>IF(OR(A115="",B115="",C115=""),"",A115&amp;"|"&amp;B115&amp;"|"&amp;C115)</f>
        <v/>
      </c>
      <c r="N115" s="33">
        <f>IF(COUNTA(A115:L115)=0,"",IF(OR(A115="",B115="",C115="",D115="",I115="",J115=""),"缺必要欄位",IF(COUNTIFS(DB_05[標準鍵],M115)&gt;1,"標準鍵重複",IF(AND(G115&lt;&gt;"",H115&lt;&gt;"",G115&gt;H115),"日期起迄錯誤",IF(OR(AND(E115&lt;&gt;"",NOT(ISNUMBER(E115))),AND(F115&lt;&gt;"",NOT(ISNUMBER(F115)))),"標準非數值",IF(AND(J115="已核對",OR(K115="",NOT(ISNUMBER(L115)),NOT(ISNUMBER(G115)))),"缺核對資料","OK"))))))</f>
        <v/>
      </c>
    </row>
    <row r="116" ht="66" customHeight="1">
      <c r="A116" s="2" t="inlineStr">
        <is>
          <t>TW-GW1-20251223</t>
        </is>
      </c>
      <c r="B116" s="2" t="inlineStr">
        <is>
          <t>地下水</t>
        </is>
      </c>
      <c r="C116" s="2" t="inlineStr">
        <is>
          <t>總有機碳</t>
        </is>
      </c>
      <c r="D116" s="2" t="inlineStr">
        <is>
          <t>mg/L</t>
        </is>
      </c>
      <c r="E116" s="97" t="n"/>
      <c r="F116" s="97" t="n">
        <v>2</v>
      </c>
      <c r="G116" s="98" t="n">
        <v>41640</v>
      </c>
      <c r="H116" s="98" t="n"/>
      <c r="I116" s="38" t="inlineStr">
        <is>
          <t>地下水管制§4(2025-12-23)／監測§4(2013-12-18)；地下水第1類；僅有監測值，未訂管制值。</t>
        </is>
      </c>
      <c r="J116" s="2" t="inlineStr">
        <is>
          <t>已核對</t>
        </is>
      </c>
      <c r="K116" s="2" t="inlineStr">
        <is>
          <t>官方條文核對（自動）</t>
        </is>
      </c>
      <c r="L116" s="98" t="n">
        <v>46297</v>
      </c>
      <c r="M116" s="1">
        <f>IF(OR(A116="",B116="",C116=""),"",A116&amp;"|"&amp;B116&amp;"|"&amp;C116)</f>
        <v/>
      </c>
      <c r="N116" s="33">
        <f>IF(COUNTA(A116:L116)=0,"",IF(OR(A116="",B116="",C116="",D116="",I116="",J116=""),"缺必要欄位",IF(COUNTIFS(DB_05[標準鍵],M116)&gt;1,"標準鍵重複",IF(AND(G116&lt;&gt;"",H116&lt;&gt;"",G116&gt;H116),"日期起迄錯誤",IF(OR(AND(E116&lt;&gt;"",NOT(ISNUMBER(E116))),AND(F116&lt;&gt;"",NOT(ISNUMBER(F116)))),"標準非數值",IF(AND(J116="已核對",OR(K116="",NOT(ISNUMBER(L116)),NOT(ISNUMBER(G116)))),"缺核對資料","OK"))))))</f>
        <v/>
      </c>
    </row>
    <row r="117" ht="66" customHeight="1">
      <c r="A117" s="2" t="inlineStr">
        <is>
          <t>TW-GW2-20251223</t>
        </is>
      </c>
      <c r="B117" s="2" t="inlineStr">
        <is>
          <t>地下水</t>
        </is>
      </c>
      <c r="C117" s="2" t="inlineStr">
        <is>
          <t>總有機碳</t>
        </is>
      </c>
      <c r="D117" s="2" t="inlineStr">
        <is>
          <t>mg/L</t>
        </is>
      </c>
      <c r="E117" s="97" t="n"/>
      <c r="F117" s="97" t="n">
        <v>10</v>
      </c>
      <c r="G117" s="98" t="n">
        <v>41640</v>
      </c>
      <c r="H117" s="98" t="n"/>
      <c r="I117" s="38" t="inlineStr">
        <is>
          <t>地下水管制§4(2025-12-23)／監測§4(2013-12-18)；地下水第2類；僅有監測值，未訂管制值。</t>
        </is>
      </c>
      <c r="J117" s="2" t="inlineStr">
        <is>
          <t>已核對</t>
        </is>
      </c>
      <c r="K117" s="2" t="inlineStr">
        <is>
          <t>官方條文核對（自動）</t>
        </is>
      </c>
      <c r="L117" s="98" t="n">
        <v>46297</v>
      </c>
      <c r="M117" s="1">
        <f>IF(OR(A117="",B117="",C117=""),"",A117&amp;"|"&amp;B117&amp;"|"&amp;C117)</f>
        <v/>
      </c>
      <c r="N117" s="33">
        <f>IF(COUNTA(A117:L117)=0,"",IF(OR(A117="",B117="",C117="",D117="",I117="",J117=""),"缺必要欄位",IF(COUNTIFS(DB_05[標準鍵],M117)&gt;1,"標準鍵重複",IF(AND(G117&lt;&gt;"",H117&lt;&gt;"",G117&gt;H117),"日期起迄錯誤",IF(OR(AND(E117&lt;&gt;"",NOT(ISNUMBER(E117))),AND(F117&lt;&gt;"",NOT(ISNUMBER(F117)))),"標準非數值",IF(AND(J117="已核對",OR(K117="",NOT(ISNUMBER(L117)),NOT(ISNUMBER(G117)))),"缺核對資料","OK"))))))</f>
        <v/>
      </c>
    </row>
    <row r="118" ht="66" customHeight="1">
      <c r="A118" s="2" t="inlineStr">
        <is>
          <t>TW-GW1-20251223</t>
        </is>
      </c>
      <c r="B118" s="2" t="inlineStr">
        <is>
          <t>地下水</t>
        </is>
      </c>
      <c r="C118" s="2" t="inlineStr">
        <is>
          <t>總酚</t>
        </is>
      </c>
      <c r="D118" s="2" t="inlineStr">
        <is>
          <t>mg/L</t>
        </is>
      </c>
      <c r="E118" s="97" t="n"/>
      <c r="F118" s="97" t="n">
        <v>0.014</v>
      </c>
      <c r="G118" s="98" t="n">
        <v>41640</v>
      </c>
      <c r="H118" s="98" t="n"/>
      <c r="I118" s="38" t="inlineStr">
        <is>
          <t>地下水管制§4(2025-12-23)／監測§4(2013-12-18)；地下水第1類；僅有監測值，未訂管制值。</t>
        </is>
      </c>
      <c r="J118" s="2" t="inlineStr">
        <is>
          <t>已核對</t>
        </is>
      </c>
      <c r="K118" s="2" t="inlineStr">
        <is>
          <t>官方條文核對（自動）</t>
        </is>
      </c>
      <c r="L118" s="98" t="n">
        <v>46297</v>
      </c>
      <c r="M118" s="1">
        <f>IF(OR(A118="",B118="",C118=""),"",A118&amp;"|"&amp;B118&amp;"|"&amp;C118)</f>
        <v/>
      </c>
      <c r="N118" s="33">
        <f>IF(COUNTA(A118:L118)=0,"",IF(OR(A118="",B118="",C118="",D118="",I118="",J118=""),"缺必要欄位",IF(COUNTIFS(DB_05[標準鍵],M118)&gt;1,"標準鍵重複",IF(AND(G118&lt;&gt;"",H118&lt;&gt;"",G118&gt;H118),"日期起迄錯誤",IF(OR(AND(E118&lt;&gt;"",NOT(ISNUMBER(E118))),AND(F118&lt;&gt;"",NOT(ISNUMBER(F118)))),"標準非數值",IF(AND(J118="已核對",OR(K118="",NOT(ISNUMBER(L118)),NOT(ISNUMBER(G118)))),"缺核對資料","OK"))))))</f>
        <v/>
      </c>
    </row>
    <row r="119" ht="66" customHeight="1">
      <c r="A119" s="2" t="inlineStr">
        <is>
          <t>TW-GW2-20251223</t>
        </is>
      </c>
      <c r="B119" s="2" t="inlineStr">
        <is>
          <t>地下水</t>
        </is>
      </c>
      <c r="C119" s="2" t="inlineStr">
        <is>
          <t>總酚</t>
        </is>
      </c>
      <c r="D119" s="2" t="inlineStr">
        <is>
          <t>mg/L</t>
        </is>
      </c>
      <c r="E119" s="97" t="n"/>
      <c r="F119" s="97" t="n">
        <v>0.14</v>
      </c>
      <c r="G119" s="98" t="n">
        <v>41640</v>
      </c>
      <c r="H119" s="98" t="n"/>
      <c r="I119" s="38" t="inlineStr">
        <is>
          <t>地下水管制§4(2025-12-23)／監測§4(2013-12-18)；地下水第2類；僅有監測值，未訂管制值。</t>
        </is>
      </c>
      <c r="J119" s="2" t="inlineStr">
        <is>
          <t>已核對</t>
        </is>
      </c>
      <c r="K119" s="2" t="inlineStr">
        <is>
          <t>官方條文核對（自動）</t>
        </is>
      </c>
      <c r="L119" s="98" t="n">
        <v>46297</v>
      </c>
      <c r="M119" s="1">
        <f>IF(OR(A119="",B119="",C119=""),"",A119&amp;"|"&amp;B119&amp;"|"&amp;C119)</f>
        <v/>
      </c>
      <c r="N119" s="33">
        <f>IF(COUNTA(A119:L119)=0,"",IF(OR(A119="",B119="",C119="",D119="",I119="",J119=""),"缺必要欄位",IF(COUNTIFS(DB_05[標準鍵],M119)&gt;1,"標準鍵重複",IF(AND(G119&lt;&gt;"",H119&lt;&gt;"",G119&gt;H119),"日期起迄錯誤",IF(OR(AND(E119&lt;&gt;"",NOT(ISNUMBER(E119))),AND(F119&lt;&gt;"",NOT(ISNUMBER(F119)))),"標準非數值",IF(AND(J119="已核對",OR(K119="",NOT(ISNUMBER(L119)),NOT(ISNUMBER(G119)))),"缺核對資料","OK"))))))</f>
        <v/>
      </c>
    </row>
    <row r="120" ht="66" customHeight="1">
      <c r="A120" s="2" t="inlineStr">
        <is>
          <t>TW-SOIL-20110131</t>
        </is>
      </c>
      <c r="B120" s="2" t="inlineStr">
        <is>
          <t>土壤</t>
        </is>
      </c>
      <c r="C120" s="2" t="inlineStr">
        <is>
          <t>砷</t>
        </is>
      </c>
      <c r="D120" s="2" t="inlineStr">
        <is>
          <t>mg/kg</t>
        </is>
      </c>
      <c r="E120" s="97" t="n">
        <v>60</v>
      </c>
      <c r="F120" s="97" t="n">
        <v>30</v>
      </c>
      <c r="G120" s="98" t="n">
        <v>40574</v>
      </c>
      <c r="H120" s="98" t="n"/>
      <c r="I120" s="38" t="inlineStr">
        <is>
          <t>土壤管制§5／監測§4(2011-01-31)；一般土壤；食用作物農地須改選農地版本。濃度以土壤乾基計。</t>
        </is>
      </c>
      <c r="J120" s="2" t="inlineStr">
        <is>
          <t>已核對</t>
        </is>
      </c>
      <c r="K120" s="2" t="inlineStr">
        <is>
          <t>官方條文核對（自動）</t>
        </is>
      </c>
      <c r="L120" s="98" t="n">
        <v>46297</v>
      </c>
      <c r="M120" s="1">
        <f>IF(OR(A120="",B120="",C120=""),"",A120&amp;"|"&amp;B120&amp;"|"&amp;C120)</f>
        <v/>
      </c>
      <c r="N120" s="33">
        <f>IF(COUNTA(A120:L120)=0,"",IF(OR(A120="",B120="",C120="",D120="",I120="",J120=""),"缺必要欄位",IF(COUNTIFS(DB_05[標準鍵],M120)&gt;1,"標準鍵重複",IF(AND(G120&lt;&gt;"",H120&lt;&gt;"",G120&gt;H120),"日期起迄錯誤",IF(OR(AND(E120&lt;&gt;"",NOT(ISNUMBER(E120))),AND(F120&lt;&gt;"",NOT(ISNUMBER(F120)))),"標準非數值",IF(AND(J120="已核對",OR(K120="",NOT(ISNUMBER(L120)),NOT(ISNUMBER(G120)))),"缺核對資料","OK"))))))</f>
        <v/>
      </c>
    </row>
    <row r="121" ht="66" customHeight="1">
      <c r="A121" s="2" t="inlineStr">
        <is>
          <t>TW-SOIL-FOOD-20110131</t>
        </is>
      </c>
      <c r="B121" s="2" t="inlineStr">
        <is>
          <t>土壤</t>
        </is>
      </c>
      <c r="C121" s="2" t="inlineStr">
        <is>
          <t>砷</t>
        </is>
      </c>
      <c r="D121" s="2" t="inlineStr">
        <is>
          <t>mg/kg</t>
        </is>
      </c>
      <c r="E121" s="97" t="n">
        <v>60</v>
      </c>
      <c r="F121" s="97" t="n">
        <v>30</v>
      </c>
      <c r="G121" s="98" t="n">
        <v>40574</v>
      </c>
      <c r="H121" s="98" t="n"/>
      <c r="I121" s="38" t="inlineStr">
        <is>
          <t>土壤管制§5／監測§4(2011-01-31)；食用作物農地。濃度以土壤乾基計。</t>
        </is>
      </c>
      <c r="J121" s="2" t="inlineStr">
        <is>
          <t>已核對</t>
        </is>
      </c>
      <c r="K121" s="2" t="inlineStr">
        <is>
          <t>官方條文核對（自動）</t>
        </is>
      </c>
      <c r="L121" s="98" t="n">
        <v>46297</v>
      </c>
      <c r="M121" s="1">
        <f>IF(OR(A121="",B121="",C121=""),"",A121&amp;"|"&amp;B121&amp;"|"&amp;C121)</f>
        <v/>
      </c>
      <c r="N121" s="33">
        <f>IF(COUNTA(A121:L121)=0,"",IF(OR(A121="",B121="",C121="",D121="",I121="",J121=""),"缺必要欄位",IF(COUNTIFS(DB_05[標準鍵],M121)&gt;1,"標準鍵重複",IF(AND(G121&lt;&gt;"",H121&lt;&gt;"",G121&gt;H121),"日期起迄錯誤",IF(OR(AND(E121&lt;&gt;"",NOT(ISNUMBER(E121))),AND(F121&lt;&gt;"",NOT(ISNUMBER(F121)))),"標準非數值",IF(AND(J121="已核對",OR(K121="",NOT(ISNUMBER(L121)),NOT(ISNUMBER(G121)))),"缺核對資料","OK"))))))</f>
        <v/>
      </c>
    </row>
    <row r="122" ht="66" customHeight="1">
      <c r="A122" s="2" t="inlineStr">
        <is>
          <t>TW-SOIL-20110131</t>
        </is>
      </c>
      <c r="B122" s="2" t="inlineStr">
        <is>
          <t>土壤</t>
        </is>
      </c>
      <c r="C122" s="2" t="inlineStr">
        <is>
          <t>鎘</t>
        </is>
      </c>
      <c r="D122" s="2" t="inlineStr">
        <is>
          <t>mg/kg</t>
        </is>
      </c>
      <c r="E122" s="97" t="n">
        <v>20</v>
      </c>
      <c r="F122" s="97" t="n">
        <v>10</v>
      </c>
      <c r="G122" s="98" t="n">
        <v>40574</v>
      </c>
      <c r="H122" s="98" t="n"/>
      <c r="I122" s="38" t="inlineStr">
        <is>
          <t>土壤管制§5／監測§4(2011-01-31)；一般土壤；食用作物農地須改選農地版本。濃度以土壤乾基計。</t>
        </is>
      </c>
      <c r="J122" s="2" t="inlineStr">
        <is>
          <t>已核對</t>
        </is>
      </c>
      <c r="K122" s="2" t="inlineStr">
        <is>
          <t>官方條文核對（自動）</t>
        </is>
      </c>
      <c r="L122" s="98" t="n">
        <v>46297</v>
      </c>
      <c r="M122" s="1">
        <f>IF(OR(A122="",B122="",C122=""),"",A122&amp;"|"&amp;B122&amp;"|"&amp;C122)</f>
        <v/>
      </c>
      <c r="N122" s="33">
        <f>IF(COUNTA(A122:L122)=0,"",IF(OR(A122="",B122="",C122="",D122="",I122="",J122=""),"缺必要欄位",IF(COUNTIFS(DB_05[標準鍵],M122)&gt;1,"標準鍵重複",IF(AND(G122&lt;&gt;"",H122&lt;&gt;"",G122&gt;H122),"日期起迄錯誤",IF(OR(AND(E122&lt;&gt;"",NOT(ISNUMBER(E122))),AND(F122&lt;&gt;"",NOT(ISNUMBER(F122)))),"標準非數值",IF(AND(J122="已核對",OR(K122="",NOT(ISNUMBER(L122)),NOT(ISNUMBER(G122)))),"缺核對資料","OK"))))))</f>
        <v/>
      </c>
    </row>
    <row r="123" ht="66" customHeight="1">
      <c r="A123" s="2" t="inlineStr">
        <is>
          <t>TW-SOIL-FOOD-20110131</t>
        </is>
      </c>
      <c r="B123" s="2" t="inlineStr">
        <is>
          <t>土壤</t>
        </is>
      </c>
      <c r="C123" s="2" t="inlineStr">
        <is>
          <t>鎘</t>
        </is>
      </c>
      <c r="D123" s="2" t="inlineStr">
        <is>
          <t>mg/kg</t>
        </is>
      </c>
      <c r="E123" s="97" t="n">
        <v>5</v>
      </c>
      <c r="F123" s="97" t="n">
        <v>2.5</v>
      </c>
      <c r="G123" s="98" t="n">
        <v>40574</v>
      </c>
      <c r="H123" s="98" t="n"/>
      <c r="I123" s="38" t="inlineStr">
        <is>
          <t>土壤管制§5／監測§4(2011-01-31)；食用作物農地。濃度以土壤乾基計。</t>
        </is>
      </c>
      <c r="J123" s="2" t="inlineStr">
        <is>
          <t>已核對</t>
        </is>
      </c>
      <c r="K123" s="2" t="inlineStr">
        <is>
          <t>官方條文核對（自動）</t>
        </is>
      </c>
      <c r="L123" s="98" t="n">
        <v>46297</v>
      </c>
      <c r="M123" s="1">
        <f>IF(OR(A123="",B123="",C123=""),"",A123&amp;"|"&amp;B123&amp;"|"&amp;C123)</f>
        <v/>
      </c>
      <c r="N123" s="33">
        <f>IF(COUNTA(A123:L123)=0,"",IF(OR(A123="",B123="",C123="",D123="",I123="",J123=""),"缺必要欄位",IF(COUNTIFS(DB_05[標準鍵],M123)&gt;1,"標準鍵重複",IF(AND(G123&lt;&gt;"",H123&lt;&gt;"",G123&gt;H123),"日期起迄錯誤",IF(OR(AND(E123&lt;&gt;"",NOT(ISNUMBER(E123))),AND(F123&lt;&gt;"",NOT(ISNUMBER(F123)))),"標準非數值",IF(AND(J123="已核對",OR(K123="",NOT(ISNUMBER(L123)),NOT(ISNUMBER(G123)))),"缺核對資料","OK"))))))</f>
        <v/>
      </c>
    </row>
    <row r="124" ht="66" customHeight="1">
      <c r="A124" s="2" t="inlineStr">
        <is>
          <t>TW-SOIL-20110131</t>
        </is>
      </c>
      <c r="B124" s="2" t="inlineStr">
        <is>
          <t>土壤</t>
        </is>
      </c>
      <c r="C124" s="2" t="inlineStr">
        <is>
          <t>鉻</t>
        </is>
      </c>
      <c r="D124" s="2" t="inlineStr">
        <is>
          <t>mg/kg</t>
        </is>
      </c>
      <c r="E124" s="97" t="n">
        <v>250</v>
      </c>
      <c r="F124" s="97" t="n">
        <v>175</v>
      </c>
      <c r="G124" s="98" t="n">
        <v>40574</v>
      </c>
      <c r="H124" s="98" t="n"/>
      <c r="I124" s="38" t="inlineStr">
        <is>
          <t>土壤管制§5／監測§4(2011-01-31)；一般土壤；食用作物農地須改選農地版本。濃度以土壤乾基計。</t>
        </is>
      </c>
      <c r="J124" s="2" t="inlineStr">
        <is>
          <t>已核對</t>
        </is>
      </c>
      <c r="K124" s="2" t="inlineStr">
        <is>
          <t>官方條文核對（自動）</t>
        </is>
      </c>
      <c r="L124" s="98" t="n">
        <v>46297</v>
      </c>
      <c r="M124" s="1">
        <f>IF(OR(A124="",B124="",C124=""),"",A124&amp;"|"&amp;B124&amp;"|"&amp;C124)</f>
        <v/>
      </c>
      <c r="N124" s="33">
        <f>IF(COUNTA(A124:L124)=0,"",IF(OR(A124="",B124="",C124="",D124="",I124="",J124=""),"缺必要欄位",IF(COUNTIFS(DB_05[標準鍵],M124)&gt;1,"標準鍵重複",IF(AND(G124&lt;&gt;"",H124&lt;&gt;"",G124&gt;H124),"日期起迄錯誤",IF(OR(AND(E124&lt;&gt;"",NOT(ISNUMBER(E124))),AND(F124&lt;&gt;"",NOT(ISNUMBER(F124)))),"標準非數值",IF(AND(J124="已核對",OR(K124="",NOT(ISNUMBER(L124)),NOT(ISNUMBER(G124)))),"缺核對資料","OK"))))))</f>
        <v/>
      </c>
    </row>
    <row r="125" ht="66" customHeight="1">
      <c r="A125" s="2" t="inlineStr">
        <is>
          <t>TW-SOIL-FOOD-20110131</t>
        </is>
      </c>
      <c r="B125" s="2" t="inlineStr">
        <is>
          <t>土壤</t>
        </is>
      </c>
      <c r="C125" s="2" t="inlineStr">
        <is>
          <t>鉻</t>
        </is>
      </c>
      <c r="D125" s="2" t="inlineStr">
        <is>
          <t>mg/kg</t>
        </is>
      </c>
      <c r="E125" s="97" t="n">
        <v>250</v>
      </c>
      <c r="F125" s="97" t="n">
        <v>175</v>
      </c>
      <c r="G125" s="98" t="n">
        <v>40574</v>
      </c>
      <c r="H125" s="98" t="n"/>
      <c r="I125" s="38" t="inlineStr">
        <is>
          <t>土壤管制§5／監測§4(2011-01-31)；食用作物農地。濃度以土壤乾基計。</t>
        </is>
      </c>
      <c r="J125" s="2" t="inlineStr">
        <is>
          <t>已核對</t>
        </is>
      </c>
      <c r="K125" s="2" t="inlineStr">
        <is>
          <t>官方條文核對（自動）</t>
        </is>
      </c>
      <c r="L125" s="98" t="n">
        <v>46297</v>
      </c>
      <c r="M125" s="1">
        <f>IF(OR(A125="",B125="",C125=""),"",A125&amp;"|"&amp;B125&amp;"|"&amp;C125)</f>
        <v/>
      </c>
      <c r="N125" s="33">
        <f>IF(COUNTA(A125:L125)=0,"",IF(OR(A125="",B125="",C125="",D125="",I125="",J125=""),"缺必要欄位",IF(COUNTIFS(DB_05[標準鍵],M125)&gt;1,"標準鍵重複",IF(AND(G125&lt;&gt;"",H125&lt;&gt;"",G125&gt;H125),"日期起迄錯誤",IF(OR(AND(E125&lt;&gt;"",NOT(ISNUMBER(E125))),AND(F125&lt;&gt;"",NOT(ISNUMBER(F125)))),"標準非數值",IF(AND(J125="已核對",OR(K125="",NOT(ISNUMBER(L125)),NOT(ISNUMBER(G125)))),"缺核對資料","OK"))))))</f>
        <v/>
      </c>
    </row>
    <row r="126" ht="66" customHeight="1">
      <c r="A126" s="2" t="inlineStr">
        <is>
          <t>TW-SOIL-20110131</t>
        </is>
      </c>
      <c r="B126" s="2" t="inlineStr">
        <is>
          <t>土壤</t>
        </is>
      </c>
      <c r="C126" s="2" t="inlineStr">
        <is>
          <t>銅</t>
        </is>
      </c>
      <c r="D126" s="2" t="inlineStr">
        <is>
          <t>mg/kg</t>
        </is>
      </c>
      <c r="E126" s="97" t="n">
        <v>400</v>
      </c>
      <c r="F126" s="97" t="n">
        <v>220</v>
      </c>
      <c r="G126" s="98" t="n">
        <v>40574</v>
      </c>
      <c r="H126" s="98" t="n"/>
      <c r="I126" s="38" t="inlineStr">
        <is>
          <t>土壤管制§5／監測§4(2011-01-31)；一般土壤；食用作物農地須改選農地版本。濃度以土壤乾基計。</t>
        </is>
      </c>
      <c r="J126" s="2" t="inlineStr">
        <is>
          <t>已核對</t>
        </is>
      </c>
      <c r="K126" s="2" t="inlineStr">
        <is>
          <t>官方條文核對（自動）</t>
        </is>
      </c>
      <c r="L126" s="98" t="n">
        <v>46297</v>
      </c>
      <c r="M126" s="1">
        <f>IF(OR(A126="",B126="",C126=""),"",A126&amp;"|"&amp;B126&amp;"|"&amp;C126)</f>
        <v/>
      </c>
      <c r="N126" s="33">
        <f>IF(COUNTA(A126:L126)=0,"",IF(OR(A126="",B126="",C126="",D126="",I126="",J126=""),"缺必要欄位",IF(COUNTIFS(DB_05[標準鍵],M126)&gt;1,"標準鍵重複",IF(AND(G126&lt;&gt;"",H126&lt;&gt;"",G126&gt;H126),"日期起迄錯誤",IF(OR(AND(E126&lt;&gt;"",NOT(ISNUMBER(E126))),AND(F126&lt;&gt;"",NOT(ISNUMBER(F126)))),"標準非數值",IF(AND(J126="已核對",OR(K126="",NOT(ISNUMBER(L126)),NOT(ISNUMBER(G126)))),"缺核對資料","OK"))))))</f>
        <v/>
      </c>
    </row>
    <row r="127" ht="66" customHeight="1">
      <c r="A127" s="2" t="inlineStr">
        <is>
          <t>TW-SOIL-FOOD-20110131</t>
        </is>
      </c>
      <c r="B127" s="2" t="inlineStr">
        <is>
          <t>土壤</t>
        </is>
      </c>
      <c r="C127" s="2" t="inlineStr">
        <is>
          <t>銅</t>
        </is>
      </c>
      <c r="D127" s="2" t="inlineStr">
        <is>
          <t>mg/kg</t>
        </is>
      </c>
      <c r="E127" s="97" t="n">
        <v>200</v>
      </c>
      <c r="F127" s="97" t="n">
        <v>120</v>
      </c>
      <c r="G127" s="98" t="n">
        <v>40574</v>
      </c>
      <c r="H127" s="98" t="n"/>
      <c r="I127" s="38" t="inlineStr">
        <is>
          <t>土壤管制§5／監測§4(2011-01-31)；食用作物農地。濃度以土壤乾基計。</t>
        </is>
      </c>
      <c r="J127" s="2" t="inlineStr">
        <is>
          <t>已核對</t>
        </is>
      </c>
      <c r="K127" s="2" t="inlineStr">
        <is>
          <t>官方條文核對（自動）</t>
        </is>
      </c>
      <c r="L127" s="98" t="n">
        <v>46297</v>
      </c>
      <c r="M127" s="1">
        <f>IF(OR(A127="",B127="",C127=""),"",A127&amp;"|"&amp;B127&amp;"|"&amp;C127)</f>
        <v/>
      </c>
      <c r="N127" s="33">
        <f>IF(COUNTA(A127:L127)=0,"",IF(OR(A127="",B127="",C127="",D127="",I127="",J127=""),"缺必要欄位",IF(COUNTIFS(DB_05[標準鍵],M127)&gt;1,"標準鍵重複",IF(AND(G127&lt;&gt;"",H127&lt;&gt;"",G127&gt;H127),"日期起迄錯誤",IF(OR(AND(E127&lt;&gt;"",NOT(ISNUMBER(E127))),AND(F127&lt;&gt;"",NOT(ISNUMBER(F127)))),"標準非數值",IF(AND(J127="已核對",OR(K127="",NOT(ISNUMBER(L127)),NOT(ISNUMBER(G127)))),"缺核對資料","OK"))))))</f>
        <v/>
      </c>
    </row>
    <row r="128" ht="66" customHeight="1">
      <c r="A128" s="2" t="inlineStr">
        <is>
          <t>TW-SOIL-20110131</t>
        </is>
      </c>
      <c r="B128" s="2" t="inlineStr">
        <is>
          <t>土壤</t>
        </is>
      </c>
      <c r="C128" s="2" t="inlineStr">
        <is>
          <t>汞</t>
        </is>
      </c>
      <c r="D128" s="2" t="inlineStr">
        <is>
          <t>mg/kg</t>
        </is>
      </c>
      <c r="E128" s="97" t="n">
        <v>20</v>
      </c>
      <c r="F128" s="97" t="n">
        <v>10</v>
      </c>
      <c r="G128" s="98" t="n">
        <v>40574</v>
      </c>
      <c r="H128" s="98" t="n"/>
      <c r="I128" s="38" t="inlineStr">
        <is>
          <t>土壤管制§5／監測§4(2011-01-31)；一般土壤；食用作物農地須改選農地版本。濃度以土壤乾基計。</t>
        </is>
      </c>
      <c r="J128" s="2" t="inlineStr">
        <is>
          <t>已核對</t>
        </is>
      </c>
      <c r="K128" s="2" t="inlineStr">
        <is>
          <t>官方條文核對（自動）</t>
        </is>
      </c>
      <c r="L128" s="98" t="n">
        <v>46297</v>
      </c>
      <c r="M128" s="1">
        <f>IF(OR(A128="",B128="",C128=""),"",A128&amp;"|"&amp;B128&amp;"|"&amp;C128)</f>
        <v/>
      </c>
      <c r="N128" s="33">
        <f>IF(COUNTA(A128:L128)=0,"",IF(OR(A128="",B128="",C128="",D128="",I128="",J128=""),"缺必要欄位",IF(COUNTIFS(DB_05[標準鍵],M128)&gt;1,"標準鍵重複",IF(AND(G128&lt;&gt;"",H128&lt;&gt;"",G128&gt;H128),"日期起迄錯誤",IF(OR(AND(E128&lt;&gt;"",NOT(ISNUMBER(E128))),AND(F128&lt;&gt;"",NOT(ISNUMBER(F128)))),"標準非數值",IF(AND(J128="已核對",OR(K128="",NOT(ISNUMBER(L128)),NOT(ISNUMBER(G128)))),"缺核對資料","OK"))))))</f>
        <v/>
      </c>
    </row>
    <row r="129" ht="66" customHeight="1">
      <c r="A129" s="2" t="inlineStr">
        <is>
          <t>TW-SOIL-FOOD-20110131</t>
        </is>
      </c>
      <c r="B129" s="2" t="inlineStr">
        <is>
          <t>土壤</t>
        </is>
      </c>
      <c r="C129" s="2" t="inlineStr">
        <is>
          <t>汞</t>
        </is>
      </c>
      <c r="D129" s="2" t="inlineStr">
        <is>
          <t>mg/kg</t>
        </is>
      </c>
      <c r="E129" s="97" t="n">
        <v>5</v>
      </c>
      <c r="F129" s="97" t="n">
        <v>2</v>
      </c>
      <c r="G129" s="98" t="n">
        <v>40574</v>
      </c>
      <c r="H129" s="98" t="n"/>
      <c r="I129" s="38" t="inlineStr">
        <is>
          <t>土壤管制§5／監測§4(2011-01-31)；食用作物農地。濃度以土壤乾基計。</t>
        </is>
      </c>
      <c r="J129" s="2" t="inlineStr">
        <is>
          <t>已核對</t>
        </is>
      </c>
      <c r="K129" s="2" t="inlineStr">
        <is>
          <t>官方條文核對（自動）</t>
        </is>
      </c>
      <c r="L129" s="98" t="n">
        <v>46297</v>
      </c>
      <c r="M129" s="1">
        <f>IF(OR(A129="",B129="",C129=""),"",A129&amp;"|"&amp;B129&amp;"|"&amp;C129)</f>
        <v/>
      </c>
      <c r="N129" s="33">
        <f>IF(COUNTA(A129:L129)=0,"",IF(OR(A129="",B129="",C129="",D129="",I129="",J129=""),"缺必要欄位",IF(COUNTIFS(DB_05[標準鍵],M129)&gt;1,"標準鍵重複",IF(AND(G129&lt;&gt;"",H129&lt;&gt;"",G129&gt;H129),"日期起迄錯誤",IF(OR(AND(E129&lt;&gt;"",NOT(ISNUMBER(E129))),AND(F129&lt;&gt;"",NOT(ISNUMBER(F129)))),"標準非數值",IF(AND(J129="已核對",OR(K129="",NOT(ISNUMBER(L129)),NOT(ISNUMBER(G129)))),"缺核對資料","OK"))))))</f>
        <v/>
      </c>
    </row>
    <row r="130" ht="66" customHeight="1">
      <c r="A130" s="2" t="inlineStr">
        <is>
          <t>TW-SOIL-20110131</t>
        </is>
      </c>
      <c r="B130" s="2" t="inlineStr">
        <is>
          <t>土壤</t>
        </is>
      </c>
      <c r="C130" s="2" t="inlineStr">
        <is>
          <t>鎳</t>
        </is>
      </c>
      <c r="D130" s="2" t="inlineStr">
        <is>
          <t>mg/kg</t>
        </is>
      </c>
      <c r="E130" s="97" t="n">
        <v>200</v>
      </c>
      <c r="F130" s="97" t="n">
        <v>130</v>
      </c>
      <c r="G130" s="98" t="n">
        <v>40574</v>
      </c>
      <c r="H130" s="98" t="n"/>
      <c r="I130" s="38" t="inlineStr">
        <is>
          <t>土壤管制§5／監測§4(2011-01-31)；一般土壤；食用作物農地須改選農地版本。濃度以土壤乾基計。</t>
        </is>
      </c>
      <c r="J130" s="2" t="inlineStr">
        <is>
          <t>已核對</t>
        </is>
      </c>
      <c r="K130" s="2" t="inlineStr">
        <is>
          <t>官方條文核對（自動）</t>
        </is>
      </c>
      <c r="L130" s="98" t="n">
        <v>46297</v>
      </c>
      <c r="M130" s="1">
        <f>IF(OR(A130="",B130="",C130=""),"",A130&amp;"|"&amp;B130&amp;"|"&amp;C130)</f>
        <v/>
      </c>
      <c r="N130" s="33">
        <f>IF(COUNTA(A130:L130)=0,"",IF(OR(A130="",B130="",C130="",D130="",I130="",J130=""),"缺必要欄位",IF(COUNTIFS(DB_05[標準鍵],M130)&gt;1,"標準鍵重複",IF(AND(G130&lt;&gt;"",H130&lt;&gt;"",G130&gt;H130),"日期起迄錯誤",IF(OR(AND(E130&lt;&gt;"",NOT(ISNUMBER(E130))),AND(F130&lt;&gt;"",NOT(ISNUMBER(F130)))),"標準非數值",IF(AND(J130="已核對",OR(K130="",NOT(ISNUMBER(L130)),NOT(ISNUMBER(G130)))),"缺核對資料","OK"))))))</f>
        <v/>
      </c>
    </row>
    <row r="131" ht="66" customHeight="1">
      <c r="A131" s="2" t="inlineStr">
        <is>
          <t>TW-SOIL-FOOD-20110131</t>
        </is>
      </c>
      <c r="B131" s="2" t="inlineStr">
        <is>
          <t>土壤</t>
        </is>
      </c>
      <c r="C131" s="2" t="inlineStr">
        <is>
          <t>鎳</t>
        </is>
      </c>
      <c r="D131" s="2" t="inlineStr">
        <is>
          <t>mg/kg</t>
        </is>
      </c>
      <c r="E131" s="97" t="n">
        <v>200</v>
      </c>
      <c r="F131" s="97" t="n">
        <v>130</v>
      </c>
      <c r="G131" s="98" t="n">
        <v>40574</v>
      </c>
      <c r="H131" s="98" t="n"/>
      <c r="I131" s="38" t="inlineStr">
        <is>
          <t>土壤管制§5／監測§4(2011-01-31)；食用作物農地。濃度以土壤乾基計。</t>
        </is>
      </c>
      <c r="J131" s="2" t="inlineStr">
        <is>
          <t>已核對</t>
        </is>
      </c>
      <c r="K131" s="2" t="inlineStr">
        <is>
          <t>官方條文核對（自動）</t>
        </is>
      </c>
      <c r="L131" s="98" t="n">
        <v>46297</v>
      </c>
      <c r="M131" s="1">
        <f>IF(OR(A131="",B131="",C131=""),"",A131&amp;"|"&amp;B131&amp;"|"&amp;C131)</f>
        <v/>
      </c>
      <c r="N131" s="33">
        <f>IF(COUNTA(A131:L131)=0,"",IF(OR(A131="",B131="",C131="",D131="",I131="",J131=""),"缺必要欄位",IF(COUNTIFS(DB_05[標準鍵],M131)&gt;1,"標準鍵重複",IF(AND(G131&lt;&gt;"",H131&lt;&gt;"",G131&gt;H131),"日期起迄錯誤",IF(OR(AND(E131&lt;&gt;"",NOT(ISNUMBER(E131))),AND(F131&lt;&gt;"",NOT(ISNUMBER(F131)))),"標準非數值",IF(AND(J131="已核對",OR(K131="",NOT(ISNUMBER(L131)),NOT(ISNUMBER(G131)))),"缺核對資料","OK"))))))</f>
        <v/>
      </c>
    </row>
    <row r="132" ht="66" customHeight="1">
      <c r="A132" s="2" t="inlineStr">
        <is>
          <t>TW-SOIL-20110131</t>
        </is>
      </c>
      <c r="B132" s="2" t="inlineStr">
        <is>
          <t>土壤</t>
        </is>
      </c>
      <c r="C132" s="2" t="inlineStr">
        <is>
          <t>鉛</t>
        </is>
      </c>
      <c r="D132" s="2" t="inlineStr">
        <is>
          <t>mg/kg</t>
        </is>
      </c>
      <c r="E132" s="97" t="n">
        <v>2000</v>
      </c>
      <c r="F132" s="97" t="n">
        <v>1000</v>
      </c>
      <c r="G132" s="98" t="n">
        <v>40574</v>
      </c>
      <c r="H132" s="98" t="n"/>
      <c r="I132" s="38" t="inlineStr">
        <is>
          <t>土壤管制§5／監測§4(2011-01-31)；一般土壤；食用作物農地須改選農地版本。濃度以土壤乾基計。</t>
        </is>
      </c>
      <c r="J132" s="2" t="inlineStr">
        <is>
          <t>已核對</t>
        </is>
      </c>
      <c r="K132" s="2" t="inlineStr">
        <is>
          <t>官方條文核對（自動）</t>
        </is>
      </c>
      <c r="L132" s="98" t="n">
        <v>46297</v>
      </c>
      <c r="M132" s="1">
        <f>IF(OR(A132="",B132="",C132=""),"",A132&amp;"|"&amp;B132&amp;"|"&amp;C132)</f>
        <v/>
      </c>
      <c r="N132" s="33">
        <f>IF(COUNTA(A132:L132)=0,"",IF(OR(A132="",B132="",C132="",D132="",I132="",J132=""),"缺必要欄位",IF(COUNTIFS(DB_05[標準鍵],M132)&gt;1,"標準鍵重複",IF(AND(G132&lt;&gt;"",H132&lt;&gt;"",G132&gt;H132),"日期起迄錯誤",IF(OR(AND(E132&lt;&gt;"",NOT(ISNUMBER(E132))),AND(F132&lt;&gt;"",NOT(ISNUMBER(F132)))),"標準非數值",IF(AND(J132="已核對",OR(K132="",NOT(ISNUMBER(L132)),NOT(ISNUMBER(G132)))),"缺核對資料","OK"))))))</f>
        <v/>
      </c>
    </row>
    <row r="133" ht="66" customHeight="1">
      <c r="A133" s="2" t="inlineStr">
        <is>
          <t>TW-SOIL-FOOD-20110131</t>
        </is>
      </c>
      <c r="B133" s="2" t="inlineStr">
        <is>
          <t>土壤</t>
        </is>
      </c>
      <c r="C133" s="2" t="inlineStr">
        <is>
          <t>鉛</t>
        </is>
      </c>
      <c r="D133" s="2" t="inlineStr">
        <is>
          <t>mg/kg</t>
        </is>
      </c>
      <c r="E133" s="97" t="n">
        <v>500</v>
      </c>
      <c r="F133" s="97" t="n">
        <v>300</v>
      </c>
      <c r="G133" s="98" t="n">
        <v>40574</v>
      </c>
      <c r="H133" s="98" t="n"/>
      <c r="I133" s="38" t="inlineStr">
        <is>
          <t>土壤管制§5／監測§4(2011-01-31)；食用作物農地。濃度以土壤乾基計。</t>
        </is>
      </c>
      <c r="J133" s="2" t="inlineStr">
        <is>
          <t>已核對</t>
        </is>
      </c>
      <c r="K133" s="2" t="inlineStr">
        <is>
          <t>官方條文核對（自動）</t>
        </is>
      </c>
      <c r="L133" s="98" t="n">
        <v>46297</v>
      </c>
      <c r="M133" s="1">
        <f>IF(OR(A133="",B133="",C133=""),"",A133&amp;"|"&amp;B133&amp;"|"&amp;C133)</f>
        <v/>
      </c>
      <c r="N133" s="33">
        <f>IF(COUNTA(A133:L133)=0,"",IF(OR(A133="",B133="",C133="",D133="",I133="",J133=""),"缺必要欄位",IF(COUNTIFS(DB_05[標準鍵],M133)&gt;1,"標準鍵重複",IF(AND(G133&lt;&gt;"",H133&lt;&gt;"",G133&gt;H133),"日期起迄錯誤",IF(OR(AND(E133&lt;&gt;"",NOT(ISNUMBER(E133))),AND(F133&lt;&gt;"",NOT(ISNUMBER(F133)))),"標準非數值",IF(AND(J133="已核對",OR(K133="",NOT(ISNUMBER(L133)),NOT(ISNUMBER(G133)))),"缺核對資料","OK"))))))</f>
        <v/>
      </c>
    </row>
    <row r="134" ht="66" customHeight="1">
      <c r="A134" s="2" t="inlineStr">
        <is>
          <t>TW-SOIL-20110131</t>
        </is>
      </c>
      <c r="B134" s="2" t="inlineStr">
        <is>
          <t>土壤</t>
        </is>
      </c>
      <c r="C134" s="2" t="inlineStr">
        <is>
          <t>鋅</t>
        </is>
      </c>
      <c r="D134" s="2" t="inlineStr">
        <is>
          <t>mg/kg</t>
        </is>
      </c>
      <c r="E134" s="97" t="n">
        <v>2000</v>
      </c>
      <c r="F134" s="97" t="n">
        <v>1000</v>
      </c>
      <c r="G134" s="98" t="n">
        <v>40574</v>
      </c>
      <c r="H134" s="98" t="n"/>
      <c r="I134" s="38" t="inlineStr">
        <is>
          <t>土壤管制§5／監測§4(2011-01-31)；一般土壤；食用作物農地須改選農地版本。濃度以土壤乾基計。</t>
        </is>
      </c>
      <c r="J134" s="2" t="inlineStr">
        <is>
          <t>已核對</t>
        </is>
      </c>
      <c r="K134" s="2" t="inlineStr">
        <is>
          <t>官方條文核對（自動）</t>
        </is>
      </c>
      <c r="L134" s="98" t="n">
        <v>46297</v>
      </c>
      <c r="M134" s="1">
        <f>IF(OR(A134="",B134="",C134=""),"",A134&amp;"|"&amp;B134&amp;"|"&amp;C134)</f>
        <v/>
      </c>
      <c r="N134" s="33">
        <f>IF(COUNTA(A134:L134)=0,"",IF(OR(A134="",B134="",C134="",D134="",I134="",J134=""),"缺必要欄位",IF(COUNTIFS(DB_05[標準鍵],M134)&gt;1,"標準鍵重複",IF(AND(G134&lt;&gt;"",H134&lt;&gt;"",G134&gt;H134),"日期起迄錯誤",IF(OR(AND(E134&lt;&gt;"",NOT(ISNUMBER(E134))),AND(F134&lt;&gt;"",NOT(ISNUMBER(F134)))),"標準非數值",IF(AND(J134="已核對",OR(K134="",NOT(ISNUMBER(L134)),NOT(ISNUMBER(G134)))),"缺核對資料","OK"))))))</f>
        <v/>
      </c>
    </row>
    <row r="135" ht="66" customHeight="1">
      <c r="A135" s="2" t="inlineStr">
        <is>
          <t>TW-SOIL-FOOD-20110131</t>
        </is>
      </c>
      <c r="B135" s="2" t="inlineStr">
        <is>
          <t>土壤</t>
        </is>
      </c>
      <c r="C135" s="2" t="inlineStr">
        <is>
          <t>鋅</t>
        </is>
      </c>
      <c r="D135" s="2" t="inlineStr">
        <is>
          <t>mg/kg</t>
        </is>
      </c>
      <c r="E135" s="97" t="n">
        <v>600</v>
      </c>
      <c r="F135" s="97" t="n">
        <v>260</v>
      </c>
      <c r="G135" s="98" t="n">
        <v>40574</v>
      </c>
      <c r="H135" s="98" t="n"/>
      <c r="I135" s="38" t="inlineStr">
        <is>
          <t>土壤管制§5／監測§4(2011-01-31)；食用作物農地。濃度以土壤乾基計。</t>
        </is>
      </c>
      <c r="J135" s="2" t="inlineStr">
        <is>
          <t>已核對</t>
        </is>
      </c>
      <c r="K135" s="2" t="inlineStr">
        <is>
          <t>官方條文核對（自動）</t>
        </is>
      </c>
      <c r="L135" s="98" t="n">
        <v>46297</v>
      </c>
      <c r="M135" s="1">
        <f>IF(OR(A135="",B135="",C135=""),"",A135&amp;"|"&amp;B135&amp;"|"&amp;C135)</f>
        <v/>
      </c>
      <c r="N135" s="33">
        <f>IF(COUNTA(A135:L135)=0,"",IF(OR(A135="",B135="",C135="",D135="",I135="",J135=""),"缺必要欄位",IF(COUNTIFS(DB_05[標準鍵],M135)&gt;1,"標準鍵重複",IF(AND(G135&lt;&gt;"",H135&lt;&gt;"",G135&gt;H135),"日期起迄錯誤",IF(OR(AND(E135&lt;&gt;"",NOT(ISNUMBER(E135))),AND(F135&lt;&gt;"",NOT(ISNUMBER(F135)))),"標準非數值",IF(AND(J135="已核對",OR(K135="",NOT(ISNUMBER(L135)),NOT(ISNUMBER(G135)))),"缺核對資料","OK"))))))</f>
        <v/>
      </c>
    </row>
    <row r="136" ht="66" customHeight="1">
      <c r="A136" s="2" t="inlineStr">
        <is>
          <t>TW-SOIL-20110131</t>
        </is>
      </c>
      <c r="B136" s="2" t="inlineStr">
        <is>
          <t>土壤</t>
        </is>
      </c>
      <c r="C136" s="2" t="inlineStr">
        <is>
          <t>苯</t>
        </is>
      </c>
      <c r="D136" s="2" t="inlineStr">
        <is>
          <t>mg/kg</t>
        </is>
      </c>
      <c r="E136" s="97" t="n">
        <v>5</v>
      </c>
      <c r="F136" s="97" t="n"/>
      <c r="G136" s="98" t="n">
        <v>40574</v>
      </c>
      <c r="H136" s="98" t="n"/>
      <c r="I136" s="38" t="inlineStr">
        <is>
          <t>土壤管制§5／監測§4(2011-01-31)；一般土壤；食用作物農地須改選農地版本。濃度以土壤乾基計。</t>
        </is>
      </c>
      <c r="J136" s="2" t="inlineStr">
        <is>
          <t>已核對</t>
        </is>
      </c>
      <c r="K136" s="2" t="inlineStr">
        <is>
          <t>官方條文核對（自動）</t>
        </is>
      </c>
      <c r="L136" s="98" t="n">
        <v>46297</v>
      </c>
      <c r="M136" s="1">
        <f>IF(OR(A136="",B136="",C136=""),"",A136&amp;"|"&amp;B136&amp;"|"&amp;C136)</f>
        <v/>
      </c>
      <c r="N136" s="33">
        <f>IF(COUNTA(A136:L136)=0,"",IF(OR(A136="",B136="",C136="",D136="",I136="",J136=""),"缺必要欄位",IF(COUNTIFS(DB_05[標準鍵],M136)&gt;1,"標準鍵重複",IF(AND(G136&lt;&gt;"",H136&lt;&gt;"",G136&gt;H136),"日期起迄錯誤",IF(OR(AND(E136&lt;&gt;"",NOT(ISNUMBER(E136))),AND(F136&lt;&gt;"",NOT(ISNUMBER(F136)))),"標準非數值",IF(AND(J136="已核對",OR(K136="",NOT(ISNUMBER(L136)),NOT(ISNUMBER(G136)))),"缺核對資料","OK"))))))</f>
        <v/>
      </c>
    </row>
    <row r="137" ht="66" customHeight="1">
      <c r="A137" s="2" t="inlineStr">
        <is>
          <t>TW-SOIL-FOOD-20110131</t>
        </is>
      </c>
      <c r="B137" s="2" t="inlineStr">
        <is>
          <t>土壤</t>
        </is>
      </c>
      <c r="C137" s="2" t="inlineStr">
        <is>
          <t>苯</t>
        </is>
      </c>
      <c r="D137" s="2" t="inlineStr">
        <is>
          <t>mg/kg</t>
        </is>
      </c>
      <c r="E137" s="97" t="n">
        <v>5</v>
      </c>
      <c r="F137" s="97" t="n"/>
      <c r="G137" s="98" t="n">
        <v>40574</v>
      </c>
      <c r="H137" s="98" t="n"/>
      <c r="I137" s="38" t="inlineStr">
        <is>
          <t>土壤管制§5／監測§4(2011-01-31)；食用作物農地。濃度以土壤乾基計。</t>
        </is>
      </c>
      <c r="J137" s="2" t="inlineStr">
        <is>
          <t>已核對</t>
        </is>
      </c>
      <c r="K137" s="2" t="inlineStr">
        <is>
          <t>官方條文核對（自動）</t>
        </is>
      </c>
      <c r="L137" s="98" t="n">
        <v>46297</v>
      </c>
      <c r="M137" s="1">
        <f>IF(OR(A137="",B137="",C137=""),"",A137&amp;"|"&amp;B137&amp;"|"&amp;C137)</f>
        <v/>
      </c>
      <c r="N137" s="33">
        <f>IF(COUNTA(A137:L137)=0,"",IF(OR(A137="",B137="",C137="",D137="",I137="",J137=""),"缺必要欄位",IF(COUNTIFS(DB_05[標準鍵],M137)&gt;1,"標準鍵重複",IF(AND(G137&lt;&gt;"",H137&lt;&gt;"",G137&gt;H137),"日期起迄錯誤",IF(OR(AND(E137&lt;&gt;"",NOT(ISNUMBER(E137))),AND(F137&lt;&gt;"",NOT(ISNUMBER(F137)))),"標準非數值",IF(AND(J137="已核對",OR(K137="",NOT(ISNUMBER(L137)),NOT(ISNUMBER(G137)))),"缺核對資料","OK"))))))</f>
        <v/>
      </c>
    </row>
    <row r="138" ht="66" customHeight="1">
      <c r="A138" s="2" t="inlineStr">
        <is>
          <t>TW-SOIL-20110131</t>
        </is>
      </c>
      <c r="B138" s="2" t="inlineStr">
        <is>
          <t>土壤</t>
        </is>
      </c>
      <c r="C138" s="2" t="inlineStr">
        <is>
          <t>四氯化碳</t>
        </is>
      </c>
      <c r="D138" s="2" t="inlineStr">
        <is>
          <t>mg/kg</t>
        </is>
      </c>
      <c r="E138" s="97" t="n">
        <v>5</v>
      </c>
      <c r="F138" s="97" t="n"/>
      <c r="G138" s="98" t="n">
        <v>40574</v>
      </c>
      <c r="H138" s="98" t="n"/>
      <c r="I138" s="38" t="inlineStr">
        <is>
          <t>土壤管制§5／監測§4(2011-01-31)；一般土壤；食用作物農地須改選農地版本。濃度以土壤乾基計。</t>
        </is>
      </c>
      <c r="J138" s="2" t="inlineStr">
        <is>
          <t>已核對</t>
        </is>
      </c>
      <c r="K138" s="2" t="inlineStr">
        <is>
          <t>官方條文核對（自動）</t>
        </is>
      </c>
      <c r="L138" s="98" t="n">
        <v>46297</v>
      </c>
      <c r="M138" s="1">
        <f>IF(OR(A138="",B138="",C138=""),"",A138&amp;"|"&amp;B138&amp;"|"&amp;C138)</f>
        <v/>
      </c>
      <c r="N138" s="33">
        <f>IF(COUNTA(A138:L138)=0,"",IF(OR(A138="",B138="",C138="",D138="",I138="",J138=""),"缺必要欄位",IF(COUNTIFS(DB_05[標準鍵],M138)&gt;1,"標準鍵重複",IF(AND(G138&lt;&gt;"",H138&lt;&gt;"",G138&gt;H138),"日期起迄錯誤",IF(OR(AND(E138&lt;&gt;"",NOT(ISNUMBER(E138))),AND(F138&lt;&gt;"",NOT(ISNUMBER(F138)))),"標準非數值",IF(AND(J138="已核對",OR(K138="",NOT(ISNUMBER(L138)),NOT(ISNUMBER(G138)))),"缺核對資料","OK"))))))</f>
        <v/>
      </c>
    </row>
    <row r="139" ht="66" customHeight="1">
      <c r="A139" s="2" t="inlineStr">
        <is>
          <t>TW-SOIL-FOOD-20110131</t>
        </is>
      </c>
      <c r="B139" s="2" t="inlineStr">
        <is>
          <t>土壤</t>
        </is>
      </c>
      <c r="C139" s="2" t="inlineStr">
        <is>
          <t>四氯化碳</t>
        </is>
      </c>
      <c r="D139" s="2" t="inlineStr">
        <is>
          <t>mg/kg</t>
        </is>
      </c>
      <c r="E139" s="97" t="n">
        <v>5</v>
      </c>
      <c r="F139" s="97" t="n"/>
      <c r="G139" s="98" t="n">
        <v>40574</v>
      </c>
      <c r="H139" s="98" t="n"/>
      <c r="I139" s="38" t="inlineStr">
        <is>
          <t>土壤管制§5／監測§4(2011-01-31)；食用作物農地。濃度以土壤乾基計。</t>
        </is>
      </c>
      <c r="J139" s="2" t="inlineStr">
        <is>
          <t>已核對</t>
        </is>
      </c>
      <c r="K139" s="2" t="inlineStr">
        <is>
          <t>官方條文核對（自動）</t>
        </is>
      </c>
      <c r="L139" s="98" t="n">
        <v>46297</v>
      </c>
      <c r="M139" s="1">
        <f>IF(OR(A139="",B139="",C139=""),"",A139&amp;"|"&amp;B139&amp;"|"&amp;C139)</f>
        <v/>
      </c>
      <c r="N139" s="33">
        <f>IF(COUNTA(A139:L139)=0,"",IF(OR(A139="",B139="",C139="",D139="",I139="",J139=""),"缺必要欄位",IF(COUNTIFS(DB_05[標準鍵],M139)&gt;1,"標準鍵重複",IF(AND(G139&lt;&gt;"",H139&lt;&gt;"",G139&gt;H139),"日期起迄錯誤",IF(OR(AND(E139&lt;&gt;"",NOT(ISNUMBER(E139))),AND(F139&lt;&gt;"",NOT(ISNUMBER(F139)))),"標準非數值",IF(AND(J139="已核對",OR(K139="",NOT(ISNUMBER(L139)),NOT(ISNUMBER(G139)))),"缺核對資料","OK"))))))</f>
        <v/>
      </c>
    </row>
    <row r="140" ht="66" customHeight="1">
      <c r="A140" s="2" t="inlineStr">
        <is>
          <t>TW-SOIL-20110131</t>
        </is>
      </c>
      <c r="B140" s="2" t="inlineStr">
        <is>
          <t>土壤</t>
        </is>
      </c>
      <c r="C140" s="2" t="inlineStr">
        <is>
          <t>氯仿</t>
        </is>
      </c>
      <c r="D140" s="2" t="inlineStr">
        <is>
          <t>mg/kg</t>
        </is>
      </c>
      <c r="E140" s="97" t="n">
        <v>100</v>
      </c>
      <c r="F140" s="97" t="n"/>
      <c r="G140" s="98" t="n">
        <v>40574</v>
      </c>
      <c r="H140" s="98" t="n"/>
      <c r="I140" s="38" t="inlineStr">
        <is>
          <t>土壤管制§5／監測§4(2011-01-31)；一般土壤；食用作物農地須改選農地版本。濃度以土壤乾基計。</t>
        </is>
      </c>
      <c r="J140" s="2" t="inlineStr">
        <is>
          <t>已核對</t>
        </is>
      </c>
      <c r="K140" s="2" t="inlineStr">
        <is>
          <t>官方條文核對（自動）</t>
        </is>
      </c>
      <c r="L140" s="98" t="n">
        <v>46297</v>
      </c>
      <c r="M140" s="1">
        <f>IF(OR(A140="",B140="",C140=""),"",A140&amp;"|"&amp;B140&amp;"|"&amp;C140)</f>
        <v/>
      </c>
      <c r="N140" s="33">
        <f>IF(COUNTA(A140:L140)=0,"",IF(OR(A140="",B140="",C140="",D140="",I140="",J140=""),"缺必要欄位",IF(COUNTIFS(DB_05[標準鍵],M140)&gt;1,"標準鍵重複",IF(AND(G140&lt;&gt;"",H140&lt;&gt;"",G140&gt;H140),"日期起迄錯誤",IF(OR(AND(E140&lt;&gt;"",NOT(ISNUMBER(E140))),AND(F140&lt;&gt;"",NOT(ISNUMBER(F140)))),"標準非數值",IF(AND(J140="已核對",OR(K140="",NOT(ISNUMBER(L140)),NOT(ISNUMBER(G140)))),"缺核對資料","OK"))))))</f>
        <v/>
      </c>
    </row>
    <row r="141" ht="66" customHeight="1">
      <c r="A141" s="2" t="inlineStr">
        <is>
          <t>TW-SOIL-FOOD-20110131</t>
        </is>
      </c>
      <c r="B141" s="2" t="inlineStr">
        <is>
          <t>土壤</t>
        </is>
      </c>
      <c r="C141" s="2" t="inlineStr">
        <is>
          <t>氯仿</t>
        </is>
      </c>
      <c r="D141" s="2" t="inlineStr">
        <is>
          <t>mg/kg</t>
        </is>
      </c>
      <c r="E141" s="97" t="n">
        <v>100</v>
      </c>
      <c r="F141" s="97" t="n"/>
      <c r="G141" s="98" t="n">
        <v>40574</v>
      </c>
      <c r="H141" s="98" t="n"/>
      <c r="I141" s="38" t="inlineStr">
        <is>
          <t>土壤管制§5／監測§4(2011-01-31)；食用作物農地。濃度以土壤乾基計。</t>
        </is>
      </c>
      <c r="J141" s="2" t="inlineStr">
        <is>
          <t>已核對</t>
        </is>
      </c>
      <c r="K141" s="2" t="inlineStr">
        <is>
          <t>官方條文核對（自動）</t>
        </is>
      </c>
      <c r="L141" s="98" t="n">
        <v>46297</v>
      </c>
      <c r="M141" s="1">
        <f>IF(OR(A141="",B141="",C141=""),"",A141&amp;"|"&amp;B141&amp;"|"&amp;C141)</f>
        <v/>
      </c>
      <c r="N141" s="33">
        <f>IF(COUNTA(A141:L141)=0,"",IF(OR(A141="",B141="",C141="",D141="",I141="",J141=""),"缺必要欄位",IF(COUNTIFS(DB_05[標準鍵],M141)&gt;1,"標準鍵重複",IF(AND(G141&lt;&gt;"",H141&lt;&gt;"",G141&gt;H141),"日期起迄錯誤",IF(OR(AND(E141&lt;&gt;"",NOT(ISNUMBER(E141))),AND(F141&lt;&gt;"",NOT(ISNUMBER(F141)))),"標準非數值",IF(AND(J141="已核對",OR(K141="",NOT(ISNUMBER(L141)),NOT(ISNUMBER(G141)))),"缺核對資料","OK"))))))</f>
        <v/>
      </c>
    </row>
    <row r="142" ht="66" customHeight="1">
      <c r="A142" s="2" t="inlineStr">
        <is>
          <t>TW-SOIL-20110131</t>
        </is>
      </c>
      <c r="B142" s="2" t="inlineStr">
        <is>
          <t>土壤</t>
        </is>
      </c>
      <c r="C142" s="2" t="inlineStr">
        <is>
          <t>1,2-二氯乙烷</t>
        </is>
      </c>
      <c r="D142" s="2" t="inlineStr">
        <is>
          <t>mg/kg</t>
        </is>
      </c>
      <c r="E142" s="97" t="n">
        <v>8</v>
      </c>
      <c r="F142" s="97" t="n"/>
      <c r="G142" s="98" t="n">
        <v>40574</v>
      </c>
      <c r="H142" s="98" t="n"/>
      <c r="I142" s="38" t="inlineStr">
        <is>
          <t>土壤管制§5／監測§4(2011-01-31)；一般土壤；食用作物農地須改選農地版本。濃度以土壤乾基計。</t>
        </is>
      </c>
      <c r="J142" s="2" t="inlineStr">
        <is>
          <t>已核對</t>
        </is>
      </c>
      <c r="K142" s="2" t="inlineStr">
        <is>
          <t>官方條文核對（自動）</t>
        </is>
      </c>
      <c r="L142" s="98" t="n">
        <v>46297</v>
      </c>
      <c r="M142" s="1">
        <f>IF(OR(A142="",B142="",C142=""),"",A142&amp;"|"&amp;B142&amp;"|"&amp;C142)</f>
        <v/>
      </c>
      <c r="N142" s="33">
        <f>IF(COUNTA(A142:L142)=0,"",IF(OR(A142="",B142="",C142="",D142="",I142="",J142=""),"缺必要欄位",IF(COUNTIFS(DB_05[標準鍵],M142)&gt;1,"標準鍵重複",IF(AND(G142&lt;&gt;"",H142&lt;&gt;"",G142&gt;H142),"日期起迄錯誤",IF(OR(AND(E142&lt;&gt;"",NOT(ISNUMBER(E142))),AND(F142&lt;&gt;"",NOT(ISNUMBER(F142)))),"標準非數值",IF(AND(J142="已核對",OR(K142="",NOT(ISNUMBER(L142)),NOT(ISNUMBER(G142)))),"缺核對資料","OK"))))))</f>
        <v/>
      </c>
    </row>
    <row r="143" ht="66" customHeight="1">
      <c r="A143" s="2" t="inlineStr">
        <is>
          <t>TW-SOIL-FOOD-20110131</t>
        </is>
      </c>
      <c r="B143" s="2" t="inlineStr">
        <is>
          <t>土壤</t>
        </is>
      </c>
      <c r="C143" s="2" t="inlineStr">
        <is>
          <t>1,2-二氯乙烷</t>
        </is>
      </c>
      <c r="D143" s="2" t="inlineStr">
        <is>
          <t>mg/kg</t>
        </is>
      </c>
      <c r="E143" s="97" t="n">
        <v>8</v>
      </c>
      <c r="F143" s="97" t="n"/>
      <c r="G143" s="98" t="n">
        <v>40574</v>
      </c>
      <c r="H143" s="98" t="n"/>
      <c r="I143" s="38" t="inlineStr">
        <is>
          <t>土壤管制§5／監測§4(2011-01-31)；食用作物農地。濃度以土壤乾基計。</t>
        </is>
      </c>
      <c r="J143" s="2" t="inlineStr">
        <is>
          <t>已核對</t>
        </is>
      </c>
      <c r="K143" s="2" t="inlineStr">
        <is>
          <t>官方條文核對（自動）</t>
        </is>
      </c>
      <c r="L143" s="98" t="n">
        <v>46297</v>
      </c>
      <c r="M143" s="1">
        <f>IF(OR(A143="",B143="",C143=""),"",A143&amp;"|"&amp;B143&amp;"|"&amp;C143)</f>
        <v/>
      </c>
      <c r="N143" s="33">
        <f>IF(COUNTA(A143:L143)=0,"",IF(OR(A143="",B143="",C143="",D143="",I143="",J143=""),"缺必要欄位",IF(COUNTIFS(DB_05[標準鍵],M143)&gt;1,"標準鍵重複",IF(AND(G143&lt;&gt;"",H143&lt;&gt;"",G143&gt;H143),"日期起迄錯誤",IF(OR(AND(E143&lt;&gt;"",NOT(ISNUMBER(E143))),AND(F143&lt;&gt;"",NOT(ISNUMBER(F143)))),"標準非數值",IF(AND(J143="已核對",OR(K143="",NOT(ISNUMBER(L143)),NOT(ISNUMBER(G143)))),"缺核對資料","OK"))))))</f>
        <v/>
      </c>
    </row>
    <row r="144" ht="66" customHeight="1">
      <c r="A144" s="2" t="inlineStr">
        <is>
          <t>TW-SOIL-20110131</t>
        </is>
      </c>
      <c r="B144" s="2" t="inlineStr">
        <is>
          <t>土壤</t>
        </is>
      </c>
      <c r="C144" s="2" t="inlineStr">
        <is>
          <t>順-1,2-二氯乙烯</t>
        </is>
      </c>
      <c r="D144" s="2" t="inlineStr">
        <is>
          <t>mg/kg</t>
        </is>
      </c>
      <c r="E144" s="97" t="n">
        <v>7</v>
      </c>
      <c r="F144" s="97" t="n"/>
      <c r="G144" s="98" t="n">
        <v>40574</v>
      </c>
      <c r="H144" s="98" t="n"/>
      <c r="I144" s="38" t="inlineStr">
        <is>
          <t>土壤管制§5／監測§4(2011-01-31)；一般土壤；食用作物農地須改選農地版本。濃度以土壤乾基計。</t>
        </is>
      </c>
      <c r="J144" s="2" t="inlineStr">
        <is>
          <t>已核對</t>
        </is>
      </c>
      <c r="K144" s="2" t="inlineStr">
        <is>
          <t>官方條文核對（自動）</t>
        </is>
      </c>
      <c r="L144" s="98" t="n">
        <v>46297</v>
      </c>
      <c r="M144" s="1">
        <f>IF(OR(A144="",B144="",C144=""),"",A144&amp;"|"&amp;B144&amp;"|"&amp;C144)</f>
        <v/>
      </c>
      <c r="N144" s="33">
        <f>IF(COUNTA(A144:L144)=0,"",IF(OR(A144="",B144="",C144="",D144="",I144="",J144=""),"缺必要欄位",IF(COUNTIFS(DB_05[標準鍵],M144)&gt;1,"標準鍵重複",IF(AND(G144&lt;&gt;"",H144&lt;&gt;"",G144&gt;H144),"日期起迄錯誤",IF(OR(AND(E144&lt;&gt;"",NOT(ISNUMBER(E144))),AND(F144&lt;&gt;"",NOT(ISNUMBER(F144)))),"標準非數值",IF(AND(J144="已核對",OR(K144="",NOT(ISNUMBER(L144)),NOT(ISNUMBER(G144)))),"缺核對資料","OK"))))))</f>
        <v/>
      </c>
    </row>
    <row r="145" ht="66" customHeight="1">
      <c r="A145" s="2" t="inlineStr">
        <is>
          <t>TW-SOIL-FOOD-20110131</t>
        </is>
      </c>
      <c r="B145" s="2" t="inlineStr">
        <is>
          <t>土壤</t>
        </is>
      </c>
      <c r="C145" s="2" t="inlineStr">
        <is>
          <t>順-1,2-二氯乙烯</t>
        </is>
      </c>
      <c r="D145" s="2" t="inlineStr">
        <is>
          <t>mg/kg</t>
        </is>
      </c>
      <c r="E145" s="97" t="n">
        <v>7</v>
      </c>
      <c r="F145" s="97" t="n"/>
      <c r="G145" s="98" t="n">
        <v>40574</v>
      </c>
      <c r="H145" s="98" t="n"/>
      <c r="I145" s="38" t="inlineStr">
        <is>
          <t>土壤管制§5／監測§4(2011-01-31)；食用作物農地。濃度以土壤乾基計。</t>
        </is>
      </c>
      <c r="J145" s="2" t="inlineStr">
        <is>
          <t>已核對</t>
        </is>
      </c>
      <c r="K145" s="2" t="inlineStr">
        <is>
          <t>官方條文核對（自動）</t>
        </is>
      </c>
      <c r="L145" s="98" t="n">
        <v>46297</v>
      </c>
      <c r="M145" s="1">
        <f>IF(OR(A145="",B145="",C145=""),"",A145&amp;"|"&amp;B145&amp;"|"&amp;C145)</f>
        <v/>
      </c>
      <c r="N145" s="33">
        <f>IF(COUNTA(A145:L145)=0,"",IF(OR(A145="",B145="",C145="",D145="",I145="",J145=""),"缺必要欄位",IF(COUNTIFS(DB_05[標準鍵],M145)&gt;1,"標準鍵重複",IF(AND(G145&lt;&gt;"",H145&lt;&gt;"",G145&gt;H145),"日期起迄錯誤",IF(OR(AND(E145&lt;&gt;"",NOT(ISNUMBER(E145))),AND(F145&lt;&gt;"",NOT(ISNUMBER(F145)))),"標準非數值",IF(AND(J145="已核對",OR(K145="",NOT(ISNUMBER(L145)),NOT(ISNUMBER(G145)))),"缺核對資料","OK"))))))</f>
        <v/>
      </c>
    </row>
    <row r="146" ht="66" customHeight="1">
      <c r="A146" s="2" t="inlineStr">
        <is>
          <t>TW-SOIL-20110131</t>
        </is>
      </c>
      <c r="B146" s="2" t="inlineStr">
        <is>
          <t>土壤</t>
        </is>
      </c>
      <c r="C146" s="2" t="inlineStr">
        <is>
          <t>反-1,2-二氯乙烯</t>
        </is>
      </c>
      <c r="D146" s="2" t="inlineStr">
        <is>
          <t>mg/kg</t>
        </is>
      </c>
      <c r="E146" s="97" t="n">
        <v>50</v>
      </c>
      <c r="F146" s="97" t="n"/>
      <c r="G146" s="98" t="n">
        <v>40574</v>
      </c>
      <c r="H146" s="98" t="n"/>
      <c r="I146" s="38" t="inlineStr">
        <is>
          <t>土壤管制§5／監測§4(2011-01-31)；一般土壤；食用作物農地須改選農地版本。濃度以土壤乾基計。</t>
        </is>
      </c>
      <c r="J146" s="2" t="inlineStr">
        <is>
          <t>已核對</t>
        </is>
      </c>
      <c r="K146" s="2" t="inlineStr">
        <is>
          <t>官方條文核對（自動）</t>
        </is>
      </c>
      <c r="L146" s="98" t="n">
        <v>46297</v>
      </c>
      <c r="M146" s="1">
        <f>IF(OR(A146="",B146="",C146=""),"",A146&amp;"|"&amp;B146&amp;"|"&amp;C146)</f>
        <v/>
      </c>
      <c r="N146" s="33">
        <f>IF(COUNTA(A146:L146)=0,"",IF(OR(A146="",B146="",C146="",D146="",I146="",J146=""),"缺必要欄位",IF(COUNTIFS(DB_05[標準鍵],M146)&gt;1,"標準鍵重複",IF(AND(G146&lt;&gt;"",H146&lt;&gt;"",G146&gt;H146),"日期起迄錯誤",IF(OR(AND(E146&lt;&gt;"",NOT(ISNUMBER(E146))),AND(F146&lt;&gt;"",NOT(ISNUMBER(F146)))),"標準非數值",IF(AND(J146="已核對",OR(K146="",NOT(ISNUMBER(L146)),NOT(ISNUMBER(G146)))),"缺核對資料","OK"))))))</f>
        <v/>
      </c>
    </row>
    <row r="147" ht="66" customHeight="1">
      <c r="A147" s="2" t="inlineStr">
        <is>
          <t>TW-SOIL-FOOD-20110131</t>
        </is>
      </c>
      <c r="B147" s="2" t="inlineStr">
        <is>
          <t>土壤</t>
        </is>
      </c>
      <c r="C147" s="2" t="inlineStr">
        <is>
          <t>反-1,2-二氯乙烯</t>
        </is>
      </c>
      <c r="D147" s="2" t="inlineStr">
        <is>
          <t>mg/kg</t>
        </is>
      </c>
      <c r="E147" s="97" t="n">
        <v>50</v>
      </c>
      <c r="F147" s="97" t="n"/>
      <c r="G147" s="98" t="n">
        <v>40574</v>
      </c>
      <c r="H147" s="98" t="n"/>
      <c r="I147" s="38" t="inlineStr">
        <is>
          <t>土壤管制§5／監測§4(2011-01-31)；食用作物農地。濃度以土壤乾基計。</t>
        </is>
      </c>
      <c r="J147" s="2" t="inlineStr">
        <is>
          <t>已核對</t>
        </is>
      </c>
      <c r="K147" s="2" t="inlineStr">
        <is>
          <t>官方條文核對（自動）</t>
        </is>
      </c>
      <c r="L147" s="98" t="n">
        <v>46297</v>
      </c>
      <c r="M147" s="1">
        <f>IF(OR(A147="",B147="",C147=""),"",A147&amp;"|"&amp;B147&amp;"|"&amp;C147)</f>
        <v/>
      </c>
      <c r="N147" s="33">
        <f>IF(COUNTA(A147:L147)=0,"",IF(OR(A147="",B147="",C147="",D147="",I147="",J147=""),"缺必要欄位",IF(COUNTIFS(DB_05[標準鍵],M147)&gt;1,"標準鍵重複",IF(AND(G147&lt;&gt;"",H147&lt;&gt;"",G147&gt;H147),"日期起迄錯誤",IF(OR(AND(E147&lt;&gt;"",NOT(ISNUMBER(E147))),AND(F147&lt;&gt;"",NOT(ISNUMBER(F147)))),"標準非數值",IF(AND(J147="已核對",OR(K147="",NOT(ISNUMBER(L147)),NOT(ISNUMBER(G147)))),"缺核對資料","OK"))))))</f>
        <v/>
      </c>
    </row>
    <row r="148" ht="66" customHeight="1">
      <c r="A148" s="2" t="inlineStr">
        <is>
          <t>TW-SOIL-20110131</t>
        </is>
      </c>
      <c r="B148" s="2" t="inlineStr">
        <is>
          <t>土壤</t>
        </is>
      </c>
      <c r="C148" s="2" t="inlineStr">
        <is>
          <t>1,2-二氯丙烷</t>
        </is>
      </c>
      <c r="D148" s="2" t="inlineStr">
        <is>
          <t>mg/kg</t>
        </is>
      </c>
      <c r="E148" s="97" t="n">
        <v>0.5</v>
      </c>
      <c r="F148" s="97" t="n"/>
      <c r="G148" s="98" t="n">
        <v>40574</v>
      </c>
      <c r="H148" s="98" t="n"/>
      <c r="I148" s="38" t="inlineStr">
        <is>
          <t>土壤管制§5／監測§4(2011-01-31)；一般土壤；食用作物農地須改選農地版本。濃度以土壤乾基計。</t>
        </is>
      </c>
      <c r="J148" s="2" t="inlineStr">
        <is>
          <t>已核對</t>
        </is>
      </c>
      <c r="K148" s="2" t="inlineStr">
        <is>
          <t>官方條文核對（自動）</t>
        </is>
      </c>
      <c r="L148" s="98" t="n">
        <v>46297</v>
      </c>
      <c r="M148" s="1">
        <f>IF(OR(A148="",B148="",C148=""),"",A148&amp;"|"&amp;B148&amp;"|"&amp;C148)</f>
        <v/>
      </c>
      <c r="N148" s="33">
        <f>IF(COUNTA(A148:L148)=0,"",IF(OR(A148="",B148="",C148="",D148="",I148="",J148=""),"缺必要欄位",IF(COUNTIFS(DB_05[標準鍵],M148)&gt;1,"標準鍵重複",IF(AND(G148&lt;&gt;"",H148&lt;&gt;"",G148&gt;H148),"日期起迄錯誤",IF(OR(AND(E148&lt;&gt;"",NOT(ISNUMBER(E148))),AND(F148&lt;&gt;"",NOT(ISNUMBER(F148)))),"標準非數值",IF(AND(J148="已核對",OR(K148="",NOT(ISNUMBER(L148)),NOT(ISNUMBER(G148)))),"缺核對資料","OK"))))))</f>
        <v/>
      </c>
    </row>
    <row r="149" ht="66" customHeight="1">
      <c r="A149" s="2" t="inlineStr">
        <is>
          <t>TW-SOIL-FOOD-20110131</t>
        </is>
      </c>
      <c r="B149" s="2" t="inlineStr">
        <is>
          <t>土壤</t>
        </is>
      </c>
      <c r="C149" s="2" t="inlineStr">
        <is>
          <t>1,2-二氯丙烷</t>
        </is>
      </c>
      <c r="D149" s="2" t="inlineStr">
        <is>
          <t>mg/kg</t>
        </is>
      </c>
      <c r="E149" s="97" t="n">
        <v>0.5</v>
      </c>
      <c r="F149" s="97" t="n"/>
      <c r="G149" s="98" t="n">
        <v>40574</v>
      </c>
      <c r="H149" s="98" t="n"/>
      <c r="I149" s="38" t="inlineStr">
        <is>
          <t>土壤管制§5／監測§4(2011-01-31)；食用作物農地。濃度以土壤乾基計。</t>
        </is>
      </c>
      <c r="J149" s="2" t="inlineStr">
        <is>
          <t>已核對</t>
        </is>
      </c>
      <c r="K149" s="2" t="inlineStr">
        <is>
          <t>官方條文核對（自動）</t>
        </is>
      </c>
      <c r="L149" s="98" t="n">
        <v>46297</v>
      </c>
      <c r="M149" s="1">
        <f>IF(OR(A149="",B149="",C149=""),"",A149&amp;"|"&amp;B149&amp;"|"&amp;C149)</f>
        <v/>
      </c>
      <c r="N149" s="33">
        <f>IF(COUNTA(A149:L149)=0,"",IF(OR(A149="",B149="",C149="",D149="",I149="",J149=""),"缺必要欄位",IF(COUNTIFS(DB_05[標準鍵],M149)&gt;1,"標準鍵重複",IF(AND(G149&lt;&gt;"",H149&lt;&gt;"",G149&gt;H149),"日期起迄錯誤",IF(OR(AND(E149&lt;&gt;"",NOT(ISNUMBER(E149))),AND(F149&lt;&gt;"",NOT(ISNUMBER(F149)))),"標準非數值",IF(AND(J149="已核對",OR(K149="",NOT(ISNUMBER(L149)),NOT(ISNUMBER(G149)))),"缺核對資料","OK"))))))</f>
        <v/>
      </c>
    </row>
    <row r="150" ht="66" customHeight="1">
      <c r="A150" s="2" t="inlineStr">
        <is>
          <t>TW-SOIL-20110131</t>
        </is>
      </c>
      <c r="B150" s="2" t="inlineStr">
        <is>
          <t>土壤</t>
        </is>
      </c>
      <c r="C150" s="2" t="inlineStr">
        <is>
          <t>1,2-二氯苯</t>
        </is>
      </c>
      <c r="D150" s="2" t="inlineStr">
        <is>
          <t>mg/kg</t>
        </is>
      </c>
      <c r="E150" s="97" t="n">
        <v>100</v>
      </c>
      <c r="F150" s="97" t="n"/>
      <c r="G150" s="98" t="n">
        <v>40574</v>
      </c>
      <c r="H150" s="98" t="n"/>
      <c r="I150" s="38" t="inlineStr">
        <is>
          <t>土壤管制§5／監測§4(2011-01-31)；一般土壤；食用作物農地須改選農地版本。濃度以土壤乾基計。</t>
        </is>
      </c>
      <c r="J150" s="2" t="inlineStr">
        <is>
          <t>已核對</t>
        </is>
      </c>
      <c r="K150" s="2" t="inlineStr">
        <is>
          <t>官方條文核對（自動）</t>
        </is>
      </c>
      <c r="L150" s="98" t="n">
        <v>46297</v>
      </c>
      <c r="M150" s="1">
        <f>IF(OR(A150="",B150="",C150=""),"",A150&amp;"|"&amp;B150&amp;"|"&amp;C150)</f>
        <v/>
      </c>
      <c r="N150" s="33">
        <f>IF(COUNTA(A150:L150)=0,"",IF(OR(A150="",B150="",C150="",D150="",I150="",J150=""),"缺必要欄位",IF(COUNTIFS(DB_05[標準鍵],M150)&gt;1,"標準鍵重複",IF(AND(G150&lt;&gt;"",H150&lt;&gt;"",G150&gt;H150),"日期起迄錯誤",IF(OR(AND(E150&lt;&gt;"",NOT(ISNUMBER(E150))),AND(F150&lt;&gt;"",NOT(ISNUMBER(F150)))),"標準非數值",IF(AND(J150="已核對",OR(K150="",NOT(ISNUMBER(L150)),NOT(ISNUMBER(G150)))),"缺核對資料","OK"))))))</f>
        <v/>
      </c>
    </row>
    <row r="151" ht="66" customHeight="1">
      <c r="A151" s="2" t="inlineStr">
        <is>
          <t>TW-SOIL-FOOD-20110131</t>
        </is>
      </c>
      <c r="B151" s="2" t="inlineStr">
        <is>
          <t>土壤</t>
        </is>
      </c>
      <c r="C151" s="2" t="inlineStr">
        <is>
          <t>1,2-二氯苯</t>
        </is>
      </c>
      <c r="D151" s="2" t="inlineStr">
        <is>
          <t>mg/kg</t>
        </is>
      </c>
      <c r="E151" s="97" t="n">
        <v>100</v>
      </c>
      <c r="F151" s="97" t="n"/>
      <c r="G151" s="98" t="n">
        <v>40574</v>
      </c>
      <c r="H151" s="98" t="n"/>
      <c r="I151" s="38" t="inlineStr">
        <is>
          <t>土壤管制§5／監測§4(2011-01-31)；食用作物農地。濃度以土壤乾基計。</t>
        </is>
      </c>
      <c r="J151" s="2" t="inlineStr">
        <is>
          <t>已核對</t>
        </is>
      </c>
      <c r="K151" s="2" t="inlineStr">
        <is>
          <t>官方條文核對（自動）</t>
        </is>
      </c>
      <c r="L151" s="98" t="n">
        <v>46297</v>
      </c>
      <c r="M151" s="1">
        <f>IF(OR(A151="",B151="",C151=""),"",A151&amp;"|"&amp;B151&amp;"|"&amp;C151)</f>
        <v/>
      </c>
      <c r="N151" s="33">
        <f>IF(COUNTA(A151:L151)=0,"",IF(OR(A151="",B151="",C151="",D151="",I151="",J151=""),"缺必要欄位",IF(COUNTIFS(DB_05[標準鍵],M151)&gt;1,"標準鍵重複",IF(AND(G151&lt;&gt;"",H151&lt;&gt;"",G151&gt;H151),"日期起迄錯誤",IF(OR(AND(E151&lt;&gt;"",NOT(ISNUMBER(E151))),AND(F151&lt;&gt;"",NOT(ISNUMBER(F151)))),"標準非數值",IF(AND(J151="已核對",OR(K151="",NOT(ISNUMBER(L151)),NOT(ISNUMBER(G151)))),"缺核對資料","OK"))))))</f>
        <v/>
      </c>
    </row>
    <row r="152" ht="66" customHeight="1">
      <c r="A152" s="2" t="inlineStr">
        <is>
          <t>TW-SOIL-20110131</t>
        </is>
      </c>
      <c r="B152" s="2" t="inlineStr">
        <is>
          <t>土壤</t>
        </is>
      </c>
      <c r="C152" s="2" t="inlineStr">
        <is>
          <t>1,3-二氯苯</t>
        </is>
      </c>
      <c r="D152" s="2" t="inlineStr">
        <is>
          <t>mg/kg</t>
        </is>
      </c>
      <c r="E152" s="97" t="n">
        <v>100</v>
      </c>
      <c r="F152" s="97" t="n"/>
      <c r="G152" s="98" t="n">
        <v>40574</v>
      </c>
      <c r="H152" s="98" t="n"/>
      <c r="I152" s="38" t="inlineStr">
        <is>
          <t>土壤管制§5／監測§4(2011-01-31)；一般土壤；食用作物農地須改選農地版本。濃度以土壤乾基計。</t>
        </is>
      </c>
      <c r="J152" s="2" t="inlineStr">
        <is>
          <t>已核對</t>
        </is>
      </c>
      <c r="K152" s="2" t="inlineStr">
        <is>
          <t>官方條文核對（自動）</t>
        </is>
      </c>
      <c r="L152" s="98" t="n">
        <v>46297</v>
      </c>
      <c r="M152" s="1">
        <f>IF(OR(A152="",B152="",C152=""),"",A152&amp;"|"&amp;B152&amp;"|"&amp;C152)</f>
        <v/>
      </c>
      <c r="N152" s="33">
        <f>IF(COUNTA(A152:L152)=0,"",IF(OR(A152="",B152="",C152="",D152="",I152="",J152=""),"缺必要欄位",IF(COUNTIFS(DB_05[標準鍵],M152)&gt;1,"標準鍵重複",IF(AND(G152&lt;&gt;"",H152&lt;&gt;"",G152&gt;H152),"日期起迄錯誤",IF(OR(AND(E152&lt;&gt;"",NOT(ISNUMBER(E152))),AND(F152&lt;&gt;"",NOT(ISNUMBER(F152)))),"標準非數值",IF(AND(J152="已核對",OR(K152="",NOT(ISNUMBER(L152)),NOT(ISNUMBER(G152)))),"缺核對資料","OK"))))))</f>
        <v/>
      </c>
    </row>
    <row r="153" ht="66" customHeight="1">
      <c r="A153" s="2" t="inlineStr">
        <is>
          <t>TW-SOIL-FOOD-20110131</t>
        </is>
      </c>
      <c r="B153" s="2" t="inlineStr">
        <is>
          <t>土壤</t>
        </is>
      </c>
      <c r="C153" s="2" t="inlineStr">
        <is>
          <t>1,3-二氯苯</t>
        </is>
      </c>
      <c r="D153" s="2" t="inlineStr">
        <is>
          <t>mg/kg</t>
        </is>
      </c>
      <c r="E153" s="97" t="n">
        <v>100</v>
      </c>
      <c r="F153" s="97" t="n"/>
      <c r="G153" s="98" t="n">
        <v>40574</v>
      </c>
      <c r="H153" s="98" t="n"/>
      <c r="I153" s="38" t="inlineStr">
        <is>
          <t>土壤管制§5／監測§4(2011-01-31)；食用作物農地。濃度以土壤乾基計。</t>
        </is>
      </c>
      <c r="J153" s="2" t="inlineStr">
        <is>
          <t>已核對</t>
        </is>
      </c>
      <c r="K153" s="2" t="inlineStr">
        <is>
          <t>官方條文核對（自動）</t>
        </is>
      </c>
      <c r="L153" s="98" t="n">
        <v>46297</v>
      </c>
      <c r="M153" s="1">
        <f>IF(OR(A153="",B153="",C153=""),"",A153&amp;"|"&amp;B153&amp;"|"&amp;C153)</f>
        <v/>
      </c>
      <c r="N153" s="33">
        <f>IF(COUNTA(A153:L153)=0,"",IF(OR(A153="",B153="",C153="",D153="",I153="",J153=""),"缺必要欄位",IF(COUNTIFS(DB_05[標準鍵],M153)&gt;1,"標準鍵重複",IF(AND(G153&lt;&gt;"",H153&lt;&gt;"",G153&gt;H153),"日期起迄錯誤",IF(OR(AND(E153&lt;&gt;"",NOT(ISNUMBER(E153))),AND(F153&lt;&gt;"",NOT(ISNUMBER(F153)))),"標準非數值",IF(AND(J153="已核對",OR(K153="",NOT(ISNUMBER(L153)),NOT(ISNUMBER(G153)))),"缺核對資料","OK"))))))</f>
        <v/>
      </c>
    </row>
    <row r="154" ht="66" customHeight="1">
      <c r="A154" s="2" t="inlineStr">
        <is>
          <t>TW-SOIL-20110131</t>
        </is>
      </c>
      <c r="B154" s="2" t="inlineStr">
        <is>
          <t>土壤</t>
        </is>
      </c>
      <c r="C154" s="2" t="inlineStr">
        <is>
          <t>3,3’-二氯聯苯胺</t>
        </is>
      </c>
      <c r="D154" s="2" t="inlineStr">
        <is>
          <t>mg/kg</t>
        </is>
      </c>
      <c r="E154" s="97" t="n">
        <v>2</v>
      </c>
      <c r="F154" s="97" t="n"/>
      <c r="G154" s="98" t="n">
        <v>40574</v>
      </c>
      <c r="H154" s="98" t="n"/>
      <c r="I154" s="38" t="inlineStr">
        <is>
          <t>土壤管制§5／監測§4(2011-01-31)；一般土壤；食用作物農地須改選農地版本。濃度以土壤乾基計。</t>
        </is>
      </c>
      <c r="J154" s="2" t="inlineStr">
        <is>
          <t>已核對</t>
        </is>
      </c>
      <c r="K154" s="2" t="inlineStr">
        <is>
          <t>官方條文核對（自動）</t>
        </is>
      </c>
      <c r="L154" s="98" t="n">
        <v>46297</v>
      </c>
      <c r="M154" s="1">
        <f>IF(OR(A154="",B154="",C154=""),"",A154&amp;"|"&amp;B154&amp;"|"&amp;C154)</f>
        <v/>
      </c>
      <c r="N154" s="33">
        <f>IF(COUNTA(A154:L154)=0,"",IF(OR(A154="",B154="",C154="",D154="",I154="",J154=""),"缺必要欄位",IF(COUNTIFS(DB_05[標準鍵],M154)&gt;1,"標準鍵重複",IF(AND(G154&lt;&gt;"",H154&lt;&gt;"",G154&gt;H154),"日期起迄錯誤",IF(OR(AND(E154&lt;&gt;"",NOT(ISNUMBER(E154))),AND(F154&lt;&gt;"",NOT(ISNUMBER(F154)))),"標準非數值",IF(AND(J154="已核對",OR(K154="",NOT(ISNUMBER(L154)),NOT(ISNUMBER(G154)))),"缺核對資料","OK"))))))</f>
        <v/>
      </c>
    </row>
    <row r="155" ht="66" customHeight="1">
      <c r="A155" s="2" t="inlineStr">
        <is>
          <t>TW-SOIL-FOOD-20110131</t>
        </is>
      </c>
      <c r="B155" s="2" t="inlineStr">
        <is>
          <t>土壤</t>
        </is>
      </c>
      <c r="C155" s="2" t="inlineStr">
        <is>
          <t>3,3’-二氯聯苯胺</t>
        </is>
      </c>
      <c r="D155" s="2" t="inlineStr">
        <is>
          <t>mg/kg</t>
        </is>
      </c>
      <c r="E155" s="97" t="n">
        <v>2</v>
      </c>
      <c r="F155" s="97" t="n"/>
      <c r="G155" s="98" t="n">
        <v>40574</v>
      </c>
      <c r="H155" s="98" t="n"/>
      <c r="I155" s="38" t="inlineStr">
        <is>
          <t>土壤管制§5／監測§4(2011-01-31)；食用作物農地。濃度以土壤乾基計。</t>
        </is>
      </c>
      <c r="J155" s="2" t="inlineStr">
        <is>
          <t>已核對</t>
        </is>
      </c>
      <c r="K155" s="2" t="inlineStr">
        <is>
          <t>官方條文核對（自動）</t>
        </is>
      </c>
      <c r="L155" s="98" t="n">
        <v>46297</v>
      </c>
      <c r="M155" s="1">
        <f>IF(OR(A155="",B155="",C155=""),"",A155&amp;"|"&amp;B155&amp;"|"&amp;C155)</f>
        <v/>
      </c>
      <c r="N155" s="33">
        <f>IF(COUNTA(A155:L155)=0,"",IF(OR(A155="",B155="",C155="",D155="",I155="",J155=""),"缺必要欄位",IF(COUNTIFS(DB_05[標準鍵],M155)&gt;1,"標準鍵重複",IF(AND(G155&lt;&gt;"",H155&lt;&gt;"",G155&gt;H155),"日期起迄錯誤",IF(OR(AND(E155&lt;&gt;"",NOT(ISNUMBER(E155))),AND(F155&lt;&gt;"",NOT(ISNUMBER(F155)))),"標準非數值",IF(AND(J155="已核對",OR(K155="",NOT(ISNUMBER(L155)),NOT(ISNUMBER(G155)))),"缺核對資料","OK"))))))</f>
        <v/>
      </c>
    </row>
    <row r="156" ht="66" customHeight="1">
      <c r="A156" s="2" t="inlineStr">
        <is>
          <t>TW-SOIL-20110131</t>
        </is>
      </c>
      <c r="B156" s="2" t="inlineStr">
        <is>
          <t>土壤</t>
        </is>
      </c>
      <c r="C156" s="2" t="inlineStr">
        <is>
          <t>乙苯</t>
        </is>
      </c>
      <c r="D156" s="2" t="inlineStr">
        <is>
          <t>mg/kg</t>
        </is>
      </c>
      <c r="E156" s="97" t="n">
        <v>250</v>
      </c>
      <c r="F156" s="97" t="n"/>
      <c r="G156" s="98" t="n">
        <v>40574</v>
      </c>
      <c r="H156" s="98" t="n"/>
      <c r="I156" s="38" t="inlineStr">
        <is>
          <t>土壤管制§5／監測§4(2011-01-31)；一般土壤；食用作物農地須改選農地版本。濃度以土壤乾基計。</t>
        </is>
      </c>
      <c r="J156" s="2" t="inlineStr">
        <is>
          <t>已核對</t>
        </is>
      </c>
      <c r="K156" s="2" t="inlineStr">
        <is>
          <t>官方條文核對（自動）</t>
        </is>
      </c>
      <c r="L156" s="98" t="n">
        <v>46297</v>
      </c>
      <c r="M156" s="1">
        <f>IF(OR(A156="",B156="",C156=""),"",A156&amp;"|"&amp;B156&amp;"|"&amp;C156)</f>
        <v/>
      </c>
      <c r="N156" s="33">
        <f>IF(COUNTA(A156:L156)=0,"",IF(OR(A156="",B156="",C156="",D156="",I156="",J156=""),"缺必要欄位",IF(COUNTIFS(DB_05[標準鍵],M156)&gt;1,"標準鍵重複",IF(AND(G156&lt;&gt;"",H156&lt;&gt;"",G156&gt;H156),"日期起迄錯誤",IF(OR(AND(E156&lt;&gt;"",NOT(ISNUMBER(E156))),AND(F156&lt;&gt;"",NOT(ISNUMBER(F156)))),"標準非數值",IF(AND(J156="已核對",OR(K156="",NOT(ISNUMBER(L156)),NOT(ISNUMBER(G156)))),"缺核對資料","OK"))))))</f>
        <v/>
      </c>
    </row>
    <row r="157" ht="66" customHeight="1">
      <c r="A157" s="2" t="inlineStr">
        <is>
          <t>TW-SOIL-FOOD-20110131</t>
        </is>
      </c>
      <c r="B157" s="2" t="inlineStr">
        <is>
          <t>土壤</t>
        </is>
      </c>
      <c r="C157" s="2" t="inlineStr">
        <is>
          <t>乙苯</t>
        </is>
      </c>
      <c r="D157" s="2" t="inlineStr">
        <is>
          <t>mg/kg</t>
        </is>
      </c>
      <c r="E157" s="97" t="n">
        <v>250</v>
      </c>
      <c r="F157" s="97" t="n"/>
      <c r="G157" s="98" t="n">
        <v>40574</v>
      </c>
      <c r="H157" s="98" t="n"/>
      <c r="I157" s="38" t="inlineStr">
        <is>
          <t>土壤管制§5／監測§4(2011-01-31)；食用作物農地。濃度以土壤乾基計。</t>
        </is>
      </c>
      <c r="J157" s="2" t="inlineStr">
        <is>
          <t>已核對</t>
        </is>
      </c>
      <c r="K157" s="2" t="inlineStr">
        <is>
          <t>官方條文核對（自動）</t>
        </is>
      </c>
      <c r="L157" s="98" t="n">
        <v>46297</v>
      </c>
      <c r="M157" s="1">
        <f>IF(OR(A157="",B157="",C157=""),"",A157&amp;"|"&amp;B157&amp;"|"&amp;C157)</f>
        <v/>
      </c>
      <c r="N157" s="33">
        <f>IF(COUNTA(A157:L157)=0,"",IF(OR(A157="",B157="",C157="",D157="",I157="",J157=""),"缺必要欄位",IF(COUNTIFS(DB_05[標準鍵],M157)&gt;1,"標準鍵重複",IF(AND(G157&lt;&gt;"",H157&lt;&gt;"",G157&gt;H157),"日期起迄錯誤",IF(OR(AND(E157&lt;&gt;"",NOT(ISNUMBER(E157))),AND(F157&lt;&gt;"",NOT(ISNUMBER(F157)))),"標準非數值",IF(AND(J157="已核對",OR(K157="",NOT(ISNUMBER(L157)),NOT(ISNUMBER(G157)))),"缺核對資料","OK"))))))</f>
        <v/>
      </c>
    </row>
    <row r="158" ht="66" customHeight="1">
      <c r="A158" s="2" t="inlineStr">
        <is>
          <t>TW-SOIL-20110131</t>
        </is>
      </c>
      <c r="B158" s="2" t="inlineStr">
        <is>
          <t>土壤</t>
        </is>
      </c>
      <c r="C158" s="2" t="inlineStr">
        <is>
          <t>六氯苯</t>
        </is>
      </c>
      <c r="D158" s="2" t="inlineStr">
        <is>
          <t>mg/kg</t>
        </is>
      </c>
      <c r="E158" s="97" t="n">
        <v>500</v>
      </c>
      <c r="F158" s="97" t="n"/>
      <c r="G158" s="98" t="n">
        <v>40574</v>
      </c>
      <c r="H158" s="98" t="n"/>
      <c r="I158" s="38" t="inlineStr">
        <is>
          <t>土壤管制§5／監測§4(2011-01-31)；一般土壤；食用作物農地須改選農地版本。濃度以土壤乾基計。</t>
        </is>
      </c>
      <c r="J158" s="2" t="inlineStr">
        <is>
          <t>已核對</t>
        </is>
      </c>
      <c r="K158" s="2" t="inlineStr">
        <is>
          <t>官方條文核對（自動）</t>
        </is>
      </c>
      <c r="L158" s="98" t="n">
        <v>46297</v>
      </c>
      <c r="M158" s="1">
        <f>IF(OR(A158="",B158="",C158=""),"",A158&amp;"|"&amp;B158&amp;"|"&amp;C158)</f>
        <v/>
      </c>
      <c r="N158" s="33">
        <f>IF(COUNTA(A158:L158)=0,"",IF(OR(A158="",B158="",C158="",D158="",I158="",J158=""),"缺必要欄位",IF(COUNTIFS(DB_05[標準鍵],M158)&gt;1,"標準鍵重複",IF(AND(G158&lt;&gt;"",H158&lt;&gt;"",G158&gt;H158),"日期起迄錯誤",IF(OR(AND(E158&lt;&gt;"",NOT(ISNUMBER(E158))),AND(F158&lt;&gt;"",NOT(ISNUMBER(F158)))),"標準非數值",IF(AND(J158="已核對",OR(K158="",NOT(ISNUMBER(L158)),NOT(ISNUMBER(G158)))),"缺核對資料","OK"))))))</f>
        <v/>
      </c>
    </row>
    <row r="159" ht="66" customHeight="1">
      <c r="A159" s="2" t="inlineStr">
        <is>
          <t>TW-SOIL-FOOD-20110131</t>
        </is>
      </c>
      <c r="B159" s="2" t="inlineStr">
        <is>
          <t>土壤</t>
        </is>
      </c>
      <c r="C159" s="2" t="inlineStr">
        <is>
          <t>六氯苯</t>
        </is>
      </c>
      <c r="D159" s="2" t="inlineStr">
        <is>
          <t>mg/kg</t>
        </is>
      </c>
      <c r="E159" s="97" t="n">
        <v>500</v>
      </c>
      <c r="F159" s="97" t="n"/>
      <c r="G159" s="98" t="n">
        <v>40574</v>
      </c>
      <c r="H159" s="98" t="n"/>
      <c r="I159" s="38" t="inlineStr">
        <is>
          <t>土壤管制§5／監測§4(2011-01-31)；食用作物農地。濃度以土壤乾基計。</t>
        </is>
      </c>
      <c r="J159" s="2" t="inlineStr">
        <is>
          <t>已核對</t>
        </is>
      </c>
      <c r="K159" s="2" t="inlineStr">
        <is>
          <t>官方條文核對（自動）</t>
        </is>
      </c>
      <c r="L159" s="98" t="n">
        <v>46297</v>
      </c>
      <c r="M159" s="1">
        <f>IF(OR(A159="",B159="",C159=""),"",A159&amp;"|"&amp;B159&amp;"|"&amp;C159)</f>
        <v/>
      </c>
      <c r="N159" s="33">
        <f>IF(COUNTA(A159:L159)=0,"",IF(OR(A159="",B159="",C159="",D159="",I159="",J159=""),"缺必要欄位",IF(COUNTIFS(DB_05[標準鍵],M159)&gt;1,"標準鍵重複",IF(AND(G159&lt;&gt;"",H159&lt;&gt;"",G159&gt;H159),"日期起迄錯誤",IF(OR(AND(E159&lt;&gt;"",NOT(ISNUMBER(E159))),AND(F159&lt;&gt;"",NOT(ISNUMBER(F159)))),"標準非數值",IF(AND(J159="已核對",OR(K159="",NOT(ISNUMBER(L159)),NOT(ISNUMBER(G159)))),"缺核對資料","OK"))))))</f>
        <v/>
      </c>
    </row>
    <row r="160" ht="66" customHeight="1">
      <c r="A160" s="2" t="inlineStr">
        <is>
          <t>TW-SOIL-20110131</t>
        </is>
      </c>
      <c r="B160" s="2" t="inlineStr">
        <is>
          <t>土壤</t>
        </is>
      </c>
      <c r="C160" s="2" t="inlineStr">
        <is>
          <t>五氯酚</t>
        </is>
      </c>
      <c r="D160" s="2" t="inlineStr">
        <is>
          <t>mg/kg</t>
        </is>
      </c>
      <c r="E160" s="97" t="n">
        <v>200</v>
      </c>
      <c r="F160" s="97" t="n"/>
      <c r="G160" s="98" t="n">
        <v>40574</v>
      </c>
      <c r="H160" s="98" t="n"/>
      <c r="I160" s="38" t="inlineStr">
        <is>
          <t>土壤管制§5／監測§4(2011-01-31)；一般土壤；食用作物農地須改選農地版本。濃度以土壤乾基計。</t>
        </is>
      </c>
      <c r="J160" s="2" t="inlineStr">
        <is>
          <t>已核對</t>
        </is>
      </c>
      <c r="K160" s="2" t="inlineStr">
        <is>
          <t>官方條文核對（自動）</t>
        </is>
      </c>
      <c r="L160" s="98" t="n">
        <v>46297</v>
      </c>
      <c r="M160" s="1">
        <f>IF(OR(A160="",B160="",C160=""),"",A160&amp;"|"&amp;B160&amp;"|"&amp;C160)</f>
        <v/>
      </c>
      <c r="N160" s="33">
        <f>IF(COUNTA(A160:L160)=0,"",IF(OR(A160="",B160="",C160="",D160="",I160="",J160=""),"缺必要欄位",IF(COUNTIFS(DB_05[標準鍵],M160)&gt;1,"標準鍵重複",IF(AND(G160&lt;&gt;"",H160&lt;&gt;"",G160&gt;H160),"日期起迄錯誤",IF(OR(AND(E160&lt;&gt;"",NOT(ISNUMBER(E160))),AND(F160&lt;&gt;"",NOT(ISNUMBER(F160)))),"標準非數值",IF(AND(J160="已核對",OR(K160="",NOT(ISNUMBER(L160)),NOT(ISNUMBER(G160)))),"缺核對資料","OK"))))))</f>
        <v/>
      </c>
    </row>
    <row r="161" ht="66" customHeight="1">
      <c r="A161" s="2" t="inlineStr">
        <is>
          <t>TW-SOIL-FOOD-20110131</t>
        </is>
      </c>
      <c r="B161" s="2" t="inlineStr">
        <is>
          <t>土壤</t>
        </is>
      </c>
      <c r="C161" s="2" t="inlineStr">
        <is>
          <t>五氯酚</t>
        </is>
      </c>
      <c r="D161" s="2" t="inlineStr">
        <is>
          <t>mg/kg</t>
        </is>
      </c>
      <c r="E161" s="97" t="n">
        <v>200</v>
      </c>
      <c r="F161" s="97" t="n"/>
      <c r="G161" s="98" t="n">
        <v>40574</v>
      </c>
      <c r="H161" s="98" t="n"/>
      <c r="I161" s="38" t="inlineStr">
        <is>
          <t>土壤管制§5／監測§4(2011-01-31)；食用作物農地。濃度以土壤乾基計。</t>
        </is>
      </c>
      <c r="J161" s="2" t="inlineStr">
        <is>
          <t>已核對</t>
        </is>
      </c>
      <c r="K161" s="2" t="inlineStr">
        <is>
          <t>官方條文核對（自動）</t>
        </is>
      </c>
      <c r="L161" s="98" t="n">
        <v>46297</v>
      </c>
      <c r="M161" s="1">
        <f>IF(OR(A161="",B161="",C161=""),"",A161&amp;"|"&amp;B161&amp;"|"&amp;C161)</f>
        <v/>
      </c>
      <c r="N161" s="33">
        <f>IF(COUNTA(A161:L161)=0,"",IF(OR(A161="",B161="",C161="",D161="",I161="",J161=""),"缺必要欄位",IF(COUNTIFS(DB_05[標準鍵],M161)&gt;1,"標準鍵重複",IF(AND(G161&lt;&gt;"",H161&lt;&gt;"",G161&gt;H161),"日期起迄錯誤",IF(OR(AND(E161&lt;&gt;"",NOT(ISNUMBER(E161))),AND(F161&lt;&gt;"",NOT(ISNUMBER(F161)))),"標準非數值",IF(AND(J161="已核對",OR(K161="",NOT(ISNUMBER(L161)),NOT(ISNUMBER(G161)))),"缺核對資料","OK"))))))</f>
        <v/>
      </c>
    </row>
    <row r="162" ht="66" customHeight="1">
      <c r="A162" s="2" t="inlineStr">
        <is>
          <t>TW-SOIL-20110131</t>
        </is>
      </c>
      <c r="B162" s="2" t="inlineStr">
        <is>
          <t>土壤</t>
        </is>
      </c>
      <c r="C162" s="2" t="inlineStr">
        <is>
          <t>四氯乙烯</t>
        </is>
      </c>
      <c r="D162" s="2" t="inlineStr">
        <is>
          <t>mg/kg</t>
        </is>
      </c>
      <c r="E162" s="97" t="n">
        <v>10</v>
      </c>
      <c r="F162" s="97" t="n"/>
      <c r="G162" s="98" t="n">
        <v>40574</v>
      </c>
      <c r="H162" s="98" t="n"/>
      <c r="I162" s="38" t="inlineStr">
        <is>
          <t>土壤管制§5／監測§4(2011-01-31)；一般土壤；食用作物農地須改選農地版本。濃度以土壤乾基計。</t>
        </is>
      </c>
      <c r="J162" s="2" t="inlineStr">
        <is>
          <t>已核對</t>
        </is>
      </c>
      <c r="K162" s="2" t="inlineStr">
        <is>
          <t>官方條文核對（自動）</t>
        </is>
      </c>
      <c r="L162" s="98" t="n">
        <v>46297</v>
      </c>
      <c r="M162" s="1">
        <f>IF(OR(A162="",B162="",C162=""),"",A162&amp;"|"&amp;B162&amp;"|"&amp;C162)</f>
        <v/>
      </c>
      <c r="N162" s="33">
        <f>IF(COUNTA(A162:L162)=0,"",IF(OR(A162="",B162="",C162="",D162="",I162="",J162=""),"缺必要欄位",IF(COUNTIFS(DB_05[標準鍵],M162)&gt;1,"標準鍵重複",IF(AND(G162&lt;&gt;"",H162&lt;&gt;"",G162&gt;H162),"日期起迄錯誤",IF(OR(AND(E162&lt;&gt;"",NOT(ISNUMBER(E162))),AND(F162&lt;&gt;"",NOT(ISNUMBER(F162)))),"標準非數值",IF(AND(J162="已核對",OR(K162="",NOT(ISNUMBER(L162)),NOT(ISNUMBER(G162)))),"缺核對資料","OK"))))))</f>
        <v/>
      </c>
    </row>
    <row r="163" ht="66" customHeight="1">
      <c r="A163" s="2" t="inlineStr">
        <is>
          <t>TW-SOIL-FOOD-20110131</t>
        </is>
      </c>
      <c r="B163" s="2" t="inlineStr">
        <is>
          <t>土壤</t>
        </is>
      </c>
      <c r="C163" s="2" t="inlineStr">
        <is>
          <t>四氯乙烯</t>
        </is>
      </c>
      <c r="D163" s="2" t="inlineStr">
        <is>
          <t>mg/kg</t>
        </is>
      </c>
      <c r="E163" s="97" t="n">
        <v>10</v>
      </c>
      <c r="F163" s="97" t="n"/>
      <c r="G163" s="98" t="n">
        <v>40574</v>
      </c>
      <c r="H163" s="98" t="n"/>
      <c r="I163" s="38" t="inlineStr">
        <is>
          <t>土壤管制§5／監測§4(2011-01-31)；食用作物農地。濃度以土壤乾基計。</t>
        </is>
      </c>
      <c r="J163" s="2" t="inlineStr">
        <is>
          <t>已核對</t>
        </is>
      </c>
      <c r="K163" s="2" t="inlineStr">
        <is>
          <t>官方條文核對（自動）</t>
        </is>
      </c>
      <c r="L163" s="98" t="n">
        <v>46297</v>
      </c>
      <c r="M163" s="1">
        <f>IF(OR(A163="",B163="",C163=""),"",A163&amp;"|"&amp;B163&amp;"|"&amp;C163)</f>
        <v/>
      </c>
      <c r="N163" s="33">
        <f>IF(COUNTA(A163:L163)=0,"",IF(OR(A163="",B163="",C163="",D163="",I163="",J163=""),"缺必要欄位",IF(COUNTIFS(DB_05[標準鍵],M163)&gt;1,"標準鍵重複",IF(AND(G163&lt;&gt;"",H163&lt;&gt;"",G163&gt;H163),"日期起迄錯誤",IF(OR(AND(E163&lt;&gt;"",NOT(ISNUMBER(E163))),AND(F163&lt;&gt;"",NOT(ISNUMBER(F163)))),"標準非數值",IF(AND(J163="已核對",OR(K163="",NOT(ISNUMBER(L163)),NOT(ISNUMBER(G163)))),"缺核對資料","OK"))))))</f>
        <v/>
      </c>
    </row>
    <row r="164" ht="66" customHeight="1">
      <c r="A164" s="2" t="inlineStr">
        <is>
          <t>TW-SOIL-20110131</t>
        </is>
      </c>
      <c r="B164" s="2" t="inlineStr">
        <is>
          <t>土壤</t>
        </is>
      </c>
      <c r="C164" s="2" t="inlineStr">
        <is>
          <t>甲苯</t>
        </is>
      </c>
      <c r="D164" s="2" t="inlineStr">
        <is>
          <t>mg/kg</t>
        </is>
      </c>
      <c r="E164" s="97" t="n">
        <v>500</v>
      </c>
      <c r="F164" s="97" t="n"/>
      <c r="G164" s="98" t="n">
        <v>40574</v>
      </c>
      <c r="H164" s="98" t="n"/>
      <c r="I164" s="38" t="inlineStr">
        <is>
          <t>土壤管制§5／監測§4(2011-01-31)；一般土壤；食用作物農地須改選農地版本。濃度以土壤乾基計。</t>
        </is>
      </c>
      <c r="J164" s="2" t="inlineStr">
        <is>
          <t>已核對</t>
        </is>
      </c>
      <c r="K164" s="2" t="inlineStr">
        <is>
          <t>官方條文核對（自動）</t>
        </is>
      </c>
      <c r="L164" s="98" t="n">
        <v>46297</v>
      </c>
      <c r="M164" s="1">
        <f>IF(OR(A164="",B164="",C164=""),"",A164&amp;"|"&amp;B164&amp;"|"&amp;C164)</f>
        <v/>
      </c>
      <c r="N164" s="33">
        <f>IF(COUNTA(A164:L164)=0,"",IF(OR(A164="",B164="",C164="",D164="",I164="",J164=""),"缺必要欄位",IF(COUNTIFS(DB_05[標準鍵],M164)&gt;1,"標準鍵重複",IF(AND(G164&lt;&gt;"",H164&lt;&gt;"",G164&gt;H164),"日期起迄錯誤",IF(OR(AND(E164&lt;&gt;"",NOT(ISNUMBER(E164))),AND(F164&lt;&gt;"",NOT(ISNUMBER(F164)))),"標準非數值",IF(AND(J164="已核對",OR(K164="",NOT(ISNUMBER(L164)),NOT(ISNUMBER(G164)))),"缺核對資料","OK"))))))</f>
        <v/>
      </c>
    </row>
    <row r="165" ht="66" customHeight="1">
      <c r="A165" s="2" t="inlineStr">
        <is>
          <t>TW-SOIL-FOOD-20110131</t>
        </is>
      </c>
      <c r="B165" s="2" t="inlineStr">
        <is>
          <t>土壤</t>
        </is>
      </c>
      <c r="C165" s="2" t="inlineStr">
        <is>
          <t>甲苯</t>
        </is>
      </c>
      <c r="D165" s="2" t="inlineStr">
        <is>
          <t>mg/kg</t>
        </is>
      </c>
      <c r="E165" s="97" t="n">
        <v>500</v>
      </c>
      <c r="F165" s="97" t="n"/>
      <c r="G165" s="98" t="n">
        <v>40574</v>
      </c>
      <c r="H165" s="98" t="n"/>
      <c r="I165" s="38" t="inlineStr">
        <is>
          <t>土壤管制§5／監測§4(2011-01-31)；食用作物農地。濃度以土壤乾基計。</t>
        </is>
      </c>
      <c r="J165" s="2" t="inlineStr">
        <is>
          <t>已核對</t>
        </is>
      </c>
      <c r="K165" s="2" t="inlineStr">
        <is>
          <t>官方條文核對（自動）</t>
        </is>
      </c>
      <c r="L165" s="98" t="n">
        <v>46297</v>
      </c>
      <c r="M165" s="1">
        <f>IF(OR(A165="",B165="",C165=""),"",A165&amp;"|"&amp;B165&amp;"|"&amp;C165)</f>
        <v/>
      </c>
      <c r="N165" s="33">
        <f>IF(COUNTA(A165:L165)=0,"",IF(OR(A165="",B165="",C165="",D165="",I165="",J165=""),"缺必要欄位",IF(COUNTIFS(DB_05[標準鍵],M165)&gt;1,"標準鍵重複",IF(AND(G165&lt;&gt;"",H165&lt;&gt;"",G165&gt;H165),"日期起迄錯誤",IF(OR(AND(E165&lt;&gt;"",NOT(ISNUMBER(E165))),AND(F165&lt;&gt;"",NOT(ISNUMBER(F165)))),"標準非數值",IF(AND(J165="已核對",OR(K165="",NOT(ISNUMBER(L165)),NOT(ISNUMBER(G165)))),"缺核對資料","OK"))))))</f>
        <v/>
      </c>
    </row>
    <row r="166" ht="66" customHeight="1">
      <c r="A166" s="2" t="inlineStr">
        <is>
          <t>TW-SOIL-20110131</t>
        </is>
      </c>
      <c r="B166" s="2" t="inlineStr">
        <is>
          <t>土壤</t>
        </is>
      </c>
      <c r="C166" s="2" t="inlineStr">
        <is>
          <t>總石油碳氫化合物</t>
        </is>
      </c>
      <c r="D166" s="2" t="inlineStr">
        <is>
          <t>mg/kg</t>
        </is>
      </c>
      <c r="E166" s="97" t="n">
        <v>1000</v>
      </c>
      <c r="F166" s="97" t="n"/>
      <c r="G166" s="98" t="n">
        <v>40574</v>
      </c>
      <c r="H166" s="98" t="n"/>
      <c r="I166" s="38" t="inlineStr">
        <is>
          <t>土壤管制§5／監測§4(2011-01-31)；一般土壤；食用作物農地須改選農地版本。濃度以土壤乾基計。</t>
        </is>
      </c>
      <c r="J166" s="2" t="inlineStr">
        <is>
          <t>已核對</t>
        </is>
      </c>
      <c r="K166" s="2" t="inlineStr">
        <is>
          <t>官方條文核對（自動）</t>
        </is>
      </c>
      <c r="L166" s="98" t="n">
        <v>46297</v>
      </c>
      <c r="M166" s="1">
        <f>IF(OR(A166="",B166="",C166=""),"",A166&amp;"|"&amp;B166&amp;"|"&amp;C166)</f>
        <v/>
      </c>
      <c r="N166" s="33">
        <f>IF(COUNTA(A166:L166)=0,"",IF(OR(A166="",B166="",C166="",D166="",I166="",J166=""),"缺必要欄位",IF(COUNTIFS(DB_05[標準鍵],M166)&gt;1,"標準鍵重複",IF(AND(G166&lt;&gt;"",H166&lt;&gt;"",G166&gt;H166),"日期起迄錯誤",IF(OR(AND(E166&lt;&gt;"",NOT(ISNUMBER(E166))),AND(F166&lt;&gt;"",NOT(ISNUMBER(F166)))),"標準非數值",IF(AND(J166="已核對",OR(K166="",NOT(ISNUMBER(L166)),NOT(ISNUMBER(G166)))),"缺核對資料","OK"))))))</f>
        <v/>
      </c>
    </row>
    <row r="167" ht="66" customHeight="1">
      <c r="A167" s="2" t="inlineStr">
        <is>
          <t>TW-SOIL-FOOD-20110131</t>
        </is>
      </c>
      <c r="B167" s="2" t="inlineStr">
        <is>
          <t>土壤</t>
        </is>
      </c>
      <c r="C167" s="2" t="inlineStr">
        <is>
          <t>總石油碳氫化合物</t>
        </is>
      </c>
      <c r="D167" s="2" t="inlineStr">
        <is>
          <t>mg/kg</t>
        </is>
      </c>
      <c r="E167" s="97" t="n">
        <v>1000</v>
      </c>
      <c r="F167" s="97" t="n"/>
      <c r="G167" s="98" t="n">
        <v>40574</v>
      </c>
      <c r="H167" s="98" t="n"/>
      <c r="I167" s="38" t="inlineStr">
        <is>
          <t>土壤管制§5／監測§4(2011-01-31)；食用作物農地。濃度以土壤乾基計。</t>
        </is>
      </c>
      <c r="J167" s="2" t="inlineStr">
        <is>
          <t>已核對</t>
        </is>
      </c>
      <c r="K167" s="2" t="inlineStr">
        <is>
          <t>官方條文核對（自動）</t>
        </is>
      </c>
      <c r="L167" s="98" t="n">
        <v>46297</v>
      </c>
      <c r="M167" s="1">
        <f>IF(OR(A167="",B167="",C167=""),"",A167&amp;"|"&amp;B167&amp;"|"&amp;C167)</f>
        <v/>
      </c>
      <c r="N167" s="33">
        <f>IF(COUNTA(A167:L167)=0,"",IF(OR(A167="",B167="",C167="",D167="",I167="",J167=""),"缺必要欄位",IF(COUNTIFS(DB_05[標準鍵],M167)&gt;1,"標準鍵重複",IF(AND(G167&lt;&gt;"",H167&lt;&gt;"",G167&gt;H167),"日期起迄錯誤",IF(OR(AND(E167&lt;&gt;"",NOT(ISNUMBER(E167))),AND(F167&lt;&gt;"",NOT(ISNUMBER(F167)))),"標準非數值",IF(AND(J167="已核對",OR(K167="",NOT(ISNUMBER(L167)),NOT(ISNUMBER(G167)))),"缺核對資料","OK"))))))</f>
        <v/>
      </c>
    </row>
    <row r="168" ht="66" customHeight="1">
      <c r="A168" s="2" t="inlineStr">
        <is>
          <t>TW-SOIL-20110131</t>
        </is>
      </c>
      <c r="B168" s="2" t="inlineStr">
        <is>
          <t>土壤</t>
        </is>
      </c>
      <c r="C168" s="2" t="inlineStr">
        <is>
          <t>三氯乙烯</t>
        </is>
      </c>
      <c r="D168" s="2" t="inlineStr">
        <is>
          <t>mg/kg</t>
        </is>
      </c>
      <c r="E168" s="97" t="n">
        <v>60</v>
      </c>
      <c r="F168" s="97" t="n"/>
      <c r="G168" s="98" t="n">
        <v>40574</v>
      </c>
      <c r="H168" s="98" t="n"/>
      <c r="I168" s="38" t="inlineStr">
        <is>
          <t>土壤管制§5／監測§4(2011-01-31)；一般土壤；食用作物農地須改選農地版本。濃度以土壤乾基計。</t>
        </is>
      </c>
      <c r="J168" s="2" t="inlineStr">
        <is>
          <t>已核對</t>
        </is>
      </c>
      <c r="K168" s="2" t="inlineStr">
        <is>
          <t>官方條文核對（自動）</t>
        </is>
      </c>
      <c r="L168" s="98" t="n">
        <v>46297</v>
      </c>
      <c r="M168" s="1">
        <f>IF(OR(A168="",B168="",C168=""),"",A168&amp;"|"&amp;B168&amp;"|"&amp;C168)</f>
        <v/>
      </c>
      <c r="N168" s="33">
        <f>IF(COUNTA(A168:L168)=0,"",IF(OR(A168="",B168="",C168="",D168="",I168="",J168=""),"缺必要欄位",IF(COUNTIFS(DB_05[標準鍵],M168)&gt;1,"標準鍵重複",IF(AND(G168&lt;&gt;"",H168&lt;&gt;"",G168&gt;H168),"日期起迄錯誤",IF(OR(AND(E168&lt;&gt;"",NOT(ISNUMBER(E168))),AND(F168&lt;&gt;"",NOT(ISNUMBER(F168)))),"標準非數值",IF(AND(J168="已核對",OR(K168="",NOT(ISNUMBER(L168)),NOT(ISNUMBER(G168)))),"缺核對資料","OK"))))))</f>
        <v/>
      </c>
    </row>
    <row r="169" ht="66" customHeight="1">
      <c r="A169" s="2" t="inlineStr">
        <is>
          <t>TW-SOIL-FOOD-20110131</t>
        </is>
      </c>
      <c r="B169" s="2" t="inlineStr">
        <is>
          <t>土壤</t>
        </is>
      </c>
      <c r="C169" s="2" t="inlineStr">
        <is>
          <t>三氯乙烯</t>
        </is>
      </c>
      <c r="D169" s="2" t="inlineStr">
        <is>
          <t>mg/kg</t>
        </is>
      </c>
      <c r="E169" s="97" t="n">
        <v>60</v>
      </c>
      <c r="F169" s="97" t="n"/>
      <c r="G169" s="98" t="n">
        <v>40574</v>
      </c>
      <c r="H169" s="98" t="n"/>
      <c r="I169" s="38" t="inlineStr">
        <is>
          <t>土壤管制§5／監測§4(2011-01-31)；食用作物農地。濃度以土壤乾基計。</t>
        </is>
      </c>
      <c r="J169" s="2" t="inlineStr">
        <is>
          <t>已核對</t>
        </is>
      </c>
      <c r="K169" s="2" t="inlineStr">
        <is>
          <t>官方條文核對（自動）</t>
        </is>
      </c>
      <c r="L169" s="98" t="n">
        <v>46297</v>
      </c>
      <c r="M169" s="1">
        <f>IF(OR(A169="",B169="",C169=""),"",A169&amp;"|"&amp;B169&amp;"|"&amp;C169)</f>
        <v/>
      </c>
      <c r="N169" s="33">
        <f>IF(COUNTA(A169:L169)=0,"",IF(OR(A169="",B169="",C169="",D169="",I169="",J169=""),"缺必要欄位",IF(COUNTIFS(DB_05[標準鍵],M169)&gt;1,"標準鍵重複",IF(AND(G169&lt;&gt;"",H169&lt;&gt;"",G169&gt;H169),"日期起迄錯誤",IF(OR(AND(E169&lt;&gt;"",NOT(ISNUMBER(E169))),AND(F169&lt;&gt;"",NOT(ISNUMBER(F169)))),"標準非數值",IF(AND(J169="已核對",OR(K169="",NOT(ISNUMBER(L169)),NOT(ISNUMBER(G169)))),"缺核對資料","OK"))))))</f>
        <v/>
      </c>
    </row>
    <row r="170" ht="66" customHeight="1">
      <c r="A170" s="2" t="inlineStr">
        <is>
          <t>TW-SOIL-20110131</t>
        </is>
      </c>
      <c r="B170" s="2" t="inlineStr">
        <is>
          <t>土壤</t>
        </is>
      </c>
      <c r="C170" s="2" t="inlineStr">
        <is>
          <t>2,4,5-三氯酚</t>
        </is>
      </c>
      <c r="D170" s="2" t="inlineStr">
        <is>
          <t>mg/kg</t>
        </is>
      </c>
      <c r="E170" s="97" t="n">
        <v>350</v>
      </c>
      <c r="F170" s="97" t="n"/>
      <c r="G170" s="98" t="n">
        <v>40574</v>
      </c>
      <c r="H170" s="98" t="n"/>
      <c r="I170" s="38" t="inlineStr">
        <is>
          <t>土壤管制§5／監測§4(2011-01-31)；一般土壤；食用作物農地須改選農地版本。濃度以土壤乾基計。</t>
        </is>
      </c>
      <c r="J170" s="2" t="inlineStr">
        <is>
          <t>已核對</t>
        </is>
      </c>
      <c r="K170" s="2" t="inlineStr">
        <is>
          <t>官方條文核對（自動）</t>
        </is>
      </c>
      <c r="L170" s="98" t="n">
        <v>46297</v>
      </c>
      <c r="M170" s="1">
        <f>IF(OR(A170="",B170="",C170=""),"",A170&amp;"|"&amp;B170&amp;"|"&amp;C170)</f>
        <v/>
      </c>
      <c r="N170" s="33">
        <f>IF(COUNTA(A170:L170)=0,"",IF(OR(A170="",B170="",C170="",D170="",I170="",J170=""),"缺必要欄位",IF(COUNTIFS(DB_05[標準鍵],M170)&gt;1,"標準鍵重複",IF(AND(G170&lt;&gt;"",H170&lt;&gt;"",G170&gt;H170),"日期起迄錯誤",IF(OR(AND(E170&lt;&gt;"",NOT(ISNUMBER(E170))),AND(F170&lt;&gt;"",NOT(ISNUMBER(F170)))),"標準非數值",IF(AND(J170="已核對",OR(K170="",NOT(ISNUMBER(L170)),NOT(ISNUMBER(G170)))),"缺核對資料","OK"))))))</f>
        <v/>
      </c>
    </row>
    <row r="171" ht="66" customHeight="1">
      <c r="A171" s="2" t="inlineStr">
        <is>
          <t>TW-SOIL-FOOD-20110131</t>
        </is>
      </c>
      <c r="B171" s="2" t="inlineStr">
        <is>
          <t>土壤</t>
        </is>
      </c>
      <c r="C171" s="2" t="inlineStr">
        <is>
          <t>2,4,5-三氯酚</t>
        </is>
      </c>
      <c r="D171" s="2" t="inlineStr">
        <is>
          <t>mg/kg</t>
        </is>
      </c>
      <c r="E171" s="97" t="n">
        <v>350</v>
      </c>
      <c r="F171" s="97" t="n"/>
      <c r="G171" s="98" t="n">
        <v>40574</v>
      </c>
      <c r="H171" s="98" t="n"/>
      <c r="I171" s="38" t="inlineStr">
        <is>
          <t>土壤管制§5／監測§4(2011-01-31)；食用作物農地。濃度以土壤乾基計。</t>
        </is>
      </c>
      <c r="J171" s="2" t="inlineStr">
        <is>
          <t>已核對</t>
        </is>
      </c>
      <c r="K171" s="2" t="inlineStr">
        <is>
          <t>官方條文核對（自動）</t>
        </is>
      </c>
      <c r="L171" s="98" t="n">
        <v>46297</v>
      </c>
      <c r="M171" s="1">
        <f>IF(OR(A171="",B171="",C171=""),"",A171&amp;"|"&amp;B171&amp;"|"&amp;C171)</f>
        <v/>
      </c>
      <c r="N171" s="33">
        <f>IF(COUNTA(A171:L171)=0,"",IF(OR(A171="",B171="",C171="",D171="",I171="",J171=""),"缺必要欄位",IF(COUNTIFS(DB_05[標準鍵],M171)&gt;1,"標準鍵重複",IF(AND(G171&lt;&gt;"",H171&lt;&gt;"",G171&gt;H171),"日期起迄錯誤",IF(OR(AND(E171&lt;&gt;"",NOT(ISNUMBER(E171))),AND(F171&lt;&gt;"",NOT(ISNUMBER(F171)))),"標準非數值",IF(AND(J171="已核對",OR(K171="",NOT(ISNUMBER(L171)),NOT(ISNUMBER(G171)))),"缺核對資料","OK"))))))</f>
        <v/>
      </c>
    </row>
    <row r="172" ht="66" customHeight="1">
      <c r="A172" s="2" t="inlineStr">
        <is>
          <t>TW-SOIL-20110131</t>
        </is>
      </c>
      <c r="B172" s="2" t="inlineStr">
        <is>
          <t>土壤</t>
        </is>
      </c>
      <c r="C172" s="2" t="inlineStr">
        <is>
          <t>2,4,6-三氯酚</t>
        </is>
      </c>
      <c r="D172" s="2" t="inlineStr">
        <is>
          <t>mg/kg</t>
        </is>
      </c>
      <c r="E172" s="97" t="n">
        <v>40</v>
      </c>
      <c r="F172" s="97" t="n"/>
      <c r="G172" s="98" t="n">
        <v>40574</v>
      </c>
      <c r="H172" s="98" t="n"/>
      <c r="I172" s="38" t="inlineStr">
        <is>
          <t>土壤管制§5／監測§4(2011-01-31)；一般土壤；食用作物農地須改選農地版本。濃度以土壤乾基計。</t>
        </is>
      </c>
      <c r="J172" s="2" t="inlineStr">
        <is>
          <t>已核對</t>
        </is>
      </c>
      <c r="K172" s="2" t="inlineStr">
        <is>
          <t>官方條文核對（自動）</t>
        </is>
      </c>
      <c r="L172" s="98" t="n">
        <v>46297</v>
      </c>
      <c r="M172" s="1">
        <f>IF(OR(A172="",B172="",C172=""),"",A172&amp;"|"&amp;B172&amp;"|"&amp;C172)</f>
        <v/>
      </c>
      <c r="N172" s="33">
        <f>IF(COUNTA(A172:L172)=0,"",IF(OR(A172="",B172="",C172="",D172="",I172="",J172=""),"缺必要欄位",IF(COUNTIFS(DB_05[標準鍵],M172)&gt;1,"標準鍵重複",IF(AND(G172&lt;&gt;"",H172&lt;&gt;"",G172&gt;H172),"日期起迄錯誤",IF(OR(AND(E172&lt;&gt;"",NOT(ISNUMBER(E172))),AND(F172&lt;&gt;"",NOT(ISNUMBER(F172)))),"標準非數值",IF(AND(J172="已核對",OR(K172="",NOT(ISNUMBER(L172)),NOT(ISNUMBER(G172)))),"缺核對資料","OK"))))))</f>
        <v/>
      </c>
    </row>
    <row r="173" ht="66" customHeight="1">
      <c r="A173" s="2" t="inlineStr">
        <is>
          <t>TW-SOIL-FOOD-20110131</t>
        </is>
      </c>
      <c r="B173" s="2" t="inlineStr">
        <is>
          <t>土壤</t>
        </is>
      </c>
      <c r="C173" s="2" t="inlineStr">
        <is>
          <t>2,4,6-三氯酚</t>
        </is>
      </c>
      <c r="D173" s="2" t="inlineStr">
        <is>
          <t>mg/kg</t>
        </is>
      </c>
      <c r="E173" s="97" t="n">
        <v>40</v>
      </c>
      <c r="F173" s="97" t="n"/>
      <c r="G173" s="98" t="n">
        <v>40574</v>
      </c>
      <c r="H173" s="98" t="n"/>
      <c r="I173" s="38" t="inlineStr">
        <is>
          <t>土壤管制§5／監測§4(2011-01-31)；食用作物農地。濃度以土壤乾基計。</t>
        </is>
      </c>
      <c r="J173" s="2" t="inlineStr">
        <is>
          <t>已核對</t>
        </is>
      </c>
      <c r="K173" s="2" t="inlineStr">
        <is>
          <t>官方條文核對（自動）</t>
        </is>
      </c>
      <c r="L173" s="98" t="n">
        <v>46297</v>
      </c>
      <c r="M173" s="1">
        <f>IF(OR(A173="",B173="",C173=""),"",A173&amp;"|"&amp;B173&amp;"|"&amp;C173)</f>
        <v/>
      </c>
      <c r="N173" s="33">
        <f>IF(COUNTA(A173:L173)=0,"",IF(OR(A173="",B173="",C173="",D173="",I173="",J173=""),"缺必要欄位",IF(COUNTIFS(DB_05[標準鍵],M173)&gt;1,"標準鍵重複",IF(AND(G173&lt;&gt;"",H173&lt;&gt;"",G173&gt;H173),"日期起迄錯誤",IF(OR(AND(E173&lt;&gt;"",NOT(ISNUMBER(E173))),AND(F173&lt;&gt;"",NOT(ISNUMBER(F173)))),"標準非數值",IF(AND(J173="已核對",OR(K173="",NOT(ISNUMBER(L173)),NOT(ISNUMBER(G173)))),"缺核對資料","OK"))))))</f>
        <v/>
      </c>
    </row>
    <row r="174" ht="66" customHeight="1">
      <c r="A174" s="2" t="inlineStr">
        <is>
          <t>TW-SOIL-20110131</t>
        </is>
      </c>
      <c r="B174" s="2" t="inlineStr">
        <is>
          <t>土壤</t>
        </is>
      </c>
      <c r="C174" s="2" t="inlineStr">
        <is>
          <t>氯乙烯</t>
        </is>
      </c>
      <c r="D174" s="2" t="inlineStr">
        <is>
          <t>mg/kg</t>
        </is>
      </c>
      <c r="E174" s="97" t="n">
        <v>10</v>
      </c>
      <c r="F174" s="97" t="n"/>
      <c r="G174" s="98" t="n">
        <v>40574</v>
      </c>
      <c r="H174" s="98" t="n"/>
      <c r="I174" s="38" t="inlineStr">
        <is>
          <t>土壤管制§5／監測§4(2011-01-31)；一般土壤；食用作物農地須改選農地版本。濃度以土壤乾基計。</t>
        </is>
      </c>
      <c r="J174" s="2" t="inlineStr">
        <is>
          <t>已核對</t>
        </is>
      </c>
      <c r="K174" s="2" t="inlineStr">
        <is>
          <t>官方條文核對（自動）</t>
        </is>
      </c>
      <c r="L174" s="98" t="n">
        <v>46297</v>
      </c>
      <c r="M174" s="1">
        <f>IF(OR(A174="",B174="",C174=""),"",A174&amp;"|"&amp;B174&amp;"|"&amp;C174)</f>
        <v/>
      </c>
      <c r="N174" s="33">
        <f>IF(COUNTA(A174:L174)=0,"",IF(OR(A174="",B174="",C174="",D174="",I174="",J174=""),"缺必要欄位",IF(COUNTIFS(DB_05[標準鍵],M174)&gt;1,"標準鍵重複",IF(AND(G174&lt;&gt;"",H174&lt;&gt;"",G174&gt;H174),"日期起迄錯誤",IF(OR(AND(E174&lt;&gt;"",NOT(ISNUMBER(E174))),AND(F174&lt;&gt;"",NOT(ISNUMBER(F174)))),"標準非數值",IF(AND(J174="已核對",OR(K174="",NOT(ISNUMBER(L174)),NOT(ISNUMBER(G174)))),"缺核對資料","OK"))))))</f>
        <v/>
      </c>
    </row>
    <row r="175" ht="66" customHeight="1">
      <c r="A175" s="2" t="inlineStr">
        <is>
          <t>TW-SOIL-FOOD-20110131</t>
        </is>
      </c>
      <c r="B175" s="2" t="inlineStr">
        <is>
          <t>土壤</t>
        </is>
      </c>
      <c r="C175" s="2" t="inlineStr">
        <is>
          <t>氯乙烯</t>
        </is>
      </c>
      <c r="D175" s="2" t="inlineStr">
        <is>
          <t>mg/kg</t>
        </is>
      </c>
      <c r="E175" s="97" t="n">
        <v>10</v>
      </c>
      <c r="F175" s="97" t="n"/>
      <c r="G175" s="98" t="n">
        <v>40574</v>
      </c>
      <c r="H175" s="98" t="n"/>
      <c r="I175" s="38" t="inlineStr">
        <is>
          <t>土壤管制§5／監測§4(2011-01-31)；食用作物農地。濃度以土壤乾基計。</t>
        </is>
      </c>
      <c r="J175" s="2" t="inlineStr">
        <is>
          <t>已核對</t>
        </is>
      </c>
      <c r="K175" s="2" t="inlineStr">
        <is>
          <t>官方條文核對（自動）</t>
        </is>
      </c>
      <c r="L175" s="98" t="n">
        <v>46297</v>
      </c>
      <c r="M175" s="1">
        <f>IF(OR(A175="",B175="",C175=""),"",A175&amp;"|"&amp;B175&amp;"|"&amp;C175)</f>
        <v/>
      </c>
      <c r="N175" s="33">
        <f>IF(COUNTA(A175:L175)=0,"",IF(OR(A175="",B175="",C175="",D175="",I175="",J175=""),"缺必要欄位",IF(COUNTIFS(DB_05[標準鍵],M175)&gt;1,"標準鍵重複",IF(AND(G175&lt;&gt;"",H175&lt;&gt;"",G175&gt;H175),"日期起迄錯誤",IF(OR(AND(E175&lt;&gt;"",NOT(ISNUMBER(E175))),AND(F175&lt;&gt;"",NOT(ISNUMBER(F175)))),"標準非數值",IF(AND(J175="已核對",OR(K175="",NOT(ISNUMBER(L175)),NOT(ISNUMBER(G175)))),"缺核對資料","OK"))))))</f>
        <v/>
      </c>
    </row>
    <row r="176" ht="66" customHeight="1">
      <c r="A176" s="2" t="inlineStr">
        <is>
          <t>TW-SOIL-20110131</t>
        </is>
      </c>
      <c r="B176" s="2" t="inlineStr">
        <is>
          <t>土壤</t>
        </is>
      </c>
      <c r="C176" s="2" t="inlineStr">
        <is>
          <t>二甲苯</t>
        </is>
      </c>
      <c r="D176" s="2" t="inlineStr">
        <is>
          <t>mg/kg</t>
        </is>
      </c>
      <c r="E176" s="97" t="n">
        <v>500</v>
      </c>
      <c r="F176" s="97" t="n"/>
      <c r="G176" s="98" t="n">
        <v>40574</v>
      </c>
      <c r="H176" s="98" t="n"/>
      <c r="I176" s="38" t="inlineStr">
        <is>
          <t>土壤管制§5／監測§4(2011-01-31)；一般土壤；食用作物農地須改選農地版本。濃度以土壤乾基計。</t>
        </is>
      </c>
      <c r="J176" s="2" t="inlineStr">
        <is>
          <t>已核對</t>
        </is>
      </c>
      <c r="K176" s="2" t="inlineStr">
        <is>
          <t>官方條文核對（自動）</t>
        </is>
      </c>
      <c r="L176" s="98" t="n">
        <v>46297</v>
      </c>
      <c r="M176" s="1">
        <f>IF(OR(A176="",B176="",C176=""),"",A176&amp;"|"&amp;B176&amp;"|"&amp;C176)</f>
        <v/>
      </c>
      <c r="N176" s="33">
        <f>IF(COUNTA(A176:L176)=0,"",IF(OR(A176="",B176="",C176="",D176="",I176="",J176=""),"缺必要欄位",IF(COUNTIFS(DB_05[標準鍵],M176)&gt;1,"標準鍵重複",IF(AND(G176&lt;&gt;"",H176&lt;&gt;"",G176&gt;H176),"日期起迄錯誤",IF(OR(AND(E176&lt;&gt;"",NOT(ISNUMBER(E176))),AND(F176&lt;&gt;"",NOT(ISNUMBER(F176)))),"標準非數值",IF(AND(J176="已核對",OR(K176="",NOT(ISNUMBER(L176)),NOT(ISNUMBER(G176)))),"缺核對資料","OK"))))))</f>
        <v/>
      </c>
    </row>
    <row r="177" ht="66" customHeight="1">
      <c r="A177" s="2" t="inlineStr">
        <is>
          <t>TW-SOIL-FOOD-20110131</t>
        </is>
      </c>
      <c r="B177" s="2" t="inlineStr">
        <is>
          <t>土壤</t>
        </is>
      </c>
      <c r="C177" s="2" t="inlineStr">
        <is>
          <t>二甲苯</t>
        </is>
      </c>
      <c r="D177" s="2" t="inlineStr">
        <is>
          <t>mg/kg</t>
        </is>
      </c>
      <c r="E177" s="97" t="n">
        <v>500</v>
      </c>
      <c r="F177" s="97" t="n"/>
      <c r="G177" s="98" t="n">
        <v>40574</v>
      </c>
      <c r="H177" s="98" t="n"/>
      <c r="I177" s="38" t="inlineStr">
        <is>
          <t>土壤管制§5／監測§4(2011-01-31)；食用作物農地。濃度以土壤乾基計。</t>
        </is>
      </c>
      <c r="J177" s="2" t="inlineStr">
        <is>
          <t>已核對</t>
        </is>
      </c>
      <c r="K177" s="2" t="inlineStr">
        <is>
          <t>官方條文核對（自動）</t>
        </is>
      </c>
      <c r="L177" s="98" t="n">
        <v>46297</v>
      </c>
      <c r="M177" s="1">
        <f>IF(OR(A177="",B177="",C177=""),"",A177&amp;"|"&amp;B177&amp;"|"&amp;C177)</f>
        <v/>
      </c>
      <c r="N177" s="33">
        <f>IF(COUNTA(A177:L177)=0,"",IF(OR(A177="",B177="",C177="",D177="",I177="",J177=""),"缺必要欄位",IF(COUNTIFS(DB_05[標準鍵],M177)&gt;1,"標準鍵重複",IF(AND(G177&lt;&gt;"",H177&lt;&gt;"",G177&gt;H177),"日期起迄錯誤",IF(OR(AND(E177&lt;&gt;"",NOT(ISNUMBER(E177))),AND(F177&lt;&gt;"",NOT(ISNUMBER(F177)))),"標準非數值",IF(AND(J177="已核對",OR(K177="",NOT(ISNUMBER(L177)),NOT(ISNUMBER(G177)))),"缺核對資料","OK"))))))</f>
        <v/>
      </c>
    </row>
    <row r="178" ht="66" customHeight="1">
      <c r="A178" s="2" t="inlineStr">
        <is>
          <t>TW-SOIL-20110131</t>
        </is>
      </c>
      <c r="B178" s="2" t="inlineStr">
        <is>
          <t>土壤</t>
        </is>
      </c>
      <c r="C178" s="2" t="inlineStr">
        <is>
          <t>阿特靈</t>
        </is>
      </c>
      <c r="D178" s="2" t="inlineStr">
        <is>
          <t>mg/kg</t>
        </is>
      </c>
      <c r="E178" s="97" t="n">
        <v>0.04</v>
      </c>
      <c r="F178" s="97" t="n"/>
      <c r="G178" s="98" t="n">
        <v>40574</v>
      </c>
      <c r="H178" s="98" t="n"/>
      <c r="I178" s="38" t="inlineStr">
        <is>
          <t>土壤管制§5／監測§4(2011-01-31)；一般土壤；食用作物農地須改選農地版本。濃度以土壤乾基計。</t>
        </is>
      </c>
      <c r="J178" s="2" t="inlineStr">
        <is>
          <t>已核對</t>
        </is>
      </c>
      <c r="K178" s="2" t="inlineStr">
        <is>
          <t>官方條文核對（自動）</t>
        </is>
      </c>
      <c r="L178" s="98" t="n">
        <v>46297</v>
      </c>
      <c r="M178" s="1">
        <f>IF(OR(A178="",B178="",C178=""),"",A178&amp;"|"&amp;B178&amp;"|"&amp;C178)</f>
        <v/>
      </c>
      <c r="N178" s="33">
        <f>IF(COUNTA(A178:L178)=0,"",IF(OR(A178="",B178="",C178="",D178="",I178="",J178=""),"缺必要欄位",IF(COUNTIFS(DB_05[標準鍵],M178)&gt;1,"標準鍵重複",IF(AND(G178&lt;&gt;"",H178&lt;&gt;"",G178&gt;H178),"日期起迄錯誤",IF(OR(AND(E178&lt;&gt;"",NOT(ISNUMBER(E178))),AND(F178&lt;&gt;"",NOT(ISNUMBER(F178)))),"標準非數值",IF(AND(J178="已核對",OR(K178="",NOT(ISNUMBER(L178)),NOT(ISNUMBER(G178)))),"缺核對資料","OK"))))))</f>
        <v/>
      </c>
    </row>
    <row r="179" ht="66" customHeight="1">
      <c r="A179" s="2" t="inlineStr">
        <is>
          <t>TW-SOIL-FOOD-20110131</t>
        </is>
      </c>
      <c r="B179" s="2" t="inlineStr">
        <is>
          <t>土壤</t>
        </is>
      </c>
      <c r="C179" s="2" t="inlineStr">
        <is>
          <t>阿特靈</t>
        </is>
      </c>
      <c r="D179" s="2" t="inlineStr">
        <is>
          <t>mg/kg</t>
        </is>
      </c>
      <c r="E179" s="97" t="n">
        <v>0.04</v>
      </c>
      <c r="F179" s="97" t="n"/>
      <c r="G179" s="98" t="n">
        <v>40574</v>
      </c>
      <c r="H179" s="98" t="n"/>
      <c r="I179" s="38" t="inlineStr">
        <is>
          <t>土壤管制§5／監測§4(2011-01-31)；食用作物農地。濃度以土壤乾基計。</t>
        </is>
      </c>
      <c r="J179" s="2" t="inlineStr">
        <is>
          <t>已核對</t>
        </is>
      </c>
      <c r="K179" s="2" t="inlineStr">
        <is>
          <t>官方條文核對（自動）</t>
        </is>
      </c>
      <c r="L179" s="98" t="n">
        <v>46297</v>
      </c>
      <c r="M179" s="1">
        <f>IF(OR(A179="",B179="",C179=""),"",A179&amp;"|"&amp;B179&amp;"|"&amp;C179)</f>
        <v/>
      </c>
      <c r="N179" s="33">
        <f>IF(COUNTA(A179:L179)=0,"",IF(OR(A179="",B179="",C179="",D179="",I179="",J179=""),"缺必要欄位",IF(COUNTIFS(DB_05[標準鍵],M179)&gt;1,"標準鍵重複",IF(AND(G179&lt;&gt;"",H179&lt;&gt;"",G179&gt;H179),"日期起迄錯誤",IF(OR(AND(E179&lt;&gt;"",NOT(ISNUMBER(E179))),AND(F179&lt;&gt;"",NOT(ISNUMBER(F179)))),"標準非數值",IF(AND(J179="已核對",OR(K179="",NOT(ISNUMBER(L179)),NOT(ISNUMBER(G179)))),"缺核對資料","OK"))))))</f>
        <v/>
      </c>
    </row>
    <row r="180" ht="66" customHeight="1">
      <c r="A180" s="2" t="inlineStr">
        <is>
          <t>TW-SOIL-20110131</t>
        </is>
      </c>
      <c r="B180" s="2" t="inlineStr">
        <is>
          <t>土壤</t>
        </is>
      </c>
      <c r="C180" s="2" t="inlineStr">
        <is>
          <t>可氯丹</t>
        </is>
      </c>
      <c r="D180" s="2" t="inlineStr">
        <is>
          <t>mg/kg</t>
        </is>
      </c>
      <c r="E180" s="97" t="n">
        <v>0.5</v>
      </c>
      <c r="F180" s="97" t="n"/>
      <c r="G180" s="98" t="n">
        <v>40574</v>
      </c>
      <c r="H180" s="98" t="n"/>
      <c r="I180" s="38" t="inlineStr">
        <is>
          <t>土壤管制§5／監測§4(2011-01-31)；一般土壤；食用作物農地須改選農地版本。濃度以土壤乾基計。</t>
        </is>
      </c>
      <c r="J180" s="2" t="inlineStr">
        <is>
          <t>已核對</t>
        </is>
      </c>
      <c r="K180" s="2" t="inlineStr">
        <is>
          <t>官方條文核對（自動）</t>
        </is>
      </c>
      <c r="L180" s="98" t="n">
        <v>46297</v>
      </c>
      <c r="M180" s="1">
        <f>IF(OR(A180="",B180="",C180=""),"",A180&amp;"|"&amp;B180&amp;"|"&amp;C180)</f>
        <v/>
      </c>
      <c r="N180" s="33">
        <f>IF(COUNTA(A180:L180)=0,"",IF(OR(A180="",B180="",C180="",D180="",I180="",J180=""),"缺必要欄位",IF(COUNTIFS(DB_05[標準鍵],M180)&gt;1,"標準鍵重複",IF(AND(G180&lt;&gt;"",H180&lt;&gt;"",G180&gt;H180),"日期起迄錯誤",IF(OR(AND(E180&lt;&gt;"",NOT(ISNUMBER(E180))),AND(F180&lt;&gt;"",NOT(ISNUMBER(F180)))),"標準非數值",IF(AND(J180="已核對",OR(K180="",NOT(ISNUMBER(L180)),NOT(ISNUMBER(G180)))),"缺核對資料","OK"))))))</f>
        <v/>
      </c>
    </row>
    <row r="181" ht="66" customHeight="1">
      <c r="A181" s="2" t="inlineStr">
        <is>
          <t>TW-SOIL-FOOD-20110131</t>
        </is>
      </c>
      <c r="B181" s="2" t="inlineStr">
        <is>
          <t>土壤</t>
        </is>
      </c>
      <c r="C181" s="2" t="inlineStr">
        <is>
          <t>可氯丹</t>
        </is>
      </c>
      <c r="D181" s="2" t="inlineStr">
        <is>
          <t>mg/kg</t>
        </is>
      </c>
      <c r="E181" s="97" t="n">
        <v>0.5</v>
      </c>
      <c r="F181" s="97" t="n"/>
      <c r="G181" s="98" t="n">
        <v>40574</v>
      </c>
      <c r="H181" s="98" t="n"/>
      <c r="I181" s="38" t="inlineStr">
        <is>
          <t>土壤管制§5／監測§4(2011-01-31)；食用作物農地。濃度以土壤乾基計。</t>
        </is>
      </c>
      <c r="J181" s="2" t="inlineStr">
        <is>
          <t>已核對</t>
        </is>
      </c>
      <c r="K181" s="2" t="inlineStr">
        <is>
          <t>官方條文核對（自動）</t>
        </is>
      </c>
      <c r="L181" s="98" t="n">
        <v>46297</v>
      </c>
      <c r="M181" s="1">
        <f>IF(OR(A181="",B181="",C181=""),"",A181&amp;"|"&amp;B181&amp;"|"&amp;C181)</f>
        <v/>
      </c>
      <c r="N181" s="33">
        <f>IF(COUNTA(A181:L181)=0,"",IF(OR(A181="",B181="",C181="",D181="",I181="",J181=""),"缺必要欄位",IF(COUNTIFS(DB_05[標準鍵],M181)&gt;1,"標準鍵重複",IF(AND(G181&lt;&gt;"",H181&lt;&gt;"",G181&gt;H181),"日期起迄錯誤",IF(OR(AND(E181&lt;&gt;"",NOT(ISNUMBER(E181))),AND(F181&lt;&gt;"",NOT(ISNUMBER(F181)))),"標準非數值",IF(AND(J181="已核對",OR(K181="",NOT(ISNUMBER(L181)),NOT(ISNUMBER(G181)))),"缺核對資料","OK"))))))</f>
        <v/>
      </c>
    </row>
    <row r="182" ht="66" customHeight="1">
      <c r="A182" s="2" t="inlineStr">
        <is>
          <t>TW-SOIL-20110131</t>
        </is>
      </c>
      <c r="B182" s="2" t="inlineStr">
        <is>
          <t>土壤</t>
        </is>
      </c>
      <c r="C182" s="2" t="inlineStr">
        <is>
          <t>二氯二苯基三氯乙烷及其衍生物</t>
        </is>
      </c>
      <c r="D182" s="2" t="inlineStr">
        <is>
          <t>mg/kg</t>
        </is>
      </c>
      <c r="E182" s="97" t="n">
        <v>3</v>
      </c>
      <c r="F182" s="97" t="n"/>
      <c r="G182" s="98" t="n">
        <v>40574</v>
      </c>
      <c r="H182" s="98" t="n"/>
      <c r="I182" s="38" t="inlineStr">
        <is>
          <t>土壤管制§5／監測§4(2011-01-31)；一般土壤；食用作物農地須改選農地版本。濃度以土壤乾基計。</t>
        </is>
      </c>
      <c r="J182" s="2" t="inlineStr">
        <is>
          <t>已核對</t>
        </is>
      </c>
      <c r="K182" s="2" t="inlineStr">
        <is>
          <t>官方條文核對（自動）</t>
        </is>
      </c>
      <c r="L182" s="98" t="n">
        <v>46297</v>
      </c>
      <c r="M182" s="1">
        <f>IF(OR(A182="",B182="",C182=""),"",A182&amp;"|"&amp;B182&amp;"|"&amp;C182)</f>
        <v/>
      </c>
      <c r="N182" s="33">
        <f>IF(COUNTA(A182:L182)=0,"",IF(OR(A182="",B182="",C182="",D182="",I182="",J182=""),"缺必要欄位",IF(COUNTIFS(DB_05[標準鍵],M182)&gt;1,"標準鍵重複",IF(AND(G182&lt;&gt;"",H182&lt;&gt;"",G182&gt;H182),"日期起迄錯誤",IF(OR(AND(E182&lt;&gt;"",NOT(ISNUMBER(E182))),AND(F182&lt;&gt;"",NOT(ISNUMBER(F182)))),"標準非數值",IF(AND(J182="已核對",OR(K182="",NOT(ISNUMBER(L182)),NOT(ISNUMBER(G182)))),"缺核對資料","OK"))))))</f>
        <v/>
      </c>
    </row>
    <row r="183" ht="66" customHeight="1">
      <c r="A183" s="2" t="inlineStr">
        <is>
          <t>TW-SOIL-FOOD-20110131</t>
        </is>
      </c>
      <c r="B183" s="2" t="inlineStr">
        <is>
          <t>土壤</t>
        </is>
      </c>
      <c r="C183" s="2" t="inlineStr">
        <is>
          <t>二氯二苯基三氯乙烷及其衍生物</t>
        </is>
      </c>
      <c r="D183" s="2" t="inlineStr">
        <is>
          <t>mg/kg</t>
        </is>
      </c>
      <c r="E183" s="97" t="n">
        <v>3</v>
      </c>
      <c r="F183" s="97" t="n"/>
      <c r="G183" s="98" t="n">
        <v>40574</v>
      </c>
      <c r="H183" s="98" t="n"/>
      <c r="I183" s="38" t="inlineStr">
        <is>
          <t>土壤管制§5／監測§4(2011-01-31)；食用作物農地。濃度以土壤乾基計。</t>
        </is>
      </c>
      <c r="J183" s="2" t="inlineStr">
        <is>
          <t>已核對</t>
        </is>
      </c>
      <c r="K183" s="2" t="inlineStr">
        <is>
          <t>官方條文核對（自動）</t>
        </is>
      </c>
      <c r="L183" s="98" t="n">
        <v>46297</v>
      </c>
      <c r="M183" s="1">
        <f>IF(OR(A183="",B183="",C183=""),"",A183&amp;"|"&amp;B183&amp;"|"&amp;C183)</f>
        <v/>
      </c>
      <c r="N183" s="33">
        <f>IF(COUNTA(A183:L183)=0,"",IF(OR(A183="",B183="",C183="",D183="",I183="",J183=""),"缺必要欄位",IF(COUNTIFS(DB_05[標準鍵],M183)&gt;1,"標準鍵重複",IF(AND(G183&lt;&gt;"",H183&lt;&gt;"",G183&gt;H183),"日期起迄錯誤",IF(OR(AND(E183&lt;&gt;"",NOT(ISNUMBER(E183))),AND(F183&lt;&gt;"",NOT(ISNUMBER(F183)))),"標準非數值",IF(AND(J183="已核對",OR(K183="",NOT(ISNUMBER(L183)),NOT(ISNUMBER(G183)))),"缺核對資料","OK"))))))</f>
        <v/>
      </c>
    </row>
    <row r="184" ht="66" customHeight="1">
      <c r="A184" s="2" t="inlineStr">
        <is>
          <t>TW-SOIL-20110131</t>
        </is>
      </c>
      <c r="B184" s="2" t="inlineStr">
        <is>
          <t>土壤</t>
        </is>
      </c>
      <c r="C184" s="2" t="inlineStr">
        <is>
          <t>地特靈</t>
        </is>
      </c>
      <c r="D184" s="2" t="inlineStr">
        <is>
          <t>mg/kg</t>
        </is>
      </c>
      <c r="E184" s="97" t="n">
        <v>0.04</v>
      </c>
      <c r="F184" s="97" t="n"/>
      <c r="G184" s="98" t="n">
        <v>40574</v>
      </c>
      <c r="H184" s="98" t="n"/>
      <c r="I184" s="38" t="inlineStr">
        <is>
          <t>土壤管制§5／監測§4(2011-01-31)；一般土壤；食用作物農地須改選農地版本。濃度以土壤乾基計。</t>
        </is>
      </c>
      <c r="J184" s="2" t="inlineStr">
        <is>
          <t>已核對</t>
        </is>
      </c>
      <c r="K184" s="2" t="inlineStr">
        <is>
          <t>官方條文核對（自動）</t>
        </is>
      </c>
      <c r="L184" s="98" t="n">
        <v>46297</v>
      </c>
      <c r="M184" s="1">
        <f>IF(OR(A184="",B184="",C184=""),"",A184&amp;"|"&amp;B184&amp;"|"&amp;C184)</f>
        <v/>
      </c>
      <c r="N184" s="33">
        <f>IF(COUNTA(A184:L184)=0,"",IF(OR(A184="",B184="",C184="",D184="",I184="",J184=""),"缺必要欄位",IF(COUNTIFS(DB_05[標準鍵],M184)&gt;1,"標準鍵重複",IF(AND(G184&lt;&gt;"",H184&lt;&gt;"",G184&gt;H184),"日期起迄錯誤",IF(OR(AND(E184&lt;&gt;"",NOT(ISNUMBER(E184))),AND(F184&lt;&gt;"",NOT(ISNUMBER(F184)))),"標準非數值",IF(AND(J184="已核對",OR(K184="",NOT(ISNUMBER(L184)),NOT(ISNUMBER(G184)))),"缺核對資料","OK"))))))</f>
        <v/>
      </c>
    </row>
    <row r="185" ht="66" customHeight="1">
      <c r="A185" s="2" t="inlineStr">
        <is>
          <t>TW-SOIL-FOOD-20110131</t>
        </is>
      </c>
      <c r="B185" s="2" t="inlineStr">
        <is>
          <t>土壤</t>
        </is>
      </c>
      <c r="C185" s="2" t="inlineStr">
        <is>
          <t>地特靈</t>
        </is>
      </c>
      <c r="D185" s="2" t="inlineStr">
        <is>
          <t>mg/kg</t>
        </is>
      </c>
      <c r="E185" s="97" t="n">
        <v>0.04</v>
      </c>
      <c r="F185" s="97" t="n"/>
      <c r="G185" s="98" t="n">
        <v>40574</v>
      </c>
      <c r="H185" s="98" t="n"/>
      <c r="I185" s="38" t="inlineStr">
        <is>
          <t>土壤管制§5／監測§4(2011-01-31)；食用作物農地。濃度以土壤乾基計。</t>
        </is>
      </c>
      <c r="J185" s="2" t="inlineStr">
        <is>
          <t>已核對</t>
        </is>
      </c>
      <c r="K185" s="2" t="inlineStr">
        <is>
          <t>官方條文核對（自動）</t>
        </is>
      </c>
      <c r="L185" s="98" t="n">
        <v>46297</v>
      </c>
      <c r="M185" s="1">
        <f>IF(OR(A185="",B185="",C185=""),"",A185&amp;"|"&amp;B185&amp;"|"&amp;C185)</f>
        <v/>
      </c>
      <c r="N185" s="33">
        <f>IF(COUNTA(A185:L185)=0,"",IF(OR(A185="",B185="",C185="",D185="",I185="",J185=""),"缺必要欄位",IF(COUNTIFS(DB_05[標準鍵],M185)&gt;1,"標準鍵重複",IF(AND(G185&lt;&gt;"",H185&lt;&gt;"",G185&gt;H185),"日期起迄錯誤",IF(OR(AND(E185&lt;&gt;"",NOT(ISNUMBER(E185))),AND(F185&lt;&gt;"",NOT(ISNUMBER(F185)))),"標準非數值",IF(AND(J185="已核對",OR(K185="",NOT(ISNUMBER(L185)),NOT(ISNUMBER(G185)))),"缺核對資料","OK"))))))</f>
        <v/>
      </c>
    </row>
    <row r="186" ht="66" customHeight="1">
      <c r="A186" s="2" t="inlineStr">
        <is>
          <t>TW-SOIL-20110131</t>
        </is>
      </c>
      <c r="B186" s="2" t="inlineStr">
        <is>
          <t>土壤</t>
        </is>
      </c>
      <c r="C186" s="2" t="inlineStr">
        <is>
          <t>安特靈</t>
        </is>
      </c>
      <c r="D186" s="2" t="inlineStr">
        <is>
          <t>mg/kg</t>
        </is>
      </c>
      <c r="E186" s="97" t="n">
        <v>20</v>
      </c>
      <c r="F186" s="97" t="n"/>
      <c r="G186" s="98" t="n">
        <v>40574</v>
      </c>
      <c r="H186" s="98" t="n"/>
      <c r="I186" s="38" t="inlineStr">
        <is>
          <t>土壤管制§5／監測§4(2011-01-31)；一般土壤；食用作物農地須改選農地版本。濃度以土壤乾基計。</t>
        </is>
      </c>
      <c r="J186" s="2" t="inlineStr">
        <is>
          <t>已核對</t>
        </is>
      </c>
      <c r="K186" s="2" t="inlineStr">
        <is>
          <t>官方條文核對（自動）</t>
        </is>
      </c>
      <c r="L186" s="98" t="n">
        <v>46297</v>
      </c>
      <c r="M186" s="1">
        <f>IF(OR(A186="",B186="",C186=""),"",A186&amp;"|"&amp;B186&amp;"|"&amp;C186)</f>
        <v/>
      </c>
      <c r="N186" s="33">
        <f>IF(COUNTA(A186:L186)=0,"",IF(OR(A186="",B186="",C186="",D186="",I186="",J186=""),"缺必要欄位",IF(COUNTIFS(DB_05[標準鍵],M186)&gt;1,"標準鍵重複",IF(AND(G186&lt;&gt;"",H186&lt;&gt;"",G186&gt;H186),"日期起迄錯誤",IF(OR(AND(E186&lt;&gt;"",NOT(ISNUMBER(E186))),AND(F186&lt;&gt;"",NOT(ISNUMBER(F186)))),"標準非數值",IF(AND(J186="已核對",OR(K186="",NOT(ISNUMBER(L186)),NOT(ISNUMBER(G186)))),"缺核對資料","OK"))))))</f>
        <v/>
      </c>
    </row>
    <row r="187" ht="66" customHeight="1">
      <c r="A187" s="2" t="inlineStr">
        <is>
          <t>TW-SOIL-FOOD-20110131</t>
        </is>
      </c>
      <c r="B187" s="2" t="inlineStr">
        <is>
          <t>土壤</t>
        </is>
      </c>
      <c r="C187" s="2" t="inlineStr">
        <is>
          <t>安特靈</t>
        </is>
      </c>
      <c r="D187" s="2" t="inlineStr">
        <is>
          <t>mg/kg</t>
        </is>
      </c>
      <c r="E187" s="97" t="n">
        <v>20</v>
      </c>
      <c r="F187" s="97" t="n"/>
      <c r="G187" s="98" t="n">
        <v>40574</v>
      </c>
      <c r="H187" s="98" t="n"/>
      <c r="I187" s="38" t="inlineStr">
        <is>
          <t>土壤管制§5／監測§4(2011-01-31)；食用作物農地。濃度以土壤乾基計。</t>
        </is>
      </c>
      <c r="J187" s="2" t="inlineStr">
        <is>
          <t>已核對</t>
        </is>
      </c>
      <c r="K187" s="2" t="inlineStr">
        <is>
          <t>官方條文核對（自動）</t>
        </is>
      </c>
      <c r="L187" s="98" t="n">
        <v>46297</v>
      </c>
      <c r="M187" s="1">
        <f>IF(OR(A187="",B187="",C187=""),"",A187&amp;"|"&amp;B187&amp;"|"&amp;C187)</f>
        <v/>
      </c>
      <c r="N187" s="33">
        <f>IF(COUNTA(A187:L187)=0,"",IF(OR(A187="",B187="",C187="",D187="",I187="",J187=""),"缺必要欄位",IF(COUNTIFS(DB_05[標準鍵],M187)&gt;1,"標準鍵重複",IF(AND(G187&lt;&gt;"",H187&lt;&gt;"",G187&gt;H187),"日期起迄錯誤",IF(OR(AND(E187&lt;&gt;"",NOT(ISNUMBER(E187))),AND(F187&lt;&gt;"",NOT(ISNUMBER(F187)))),"標準非數值",IF(AND(J187="已核對",OR(K187="",NOT(ISNUMBER(L187)),NOT(ISNUMBER(G187)))),"缺核對資料","OK"))))))</f>
        <v/>
      </c>
    </row>
    <row r="188" ht="66" customHeight="1">
      <c r="A188" s="2" t="inlineStr">
        <is>
          <t>TW-SOIL-20110131</t>
        </is>
      </c>
      <c r="B188" s="2" t="inlineStr">
        <is>
          <t>土壤</t>
        </is>
      </c>
      <c r="C188" s="2" t="inlineStr">
        <is>
          <t>飛佈達</t>
        </is>
      </c>
      <c r="D188" s="2" t="inlineStr">
        <is>
          <t>mg/kg</t>
        </is>
      </c>
      <c r="E188" s="97" t="n">
        <v>0.2</v>
      </c>
      <c r="F188" s="97" t="n"/>
      <c r="G188" s="98" t="n">
        <v>40574</v>
      </c>
      <c r="H188" s="98" t="n"/>
      <c r="I188" s="38" t="inlineStr">
        <is>
          <t>土壤管制§5／監測§4(2011-01-31)；一般土壤；食用作物農地須改選農地版本。濃度以土壤乾基計。</t>
        </is>
      </c>
      <c r="J188" s="2" t="inlineStr">
        <is>
          <t>已核對</t>
        </is>
      </c>
      <c r="K188" s="2" t="inlineStr">
        <is>
          <t>官方條文核對（自動）</t>
        </is>
      </c>
      <c r="L188" s="98" t="n">
        <v>46297</v>
      </c>
      <c r="M188" s="1">
        <f>IF(OR(A188="",B188="",C188=""),"",A188&amp;"|"&amp;B188&amp;"|"&amp;C188)</f>
        <v/>
      </c>
      <c r="N188" s="33">
        <f>IF(COUNTA(A188:L188)=0,"",IF(OR(A188="",B188="",C188="",D188="",I188="",J188=""),"缺必要欄位",IF(COUNTIFS(DB_05[標準鍵],M188)&gt;1,"標準鍵重複",IF(AND(G188&lt;&gt;"",H188&lt;&gt;"",G188&gt;H188),"日期起迄錯誤",IF(OR(AND(E188&lt;&gt;"",NOT(ISNUMBER(E188))),AND(F188&lt;&gt;"",NOT(ISNUMBER(F188)))),"標準非數值",IF(AND(J188="已核對",OR(K188="",NOT(ISNUMBER(L188)),NOT(ISNUMBER(G188)))),"缺核對資料","OK"))))))</f>
        <v/>
      </c>
    </row>
    <row r="189" ht="66" customHeight="1">
      <c r="A189" s="2" t="inlineStr">
        <is>
          <t>TW-SOIL-FOOD-20110131</t>
        </is>
      </c>
      <c r="B189" s="2" t="inlineStr">
        <is>
          <t>土壤</t>
        </is>
      </c>
      <c r="C189" s="2" t="inlineStr">
        <is>
          <t>飛佈達</t>
        </is>
      </c>
      <c r="D189" s="2" t="inlineStr">
        <is>
          <t>mg/kg</t>
        </is>
      </c>
      <c r="E189" s="97" t="n">
        <v>0.2</v>
      </c>
      <c r="F189" s="97" t="n"/>
      <c r="G189" s="98" t="n">
        <v>40574</v>
      </c>
      <c r="H189" s="98" t="n"/>
      <c r="I189" s="38" t="inlineStr">
        <is>
          <t>土壤管制§5／監測§4(2011-01-31)；食用作物農地。濃度以土壤乾基計。</t>
        </is>
      </c>
      <c r="J189" s="2" t="inlineStr">
        <is>
          <t>已核對</t>
        </is>
      </c>
      <c r="K189" s="2" t="inlineStr">
        <is>
          <t>官方條文核對（自動）</t>
        </is>
      </c>
      <c r="L189" s="98" t="n">
        <v>46297</v>
      </c>
      <c r="M189" s="1">
        <f>IF(OR(A189="",B189="",C189=""),"",A189&amp;"|"&amp;B189&amp;"|"&amp;C189)</f>
        <v/>
      </c>
      <c r="N189" s="33">
        <f>IF(COUNTA(A189:L189)=0,"",IF(OR(A189="",B189="",C189="",D189="",I189="",J189=""),"缺必要欄位",IF(COUNTIFS(DB_05[標準鍵],M189)&gt;1,"標準鍵重複",IF(AND(G189&lt;&gt;"",H189&lt;&gt;"",G189&gt;H189),"日期起迄錯誤",IF(OR(AND(E189&lt;&gt;"",NOT(ISNUMBER(E189))),AND(F189&lt;&gt;"",NOT(ISNUMBER(F189)))),"標準非數值",IF(AND(J189="已核對",OR(K189="",NOT(ISNUMBER(L189)),NOT(ISNUMBER(G189)))),"缺核對資料","OK"))))))</f>
        <v/>
      </c>
    </row>
    <row r="190" ht="66" customHeight="1">
      <c r="A190" s="2" t="inlineStr">
        <is>
          <t>TW-SOIL-20110131</t>
        </is>
      </c>
      <c r="B190" s="2" t="inlineStr">
        <is>
          <t>土壤</t>
        </is>
      </c>
      <c r="C190" s="2" t="inlineStr">
        <is>
          <t>毒殺芬</t>
        </is>
      </c>
      <c r="D190" s="2" t="inlineStr">
        <is>
          <t>mg/kg</t>
        </is>
      </c>
      <c r="E190" s="97" t="n">
        <v>0.6</v>
      </c>
      <c r="F190" s="97" t="n"/>
      <c r="G190" s="98" t="n">
        <v>40574</v>
      </c>
      <c r="H190" s="98" t="n"/>
      <c r="I190" s="38" t="inlineStr">
        <is>
          <t>土壤管制§5／監測§4(2011-01-31)；一般土壤；食用作物農地須改選農地版本。濃度以土壤乾基計。</t>
        </is>
      </c>
      <c r="J190" s="2" t="inlineStr">
        <is>
          <t>已核對</t>
        </is>
      </c>
      <c r="K190" s="2" t="inlineStr">
        <is>
          <t>官方條文核對（自動）</t>
        </is>
      </c>
      <c r="L190" s="98" t="n">
        <v>46297</v>
      </c>
      <c r="M190" s="1">
        <f>IF(OR(A190="",B190="",C190=""),"",A190&amp;"|"&amp;B190&amp;"|"&amp;C190)</f>
        <v/>
      </c>
      <c r="N190" s="33">
        <f>IF(COUNTA(A190:L190)=0,"",IF(OR(A190="",B190="",C190="",D190="",I190="",J190=""),"缺必要欄位",IF(COUNTIFS(DB_05[標準鍵],M190)&gt;1,"標準鍵重複",IF(AND(G190&lt;&gt;"",H190&lt;&gt;"",G190&gt;H190),"日期起迄錯誤",IF(OR(AND(E190&lt;&gt;"",NOT(ISNUMBER(E190))),AND(F190&lt;&gt;"",NOT(ISNUMBER(F190)))),"標準非數值",IF(AND(J190="已核對",OR(K190="",NOT(ISNUMBER(L190)),NOT(ISNUMBER(G190)))),"缺核對資料","OK"))))))</f>
        <v/>
      </c>
    </row>
    <row r="191" ht="66" customHeight="1">
      <c r="A191" s="2" t="inlineStr">
        <is>
          <t>TW-SOIL-FOOD-20110131</t>
        </is>
      </c>
      <c r="B191" s="2" t="inlineStr">
        <is>
          <t>土壤</t>
        </is>
      </c>
      <c r="C191" s="2" t="inlineStr">
        <is>
          <t>毒殺芬</t>
        </is>
      </c>
      <c r="D191" s="2" t="inlineStr">
        <is>
          <t>mg/kg</t>
        </is>
      </c>
      <c r="E191" s="97" t="n">
        <v>0.6</v>
      </c>
      <c r="F191" s="97" t="n"/>
      <c r="G191" s="98" t="n">
        <v>40574</v>
      </c>
      <c r="H191" s="98" t="n"/>
      <c r="I191" s="38" t="inlineStr">
        <is>
          <t>土壤管制§5／監測§4(2011-01-31)；食用作物農地。濃度以土壤乾基計。</t>
        </is>
      </c>
      <c r="J191" s="2" t="inlineStr">
        <is>
          <t>已核對</t>
        </is>
      </c>
      <c r="K191" s="2" t="inlineStr">
        <is>
          <t>官方條文核對（自動）</t>
        </is>
      </c>
      <c r="L191" s="98" t="n">
        <v>46297</v>
      </c>
      <c r="M191" s="1">
        <f>IF(OR(A191="",B191="",C191=""),"",A191&amp;"|"&amp;B191&amp;"|"&amp;C191)</f>
        <v/>
      </c>
      <c r="N191" s="33">
        <f>IF(COUNTA(A191:L191)=0,"",IF(OR(A191="",B191="",C191="",D191="",I191="",J191=""),"缺必要欄位",IF(COUNTIFS(DB_05[標準鍵],M191)&gt;1,"標準鍵重複",IF(AND(G191&lt;&gt;"",H191&lt;&gt;"",G191&gt;H191),"日期起迄錯誤",IF(OR(AND(E191&lt;&gt;"",NOT(ISNUMBER(E191))),AND(F191&lt;&gt;"",NOT(ISNUMBER(F191)))),"標準非數值",IF(AND(J191="已核對",OR(K191="",NOT(ISNUMBER(L191)),NOT(ISNUMBER(G191)))),"缺核對資料","OK"))))))</f>
        <v/>
      </c>
    </row>
    <row r="192" ht="66" customHeight="1">
      <c r="A192" s="2" t="inlineStr">
        <is>
          <t>TW-SOIL-20110131</t>
        </is>
      </c>
      <c r="B192" s="2" t="inlineStr">
        <is>
          <t>土壤</t>
        </is>
      </c>
      <c r="C192" s="2" t="inlineStr">
        <is>
          <t>安殺番</t>
        </is>
      </c>
      <c r="D192" s="2" t="inlineStr">
        <is>
          <t>mg/kg</t>
        </is>
      </c>
      <c r="E192" s="97" t="n">
        <v>60</v>
      </c>
      <c r="F192" s="97" t="n"/>
      <c r="G192" s="98" t="n">
        <v>40574</v>
      </c>
      <c r="H192" s="98" t="n"/>
      <c r="I192" s="38" t="inlineStr">
        <is>
          <t>土壤管制§5／監測§4(2011-01-31)；一般土壤；食用作物農地須改選農地版本。濃度以土壤乾基計。</t>
        </is>
      </c>
      <c r="J192" s="2" t="inlineStr">
        <is>
          <t>已核對</t>
        </is>
      </c>
      <c r="K192" s="2" t="inlineStr">
        <is>
          <t>官方條文核對（自動）</t>
        </is>
      </c>
      <c r="L192" s="98" t="n">
        <v>46297</v>
      </c>
      <c r="M192" s="1">
        <f>IF(OR(A192="",B192="",C192=""),"",A192&amp;"|"&amp;B192&amp;"|"&amp;C192)</f>
        <v/>
      </c>
      <c r="N192" s="33">
        <f>IF(COUNTA(A192:L192)=0,"",IF(OR(A192="",B192="",C192="",D192="",I192="",J192=""),"缺必要欄位",IF(COUNTIFS(DB_05[標準鍵],M192)&gt;1,"標準鍵重複",IF(AND(G192&lt;&gt;"",H192&lt;&gt;"",G192&gt;H192),"日期起迄錯誤",IF(OR(AND(E192&lt;&gt;"",NOT(ISNUMBER(E192))),AND(F192&lt;&gt;"",NOT(ISNUMBER(F192)))),"標準非數值",IF(AND(J192="已核對",OR(K192="",NOT(ISNUMBER(L192)),NOT(ISNUMBER(G192)))),"缺核對資料","OK"))))))</f>
        <v/>
      </c>
    </row>
    <row r="193" ht="66" customHeight="1">
      <c r="A193" s="2" t="inlineStr">
        <is>
          <t>TW-SOIL-FOOD-20110131</t>
        </is>
      </c>
      <c r="B193" s="2" t="inlineStr">
        <is>
          <t>土壤</t>
        </is>
      </c>
      <c r="C193" s="2" t="inlineStr">
        <is>
          <t>安殺番</t>
        </is>
      </c>
      <c r="D193" s="2" t="inlineStr">
        <is>
          <t>mg/kg</t>
        </is>
      </c>
      <c r="E193" s="97" t="n">
        <v>60</v>
      </c>
      <c r="F193" s="97" t="n"/>
      <c r="G193" s="98" t="n">
        <v>40574</v>
      </c>
      <c r="H193" s="98" t="n"/>
      <c r="I193" s="38" t="inlineStr">
        <is>
          <t>土壤管制§5／監測§4(2011-01-31)；食用作物農地。濃度以土壤乾基計。</t>
        </is>
      </c>
      <c r="J193" s="2" t="inlineStr">
        <is>
          <t>已核對</t>
        </is>
      </c>
      <c r="K193" s="2" t="inlineStr">
        <is>
          <t>官方條文核對（自動）</t>
        </is>
      </c>
      <c r="L193" s="98" t="n">
        <v>46297</v>
      </c>
      <c r="M193" s="1">
        <f>IF(OR(A193="",B193="",C193=""),"",A193&amp;"|"&amp;B193&amp;"|"&amp;C193)</f>
        <v/>
      </c>
      <c r="N193" s="33">
        <f>IF(COUNTA(A193:L193)=0,"",IF(OR(A193="",B193="",C193="",D193="",I193="",J193=""),"缺必要欄位",IF(COUNTIFS(DB_05[標準鍵],M193)&gt;1,"標準鍵重複",IF(AND(G193&lt;&gt;"",H193&lt;&gt;"",G193&gt;H193),"日期起迄錯誤",IF(OR(AND(E193&lt;&gt;"",NOT(ISNUMBER(E193))),AND(F193&lt;&gt;"",NOT(ISNUMBER(F193)))),"標準非數值",IF(AND(J193="已核對",OR(K193="",NOT(ISNUMBER(L193)),NOT(ISNUMBER(G193)))),"缺核對資料","OK"))))))</f>
        <v/>
      </c>
    </row>
    <row r="194" ht="66" customHeight="1">
      <c r="A194" s="2" t="inlineStr">
        <is>
          <t>TW-SOIL-20110131</t>
        </is>
      </c>
      <c r="B194" s="2" t="inlineStr">
        <is>
          <t>土壤</t>
        </is>
      </c>
      <c r="C194" s="2" t="inlineStr">
        <is>
          <t>戴奧辛</t>
        </is>
      </c>
      <c r="D194" s="2" t="inlineStr">
        <is>
          <t>ng-TEQ/kg</t>
        </is>
      </c>
      <c r="E194" s="97" t="n">
        <v>1000</v>
      </c>
      <c r="F194" s="97" t="n"/>
      <c r="G194" s="98" t="n">
        <v>40574</v>
      </c>
      <c r="H194" s="98" t="n"/>
      <c r="I194" s="38" t="inlineStr">
        <is>
          <t>土壤管制§5／監測§4(2011-01-31)；一般土壤；食用作物農地須改選農地版本。戴奧辛以I-TEF加權所得TEQ表示；乾基。</t>
        </is>
      </c>
      <c r="J194" s="2" t="inlineStr">
        <is>
          <t>已核對</t>
        </is>
      </c>
      <c r="K194" s="2" t="inlineStr">
        <is>
          <t>官方條文核對（自動）</t>
        </is>
      </c>
      <c r="L194" s="98" t="n">
        <v>46297</v>
      </c>
      <c r="M194" s="1">
        <f>IF(OR(A194="",B194="",C194=""),"",A194&amp;"|"&amp;B194&amp;"|"&amp;C194)</f>
        <v/>
      </c>
      <c r="N194" s="33">
        <f>IF(COUNTA(A194:L194)=0,"",IF(OR(A194="",B194="",C194="",D194="",I194="",J194=""),"缺必要欄位",IF(COUNTIFS(DB_05[標準鍵],M194)&gt;1,"標準鍵重複",IF(AND(G194&lt;&gt;"",H194&lt;&gt;"",G194&gt;H194),"日期起迄錯誤",IF(OR(AND(E194&lt;&gt;"",NOT(ISNUMBER(E194))),AND(F194&lt;&gt;"",NOT(ISNUMBER(F194)))),"標準非數值",IF(AND(J194="已核對",OR(K194="",NOT(ISNUMBER(L194)),NOT(ISNUMBER(G194)))),"缺核對資料","OK"))))))</f>
        <v/>
      </c>
    </row>
    <row r="195" ht="66" customHeight="1">
      <c r="A195" s="2" t="inlineStr">
        <is>
          <t>TW-SOIL-FOOD-20110131</t>
        </is>
      </c>
      <c r="B195" s="2" t="inlineStr">
        <is>
          <t>土壤</t>
        </is>
      </c>
      <c r="C195" s="2" t="inlineStr">
        <is>
          <t>戴奧辛</t>
        </is>
      </c>
      <c r="D195" s="2" t="inlineStr">
        <is>
          <t>ng-TEQ/kg</t>
        </is>
      </c>
      <c r="E195" s="97" t="n">
        <v>1000</v>
      </c>
      <c r="F195" s="97" t="n"/>
      <c r="G195" s="98" t="n">
        <v>40574</v>
      </c>
      <c r="H195" s="98" t="n"/>
      <c r="I195" s="38" t="inlineStr">
        <is>
          <t>土壤管制§5／監測§4(2011-01-31)；食用作物農地。戴奧辛以I-TEF加權所得TEQ表示；乾基。</t>
        </is>
      </c>
      <c r="J195" s="2" t="inlineStr">
        <is>
          <t>已核對</t>
        </is>
      </c>
      <c r="K195" s="2" t="inlineStr">
        <is>
          <t>官方條文核對（自動）</t>
        </is>
      </c>
      <c r="L195" s="98" t="n">
        <v>46297</v>
      </c>
      <c r="M195" s="1">
        <f>IF(OR(A195="",B195="",C195=""),"",A195&amp;"|"&amp;B195&amp;"|"&amp;C195)</f>
        <v/>
      </c>
      <c r="N195" s="33">
        <f>IF(COUNTA(A195:L195)=0,"",IF(OR(A195="",B195="",C195="",D195="",I195="",J195=""),"缺必要欄位",IF(COUNTIFS(DB_05[標準鍵],M195)&gt;1,"標準鍵重複",IF(AND(G195&lt;&gt;"",H195&lt;&gt;"",G195&gt;H195),"日期起迄錯誤",IF(OR(AND(E195&lt;&gt;"",NOT(ISNUMBER(E195))),AND(F195&lt;&gt;"",NOT(ISNUMBER(F195)))),"標準非數值",IF(AND(J195="已核對",OR(K195="",NOT(ISNUMBER(L195)),NOT(ISNUMBER(G195)))),"缺核對資料","OK"))))))</f>
        <v/>
      </c>
    </row>
    <row r="196" ht="66" customHeight="1">
      <c r="A196" s="2" t="inlineStr">
        <is>
          <t>TW-SOIL-20110131</t>
        </is>
      </c>
      <c r="B196" s="2" t="inlineStr">
        <is>
          <t>土壤</t>
        </is>
      </c>
      <c r="C196" s="2" t="inlineStr">
        <is>
          <t>多氯聯苯</t>
        </is>
      </c>
      <c r="D196" s="2" t="inlineStr">
        <is>
          <t>mg/kg</t>
        </is>
      </c>
      <c r="E196" s="97" t="n">
        <v>0.09</v>
      </c>
      <c r="F196" s="97" t="n"/>
      <c r="G196" s="98" t="n">
        <v>40574</v>
      </c>
      <c r="H196" s="98" t="n"/>
      <c r="I196" s="38" t="inlineStr">
        <is>
          <t>土壤管制§5／監測§4(2011-01-31)；一般土壤；食用作物農地須改選農地版本。濃度以土壤乾基計。</t>
        </is>
      </c>
      <c r="J196" s="2" t="inlineStr">
        <is>
          <t>已核對</t>
        </is>
      </c>
      <c r="K196" s="2" t="inlineStr">
        <is>
          <t>官方條文核對（自動）</t>
        </is>
      </c>
      <c r="L196" s="98" t="n">
        <v>46297</v>
      </c>
      <c r="M196" s="1">
        <f>IF(OR(A196="",B196="",C196=""),"",A196&amp;"|"&amp;B196&amp;"|"&amp;C196)</f>
        <v/>
      </c>
      <c r="N196" s="33">
        <f>IF(COUNTA(A196:L196)=0,"",IF(OR(A196="",B196="",C196="",D196="",I196="",J196=""),"缺必要欄位",IF(COUNTIFS(DB_05[標準鍵],M196)&gt;1,"標準鍵重複",IF(AND(G196&lt;&gt;"",H196&lt;&gt;"",G196&gt;H196),"日期起迄錯誤",IF(OR(AND(E196&lt;&gt;"",NOT(ISNUMBER(E196))),AND(F196&lt;&gt;"",NOT(ISNUMBER(F196)))),"標準非數值",IF(AND(J196="已核對",OR(K196="",NOT(ISNUMBER(L196)),NOT(ISNUMBER(G196)))),"缺核對資料","OK"))))))</f>
        <v/>
      </c>
    </row>
    <row r="197" ht="66" customHeight="1">
      <c r="A197" s="2" t="inlineStr">
        <is>
          <t>TW-SOIL-FOOD-20110131</t>
        </is>
      </c>
      <c r="B197" s="2" t="inlineStr">
        <is>
          <t>土壤</t>
        </is>
      </c>
      <c r="C197" s="2" t="inlineStr">
        <is>
          <t>多氯聯苯</t>
        </is>
      </c>
      <c r="D197" s="2" t="inlineStr">
        <is>
          <t>mg/kg</t>
        </is>
      </c>
      <c r="E197" s="97" t="n">
        <v>0.09</v>
      </c>
      <c r="F197" s="97" t="n"/>
      <c r="G197" s="98" t="n">
        <v>40574</v>
      </c>
      <c r="H197" s="98" t="n"/>
      <c r="I197" s="38" t="inlineStr">
        <is>
          <t>土壤管制§5／監測§4(2011-01-31)；食用作物農地。濃度以土壤乾基計。</t>
        </is>
      </c>
      <c r="J197" s="2" t="inlineStr">
        <is>
          <t>已核對</t>
        </is>
      </c>
      <c r="K197" s="2" t="inlineStr">
        <is>
          <t>官方條文核對（自動）</t>
        </is>
      </c>
      <c r="L197" s="98" t="n">
        <v>46297</v>
      </c>
      <c r="M197" s="1">
        <f>IF(OR(A197="",B197="",C197=""),"",A197&amp;"|"&amp;B197&amp;"|"&amp;C197)</f>
        <v/>
      </c>
      <c r="N197" s="33">
        <f>IF(COUNTA(A197:L197)=0,"",IF(OR(A197="",B197="",C197="",D197="",I197="",J197=""),"缺必要欄位",IF(COUNTIFS(DB_05[標準鍵],M197)&gt;1,"標準鍵重複",IF(AND(G197&lt;&gt;"",H197&lt;&gt;"",G197&gt;H197),"日期起迄錯誤",IF(OR(AND(E197&lt;&gt;"",NOT(ISNUMBER(E197))),AND(F197&lt;&gt;"",NOT(ISNUMBER(F197)))),"標準非數值",IF(AND(J197="已核對",OR(K197="",NOT(ISNUMBER(L197)),NOT(ISNUMBER(G197)))),"缺核對資料","OK"))))))</f>
        <v/>
      </c>
    </row>
    <row r="198" ht="66" customHeight="1">
      <c r="A198" s="2" t="inlineStr">
        <is>
          <t>TW-GW1-20251223</t>
        </is>
      </c>
      <c r="B198" s="2" t="inlineStr">
        <is>
          <t>地下水</t>
        </is>
      </c>
      <c r="C198" s="2" t="inlineStr">
        <is>
          <t>三氯甲烷(氯仿)</t>
        </is>
      </c>
      <c r="D198" s="2" t="inlineStr">
        <is>
          <t>mg/L</t>
        </is>
      </c>
      <c r="E198" s="97" t="n">
        <v>0.1</v>
      </c>
      <c r="F198" s="97" t="n">
        <v>0.05</v>
      </c>
      <c r="G198" s="98" t="n">
        <v>41640</v>
      </c>
      <c r="H198" s="98" t="n"/>
      <c r="I198" s="38" t="inlineStr">
        <is>
          <t>地下水管制§4(2025-12-23)／監測§4(2013-12-18)；地下水第1類；管制第4條、監測第4條。2025修法刪除砷備註，數值門檻未變，2014-01-01起相同。來源名稱三氯甲烷(氯仿)對應法規氯仿。</t>
        </is>
      </c>
      <c r="J198" s="2" t="inlineStr">
        <is>
          <t>已核對</t>
        </is>
      </c>
      <c r="K198" s="2" t="inlineStr">
        <is>
          <t>官方條文核對（自動）</t>
        </is>
      </c>
      <c r="L198" s="98" t="n">
        <v>46297</v>
      </c>
      <c r="M198" s="1">
        <f>IF(OR(A198="",B198="",C198=""),"",A198&amp;"|"&amp;B198&amp;"|"&amp;C198)</f>
        <v/>
      </c>
      <c r="N198" s="33">
        <f>IF(COUNTA(A198:L198)=0,"",IF(OR(A198="",B198="",C198="",D198="",I198="",J198=""),"缺必要欄位",IF(COUNTIFS(DB_05[標準鍵],M198)&gt;1,"標準鍵重複",IF(AND(G198&lt;&gt;"",H198&lt;&gt;"",G198&gt;H198),"日期起迄錯誤",IF(OR(AND(E198&lt;&gt;"",NOT(ISNUMBER(E198))),AND(F198&lt;&gt;"",NOT(ISNUMBER(F198)))),"標準非數值",IF(AND(J198="已核對",OR(K198="",NOT(ISNUMBER(L198)),NOT(ISNUMBER(G198)))),"缺核對資料","OK"))))))</f>
        <v/>
      </c>
    </row>
    <row r="199" ht="66" customHeight="1">
      <c r="A199" s="2" t="inlineStr">
        <is>
          <t>TW-GW2-20251223</t>
        </is>
      </c>
      <c r="B199" s="2" t="inlineStr">
        <is>
          <t>地下水</t>
        </is>
      </c>
      <c r="C199" s="2" t="inlineStr">
        <is>
          <t>三氯甲烷(氯仿)</t>
        </is>
      </c>
      <c r="D199" s="2" t="inlineStr">
        <is>
          <t>mg/L</t>
        </is>
      </c>
      <c r="E199" s="97" t="n">
        <v>1</v>
      </c>
      <c r="F199" s="97" t="n">
        <v>0.5</v>
      </c>
      <c r="G199" s="98" t="n">
        <v>41640</v>
      </c>
      <c r="H199" s="98" t="n"/>
      <c r="I199" s="38" t="inlineStr">
        <is>
          <t>地下水管制§4(2025-12-23)／監測§4(2013-12-18)；地下水第2類；管制第4條、監測第4條。2025修法刪除砷備註，數值門檻未變，2014-01-01起相同。來源名稱三氯甲烷(氯仿)對應法規氯仿。</t>
        </is>
      </c>
      <c r="J199" s="2" t="inlineStr">
        <is>
          <t>已核對</t>
        </is>
      </c>
      <c r="K199" s="2" t="inlineStr">
        <is>
          <t>官方條文核對（自動）</t>
        </is>
      </c>
      <c r="L199" s="98" t="n">
        <v>46297</v>
      </c>
      <c r="M199" s="1">
        <f>IF(OR(A199="",B199="",C199=""),"",A199&amp;"|"&amp;B199&amp;"|"&amp;C199)</f>
        <v/>
      </c>
      <c r="N199" s="33">
        <f>IF(COUNTA(A199:L199)=0,"",IF(OR(A199="",B199="",C199="",D199="",I199="",J199=""),"缺必要欄位",IF(COUNTIFS(DB_05[標準鍵],M199)&gt;1,"標準鍵重複",IF(AND(G199&lt;&gt;"",H199&lt;&gt;"",G199&gt;H199),"日期起迄錯誤",IF(OR(AND(E199&lt;&gt;"",NOT(ISNUMBER(E199))),AND(F199&lt;&gt;"",NOT(ISNUMBER(F199)))),"標準非數值",IF(AND(J199="已核對",OR(K199="",NOT(ISNUMBER(L199)),NOT(ISNUMBER(G199)))),"缺核對資料","OK"))))))</f>
        <v/>
      </c>
    </row>
    <row r="200" ht="66" customHeight="1">
      <c r="A200" s="2" t="inlineStr">
        <is>
          <t>TW-GW1-20251223</t>
        </is>
      </c>
      <c r="B200" s="2" t="inlineStr">
        <is>
          <t>地下水</t>
        </is>
      </c>
      <c r="C200" s="2" t="inlineStr">
        <is>
          <t>二甲苯(備註1.)</t>
        </is>
      </c>
      <c r="D200" s="2" t="inlineStr">
        <is>
          <t>mg/L</t>
        </is>
      </c>
      <c r="E200" s="97" t="n">
        <v>10</v>
      </c>
      <c r="F200" s="97" t="n">
        <v>5</v>
      </c>
      <c r="G200" s="98" t="n">
        <v>41640</v>
      </c>
      <c r="H200" s="98" t="n"/>
      <c r="I200" s="38" t="inlineStr">
        <is>
          <t>地下水管制§4(2025-12-23)／監測§4(2013-12-18)；地下水第1類；管制第4條、監測第4條。2025修法刪除砷備註，數值門檻未變，2014-01-01起相同。來源名稱二甲苯(備註1.)對應法規二甲苯。</t>
        </is>
      </c>
      <c r="J200" s="2" t="inlineStr">
        <is>
          <t>已核對</t>
        </is>
      </c>
      <c r="K200" s="2" t="inlineStr">
        <is>
          <t>官方條文核對（自動）</t>
        </is>
      </c>
      <c r="L200" s="98" t="n">
        <v>46297</v>
      </c>
      <c r="M200" s="1">
        <f>IF(OR(A200="",B200="",C200=""),"",A200&amp;"|"&amp;B200&amp;"|"&amp;C200)</f>
        <v/>
      </c>
      <c r="N200" s="33">
        <f>IF(COUNTA(A200:L200)=0,"",IF(OR(A200="",B200="",C200="",D200="",I200="",J200=""),"缺必要欄位",IF(COUNTIFS(DB_05[標準鍵],M200)&gt;1,"標準鍵重複",IF(AND(G200&lt;&gt;"",H200&lt;&gt;"",G200&gt;H200),"日期起迄錯誤",IF(OR(AND(E200&lt;&gt;"",NOT(ISNUMBER(E200))),AND(F200&lt;&gt;"",NOT(ISNUMBER(F200)))),"標準非數值",IF(AND(J200="已核對",OR(K200="",NOT(ISNUMBER(L200)),NOT(ISNUMBER(G200)))),"缺核對資料","OK"))))))</f>
        <v/>
      </c>
    </row>
    <row r="201" ht="66" customHeight="1">
      <c r="A201" s="2" t="inlineStr">
        <is>
          <t>TW-GW2-20251223</t>
        </is>
      </c>
      <c r="B201" s="2" t="inlineStr">
        <is>
          <t>地下水</t>
        </is>
      </c>
      <c r="C201" s="2" t="inlineStr">
        <is>
          <t>二甲苯(備註1.)</t>
        </is>
      </c>
      <c r="D201" s="2" t="inlineStr">
        <is>
          <t>mg/L</t>
        </is>
      </c>
      <c r="E201" s="97" t="n">
        <v>100</v>
      </c>
      <c r="F201" s="97" t="n">
        <v>50</v>
      </c>
      <c r="G201" s="98" t="n">
        <v>41640</v>
      </c>
      <c r="H201" s="98" t="n"/>
      <c r="I201" s="38" t="inlineStr">
        <is>
          <t>地下水管制§4(2025-12-23)／監測§4(2013-12-18)；地下水第2類；管制第4條、監測第4條。2025修法刪除砷備註，數值門檻未變，2014-01-01起相同。來源名稱二甲苯(備註1.)對應法規二甲苯。</t>
        </is>
      </c>
      <c r="J201" s="2" t="inlineStr">
        <is>
          <t>已核對</t>
        </is>
      </c>
      <c r="K201" s="2" t="inlineStr">
        <is>
          <t>官方條文核對（自動）</t>
        </is>
      </c>
      <c r="L201" s="98" t="n">
        <v>46297</v>
      </c>
      <c r="M201" s="1">
        <f>IF(OR(A201="",B201="",C201=""),"",A201&amp;"|"&amp;B201&amp;"|"&amp;C201)</f>
        <v/>
      </c>
      <c r="N201" s="33">
        <f>IF(COUNTA(A201:L201)=0,"",IF(OR(A201="",B201="",C201="",D201="",I201="",J201=""),"缺必要欄位",IF(COUNTIFS(DB_05[標準鍵],M201)&gt;1,"標準鍵重複",IF(AND(G201&lt;&gt;"",H201&lt;&gt;"",G201&gt;H201),"日期起迄錯誤",IF(OR(AND(E201&lt;&gt;"",NOT(ISNUMBER(E201))),AND(F201&lt;&gt;"",NOT(ISNUMBER(F201)))),"標準非數值",IF(AND(J201="已核對",OR(K201="",NOT(ISNUMBER(L201)),NOT(ISNUMBER(G201)))),"缺核對資料","OK"))))))</f>
        <v/>
      </c>
    </row>
    <row r="202" ht="66" customHeight="1">
      <c r="A202" s="2" t="inlineStr">
        <is>
          <t>TW-GW1-20251223</t>
        </is>
      </c>
      <c r="B202" s="2" t="inlineStr">
        <is>
          <t>地下水</t>
        </is>
      </c>
      <c r="C202" s="2" t="inlineStr">
        <is>
          <t>鐵(備註1.)</t>
        </is>
      </c>
      <c r="D202" s="2" t="inlineStr">
        <is>
          <t>mg/L</t>
        </is>
      </c>
      <c r="E202" s="97" t="n"/>
      <c r="F202" s="97" t="n">
        <v>0.15</v>
      </c>
      <c r="G202" s="98" t="n">
        <v>41640</v>
      </c>
      <c r="H202" s="98" t="n"/>
      <c r="I202" s="38" t="inlineStr">
        <is>
          <t>地下水管制§4(2025-12-23)／監測§4(2013-12-18)；地下水第1類；僅有監測值，未訂管制值。來源名稱鐵(備註1.)對應法規鐵。</t>
        </is>
      </c>
      <c r="J202" s="2" t="inlineStr">
        <is>
          <t>已核對</t>
        </is>
      </c>
      <c r="K202" s="2" t="inlineStr">
        <is>
          <t>官方條文核對（自動）</t>
        </is>
      </c>
      <c r="L202" s="98" t="n">
        <v>46297</v>
      </c>
      <c r="M202" s="1">
        <f>IF(OR(A202="",B202="",C202=""),"",A202&amp;"|"&amp;B202&amp;"|"&amp;C202)</f>
        <v/>
      </c>
      <c r="N202" s="33">
        <f>IF(COUNTA(A202:L202)=0,"",IF(OR(A202="",B202="",C202="",D202="",I202="",J202=""),"缺必要欄位",IF(COUNTIFS(DB_05[標準鍵],M202)&gt;1,"標準鍵重複",IF(AND(G202&lt;&gt;"",H202&lt;&gt;"",G202&gt;H202),"日期起迄錯誤",IF(OR(AND(E202&lt;&gt;"",NOT(ISNUMBER(E202))),AND(F202&lt;&gt;"",NOT(ISNUMBER(F202)))),"標準非數值",IF(AND(J202="已核對",OR(K202="",NOT(ISNUMBER(L202)),NOT(ISNUMBER(G202)))),"缺核對資料","OK"))))))</f>
        <v/>
      </c>
    </row>
    <row r="203" ht="66" customHeight="1">
      <c r="A203" s="2" t="inlineStr">
        <is>
          <t>TW-GW2-20251223</t>
        </is>
      </c>
      <c r="B203" s="2" t="inlineStr">
        <is>
          <t>地下水</t>
        </is>
      </c>
      <c r="C203" s="2" t="inlineStr">
        <is>
          <t>鐵(備註1.)</t>
        </is>
      </c>
      <c r="D203" s="2" t="inlineStr">
        <is>
          <t>mg/L</t>
        </is>
      </c>
      <c r="E203" s="97" t="n"/>
      <c r="F203" s="97" t="n">
        <v>1.5</v>
      </c>
      <c r="G203" s="98" t="n">
        <v>41640</v>
      </c>
      <c r="H203" s="98" t="n"/>
      <c r="I203" s="38" t="inlineStr">
        <is>
          <t>地下水管制§4(2025-12-23)／監測§4(2013-12-18)；地下水第2類；僅有監測值，未訂管制值。來源名稱鐵(備註1.)對應法規鐵。</t>
        </is>
      </c>
      <c r="J203" s="2" t="inlineStr">
        <is>
          <t>已核對</t>
        </is>
      </c>
      <c r="K203" s="2" t="inlineStr">
        <is>
          <t>官方條文核對（自動）</t>
        </is>
      </c>
      <c r="L203" s="98" t="n">
        <v>46297</v>
      </c>
      <c r="M203" s="1">
        <f>IF(OR(A203="",B203="",C203=""),"",A203&amp;"|"&amp;B203&amp;"|"&amp;C203)</f>
        <v/>
      </c>
      <c r="N203" s="33">
        <f>IF(COUNTA(A203:L203)=0,"",IF(OR(A203="",B203="",C203="",D203="",I203="",J203=""),"缺必要欄位",IF(COUNTIFS(DB_05[標準鍵],M203)&gt;1,"標準鍵重複",IF(AND(G203&lt;&gt;"",H203&lt;&gt;"",G203&gt;H203),"日期起迄錯誤",IF(OR(AND(E203&lt;&gt;"",NOT(ISNUMBER(E203))),AND(F203&lt;&gt;"",NOT(ISNUMBER(F203)))),"標準非數值",IF(AND(J203="已核對",OR(K203="",NOT(ISNUMBER(L203)),NOT(ISNUMBER(G203)))),"缺核對資料","OK"))))))</f>
        <v/>
      </c>
    </row>
  </sheetData>
  <conditionalFormatting sqref="N2:N203">
    <cfRule type="expression" priority="1" dxfId="0" stopIfTrue="1">
      <formula>AND(N2&lt;&gt;"",N2&lt;&gt;"OK")</formula>
    </cfRule>
  </conditionalFormatting>
  <dataValidations count="4">
    <dataValidation sqref="A2:A203" showDropDown="0" showInputMessage="1" showErrorMessage="1" allowBlank="1" errorTitle="請使用清單中的選項" error="先在對應主檔新增表格列，再於此選取。" type="list">
      <formula1>StandardVersionList</formula1>
    </dataValidation>
    <dataValidation sqref="B2:B203" showDropDown="0" showInputMessage="1" showErrorMessage="1" allowBlank="1" errorTitle="請使用清單中的選項" error="先在對應主檔新增表格列，再於此選取。" type="list">
      <formula1>MediaList</formula1>
    </dataValidation>
    <dataValidation sqref="D2:D203" showDropDown="0" showInputMessage="1" showErrorMessage="1" allowBlank="1" errorTitle="請使用清單中的選項" error="先在對應主檔新增表格列，再於此選取。" type="list">
      <formula1>UnitList</formula1>
    </dataValidation>
    <dataValidation sqref="J2:J203" showDropDown="0" showInputMessage="1" showErrorMessage="1" allowBlank="1" errorTitle="請使用清單中的選項" error="先在對應主檔新增表格列，再於此選取。" type="list">
      <formula1>StandardStatusList</formula1>
    </dataValidation>
  </dataValidations>
  <hyperlinks>
    <hyperlink xmlns:r="http://schemas.openxmlformats.org/officeDocument/2006/relationships" ref="I2" display="https://oaout.moenv.gov.tw/law/LawContent.aspx?id=FL015529" r:id="rId1"/>
    <hyperlink xmlns:r="http://schemas.openxmlformats.org/officeDocument/2006/relationships" ref="I3" display="https://oaout.moenv.gov.tw/law/LawContent.aspx?id=FL015529" r:id="rId2"/>
    <hyperlink xmlns:r="http://schemas.openxmlformats.org/officeDocument/2006/relationships" ref="I4" display="https://oaout.moenv.gov.tw/law/LawContent.aspx?id=FL015529" r:id="rId3"/>
    <hyperlink xmlns:r="http://schemas.openxmlformats.org/officeDocument/2006/relationships" ref="I5" display="https://oaout.moenv.gov.tw/law/LawContent.aspx?id=FL015529" r:id="rId4"/>
    <hyperlink xmlns:r="http://schemas.openxmlformats.org/officeDocument/2006/relationships" ref="I6" display="https://oaout.moenv.gov.tw/law/LawContent.aspx?id=FL015529" r:id="rId5"/>
    <hyperlink xmlns:r="http://schemas.openxmlformats.org/officeDocument/2006/relationships" ref="I7" display="https://oaout.moenv.gov.tw/law/LawContent.aspx?id=FL015529" r:id="rId6"/>
    <hyperlink xmlns:r="http://schemas.openxmlformats.org/officeDocument/2006/relationships" ref="I8" display="https://oaout.moenv.gov.tw/law/LawContent.aspx?id=FL015529" r:id="rId7"/>
    <hyperlink xmlns:r="http://schemas.openxmlformats.org/officeDocument/2006/relationships" ref="I9" display="https://oaout.moenv.gov.tw/law/LawContent.aspx?id=FL015529" r:id="rId8"/>
    <hyperlink xmlns:r="http://schemas.openxmlformats.org/officeDocument/2006/relationships" ref="I10" display="https://oaout.moenv.gov.tw/law/LawContent.aspx?id=FL015529" r:id="rId9"/>
    <hyperlink xmlns:r="http://schemas.openxmlformats.org/officeDocument/2006/relationships" ref="I11" display="https://oaout.moenv.gov.tw/law/LawContent.aspx?id=FL015529" r:id="rId10"/>
    <hyperlink xmlns:r="http://schemas.openxmlformats.org/officeDocument/2006/relationships" ref="I12" display="https://oaout.moenv.gov.tw/law/LawContent.aspx?id=FL015529" r:id="rId11"/>
    <hyperlink xmlns:r="http://schemas.openxmlformats.org/officeDocument/2006/relationships" ref="I13" display="https://oaout.moenv.gov.tw/law/LawContent.aspx?id=FL015529" r:id="rId12"/>
    <hyperlink xmlns:r="http://schemas.openxmlformats.org/officeDocument/2006/relationships" ref="I14" display="https://oaout.moenv.gov.tw/law/LawContent.aspx?id=FL015529" r:id="rId13"/>
    <hyperlink xmlns:r="http://schemas.openxmlformats.org/officeDocument/2006/relationships" ref="I15" display="https://oaout.moenv.gov.tw/law/LawContent.aspx?id=FL015529" r:id="rId14"/>
    <hyperlink xmlns:r="http://schemas.openxmlformats.org/officeDocument/2006/relationships" ref="I16" display="https://oaout.moenv.gov.tw/law/LawContent.aspx?id=FL015529" r:id="rId15"/>
    <hyperlink xmlns:r="http://schemas.openxmlformats.org/officeDocument/2006/relationships" ref="I17" display="https://oaout.moenv.gov.tw/law/LawContent.aspx?id=FL015529" r:id="rId16"/>
    <hyperlink xmlns:r="http://schemas.openxmlformats.org/officeDocument/2006/relationships" ref="I18" display="https://oaout.moenv.gov.tw/law/LawContent.aspx?id=FL015529" r:id="rId17"/>
    <hyperlink xmlns:r="http://schemas.openxmlformats.org/officeDocument/2006/relationships" ref="I19" display="https://oaout.moenv.gov.tw/law/LawContent.aspx?id=FL015529" r:id="rId18"/>
    <hyperlink xmlns:r="http://schemas.openxmlformats.org/officeDocument/2006/relationships" ref="I20" display="https://oaout.moenv.gov.tw/law/LawContent.aspx?id=FL015529" r:id="rId19"/>
    <hyperlink xmlns:r="http://schemas.openxmlformats.org/officeDocument/2006/relationships" ref="I21" display="https://oaout.moenv.gov.tw/law/LawContent.aspx?id=FL015529" r:id="rId20"/>
    <hyperlink xmlns:r="http://schemas.openxmlformats.org/officeDocument/2006/relationships" ref="I22" display="https://oaout.moenv.gov.tw/law/LawContent.aspx?id=FL015529" r:id="rId21"/>
    <hyperlink xmlns:r="http://schemas.openxmlformats.org/officeDocument/2006/relationships" ref="I23" display="https://oaout.moenv.gov.tw/law/LawContent.aspx?id=FL015529" r:id="rId22"/>
    <hyperlink xmlns:r="http://schemas.openxmlformats.org/officeDocument/2006/relationships" ref="I24" display="https://oaout.moenv.gov.tw/law/LawContent.aspx?id=FL015529" r:id="rId23"/>
    <hyperlink xmlns:r="http://schemas.openxmlformats.org/officeDocument/2006/relationships" ref="I25" display="https://oaout.moenv.gov.tw/law/LawContent.aspx?id=FL015529" r:id="rId24"/>
    <hyperlink xmlns:r="http://schemas.openxmlformats.org/officeDocument/2006/relationships" ref="I26" display="https://oaout.moenv.gov.tw/law/LawContent.aspx?id=FL015529" r:id="rId25"/>
    <hyperlink xmlns:r="http://schemas.openxmlformats.org/officeDocument/2006/relationships" ref="I27" display="https://oaout.moenv.gov.tw/law/LawContent.aspx?id=FL015529" r:id="rId26"/>
    <hyperlink xmlns:r="http://schemas.openxmlformats.org/officeDocument/2006/relationships" ref="I28" display="https://oaout.moenv.gov.tw/law/LawContent.aspx?id=FL015529" r:id="rId27"/>
    <hyperlink xmlns:r="http://schemas.openxmlformats.org/officeDocument/2006/relationships" ref="I29" display="https://oaout.moenv.gov.tw/law/LawContent.aspx?id=FL015529" r:id="rId28"/>
    <hyperlink xmlns:r="http://schemas.openxmlformats.org/officeDocument/2006/relationships" ref="I30" display="https://oaout.moenv.gov.tw/law/LawContent.aspx?id=FL015529" r:id="rId29"/>
    <hyperlink xmlns:r="http://schemas.openxmlformats.org/officeDocument/2006/relationships" ref="I31" display="https://oaout.moenv.gov.tw/law/LawContent.aspx?id=FL015529" r:id="rId30"/>
    <hyperlink xmlns:r="http://schemas.openxmlformats.org/officeDocument/2006/relationships" ref="I32" display="https://oaout.moenv.gov.tw/law/LawContent.aspx?id=FL015529" r:id="rId31"/>
    <hyperlink xmlns:r="http://schemas.openxmlformats.org/officeDocument/2006/relationships" ref="I33" display="https://oaout.moenv.gov.tw/law/LawContent.aspx?id=FL015529" r:id="rId32"/>
    <hyperlink xmlns:r="http://schemas.openxmlformats.org/officeDocument/2006/relationships" ref="I34" display="https://oaout.moenv.gov.tw/law/LawContent.aspx?id=FL015529" r:id="rId33"/>
    <hyperlink xmlns:r="http://schemas.openxmlformats.org/officeDocument/2006/relationships" ref="I35" display="https://oaout.moenv.gov.tw/law/LawContent.aspx?id=FL015529" r:id="rId34"/>
    <hyperlink xmlns:r="http://schemas.openxmlformats.org/officeDocument/2006/relationships" ref="I36" display="https://oaout.moenv.gov.tw/law/LawContent.aspx?id=FL015529" r:id="rId35"/>
    <hyperlink xmlns:r="http://schemas.openxmlformats.org/officeDocument/2006/relationships" ref="I37" display="https://oaout.moenv.gov.tw/law/LawContent.aspx?id=FL015529" r:id="rId36"/>
    <hyperlink xmlns:r="http://schemas.openxmlformats.org/officeDocument/2006/relationships" ref="I38" display="https://oaout.moenv.gov.tw/law/LawContent.aspx?id=FL015529" r:id="rId37"/>
    <hyperlink xmlns:r="http://schemas.openxmlformats.org/officeDocument/2006/relationships" ref="I39" display="https://oaout.moenv.gov.tw/law/LawContent.aspx?id=FL015529" r:id="rId38"/>
    <hyperlink xmlns:r="http://schemas.openxmlformats.org/officeDocument/2006/relationships" ref="I40" display="https://oaout.moenv.gov.tw/law/LawContent.aspx?id=FL015529" r:id="rId39"/>
    <hyperlink xmlns:r="http://schemas.openxmlformats.org/officeDocument/2006/relationships" ref="I41" display="https://oaout.moenv.gov.tw/law/LawContent.aspx?id=FL015529" r:id="rId40"/>
    <hyperlink xmlns:r="http://schemas.openxmlformats.org/officeDocument/2006/relationships" ref="I42" display="https://oaout.moenv.gov.tw/law/LawContent.aspx?id=FL015529" r:id="rId41"/>
    <hyperlink xmlns:r="http://schemas.openxmlformats.org/officeDocument/2006/relationships" ref="I43" display="https://oaout.moenv.gov.tw/law/LawContent.aspx?id=FL015529" r:id="rId42"/>
    <hyperlink xmlns:r="http://schemas.openxmlformats.org/officeDocument/2006/relationships" ref="I44" display="https://oaout.moenv.gov.tw/law/LawContent.aspx?id=FL015529" r:id="rId43"/>
    <hyperlink xmlns:r="http://schemas.openxmlformats.org/officeDocument/2006/relationships" ref="I45" display="https://oaout.moenv.gov.tw/law/LawContent.aspx?id=FL015529" r:id="rId44"/>
    <hyperlink xmlns:r="http://schemas.openxmlformats.org/officeDocument/2006/relationships" ref="I46" display="https://oaout.moenv.gov.tw/law/LawContent.aspx?id=FL015529" r:id="rId45"/>
    <hyperlink xmlns:r="http://schemas.openxmlformats.org/officeDocument/2006/relationships" ref="I47" display="https://oaout.moenv.gov.tw/law/LawContent.aspx?id=FL015529" r:id="rId46"/>
    <hyperlink xmlns:r="http://schemas.openxmlformats.org/officeDocument/2006/relationships" ref="I48" display="https://oaout.moenv.gov.tw/law/LawContent.aspx?id=FL015529" r:id="rId47"/>
    <hyperlink xmlns:r="http://schemas.openxmlformats.org/officeDocument/2006/relationships" ref="I49" display="https://oaout.moenv.gov.tw/law/LawContent.aspx?id=FL015529" r:id="rId48"/>
    <hyperlink xmlns:r="http://schemas.openxmlformats.org/officeDocument/2006/relationships" ref="I50" display="https://oaout.moenv.gov.tw/law/LawContent.aspx?id=FL015529" r:id="rId49"/>
    <hyperlink xmlns:r="http://schemas.openxmlformats.org/officeDocument/2006/relationships" ref="I51" display="https://oaout.moenv.gov.tw/law/LawContent.aspx?id=FL015529" r:id="rId50"/>
    <hyperlink xmlns:r="http://schemas.openxmlformats.org/officeDocument/2006/relationships" ref="I52" display="https://oaout.moenv.gov.tw/law/LawContent.aspx?id=FL015529" r:id="rId51"/>
    <hyperlink xmlns:r="http://schemas.openxmlformats.org/officeDocument/2006/relationships" ref="I53" display="https://oaout.moenv.gov.tw/law/LawContent.aspx?id=FL015529" r:id="rId52"/>
    <hyperlink xmlns:r="http://schemas.openxmlformats.org/officeDocument/2006/relationships" ref="I54" display="https://oaout.moenv.gov.tw/law/LawContent.aspx?id=FL015529" r:id="rId53"/>
    <hyperlink xmlns:r="http://schemas.openxmlformats.org/officeDocument/2006/relationships" ref="I55" display="https://oaout.moenv.gov.tw/law/LawContent.aspx?id=FL015529" r:id="rId54"/>
    <hyperlink xmlns:r="http://schemas.openxmlformats.org/officeDocument/2006/relationships" ref="I56" display="https://oaout.moenv.gov.tw/law/LawContent.aspx?id=FL015529" r:id="rId55"/>
    <hyperlink xmlns:r="http://schemas.openxmlformats.org/officeDocument/2006/relationships" ref="I57" display="https://oaout.moenv.gov.tw/law/LawContent.aspx?id=FL015529" r:id="rId56"/>
    <hyperlink xmlns:r="http://schemas.openxmlformats.org/officeDocument/2006/relationships" ref="I58" display="https://oaout.moenv.gov.tw/law/LawContent.aspx?id=FL015529" r:id="rId57"/>
    <hyperlink xmlns:r="http://schemas.openxmlformats.org/officeDocument/2006/relationships" ref="I59" display="https://oaout.moenv.gov.tw/law/LawContent.aspx?id=FL015529" r:id="rId58"/>
    <hyperlink xmlns:r="http://schemas.openxmlformats.org/officeDocument/2006/relationships" ref="I60" display="https://oaout.moenv.gov.tw/law/LawContent.aspx?id=FL015529" r:id="rId59"/>
    <hyperlink xmlns:r="http://schemas.openxmlformats.org/officeDocument/2006/relationships" ref="I61" display="https://oaout.moenv.gov.tw/law/LawContent.aspx?id=FL015529" r:id="rId60"/>
    <hyperlink xmlns:r="http://schemas.openxmlformats.org/officeDocument/2006/relationships" ref="I62" display="https://oaout.moenv.gov.tw/law/LawContent.aspx?id=FL015529" r:id="rId61"/>
    <hyperlink xmlns:r="http://schemas.openxmlformats.org/officeDocument/2006/relationships" ref="I63" display="https://oaout.moenv.gov.tw/law/LawContent.aspx?id=FL015529" r:id="rId62"/>
    <hyperlink xmlns:r="http://schemas.openxmlformats.org/officeDocument/2006/relationships" ref="I64" display="https://oaout.moenv.gov.tw/law/LawContent.aspx?id=FL015529" r:id="rId63"/>
    <hyperlink xmlns:r="http://schemas.openxmlformats.org/officeDocument/2006/relationships" ref="I65" display="https://oaout.moenv.gov.tw/law/LawContent.aspx?id=FL015529" r:id="rId64"/>
    <hyperlink xmlns:r="http://schemas.openxmlformats.org/officeDocument/2006/relationships" ref="I66" display="https://oaout.moenv.gov.tw/law/LawContent.aspx?id=FL015529" r:id="rId65"/>
    <hyperlink xmlns:r="http://schemas.openxmlformats.org/officeDocument/2006/relationships" ref="I67" display="https://oaout.moenv.gov.tw/law/LawContent.aspx?id=FL015529" r:id="rId66"/>
    <hyperlink xmlns:r="http://schemas.openxmlformats.org/officeDocument/2006/relationships" ref="I68" display="https://oaout.moenv.gov.tw/law/LawContent.aspx?id=FL015529" r:id="rId67"/>
    <hyperlink xmlns:r="http://schemas.openxmlformats.org/officeDocument/2006/relationships" ref="I69" display="https://oaout.moenv.gov.tw/law/LawContent.aspx?id=FL015529" r:id="rId68"/>
    <hyperlink xmlns:r="http://schemas.openxmlformats.org/officeDocument/2006/relationships" ref="I70" display="https://oaout.moenv.gov.tw/law/LawContent.aspx?id=FL015529" r:id="rId69"/>
    <hyperlink xmlns:r="http://schemas.openxmlformats.org/officeDocument/2006/relationships" ref="I71" display="https://oaout.moenv.gov.tw/law/LawContent.aspx?id=FL015529" r:id="rId70"/>
    <hyperlink xmlns:r="http://schemas.openxmlformats.org/officeDocument/2006/relationships" ref="I72" display="https://oaout.moenv.gov.tw/law/LawContent.aspx?id=FL015529" r:id="rId71"/>
    <hyperlink xmlns:r="http://schemas.openxmlformats.org/officeDocument/2006/relationships" ref="I73" display="https://oaout.moenv.gov.tw/law/LawContent.aspx?id=FL015529" r:id="rId72"/>
    <hyperlink xmlns:r="http://schemas.openxmlformats.org/officeDocument/2006/relationships" ref="I74" display="https://oaout.moenv.gov.tw/law/LawContent.aspx?id=FL015529" r:id="rId73"/>
    <hyperlink xmlns:r="http://schemas.openxmlformats.org/officeDocument/2006/relationships" ref="I75" display="https://oaout.moenv.gov.tw/law/LawContent.aspx?id=FL015529" r:id="rId74"/>
    <hyperlink xmlns:r="http://schemas.openxmlformats.org/officeDocument/2006/relationships" ref="I76" display="https://oaout.moenv.gov.tw/law/LawContent.aspx?id=FL015529" r:id="rId75"/>
    <hyperlink xmlns:r="http://schemas.openxmlformats.org/officeDocument/2006/relationships" ref="I77" display="https://oaout.moenv.gov.tw/law/LawContent.aspx?id=FL015529" r:id="rId76"/>
    <hyperlink xmlns:r="http://schemas.openxmlformats.org/officeDocument/2006/relationships" ref="I78" display="https://oaout.moenv.gov.tw/law/LawContent.aspx?id=FL015529" r:id="rId77"/>
    <hyperlink xmlns:r="http://schemas.openxmlformats.org/officeDocument/2006/relationships" ref="I79" display="https://oaout.moenv.gov.tw/law/LawContent.aspx?id=FL015529" r:id="rId78"/>
    <hyperlink xmlns:r="http://schemas.openxmlformats.org/officeDocument/2006/relationships" ref="I80" display="https://oaout.moenv.gov.tw/law/LawContent.aspx?id=FL015529" r:id="rId79"/>
    <hyperlink xmlns:r="http://schemas.openxmlformats.org/officeDocument/2006/relationships" ref="I81" display="https://oaout.moenv.gov.tw/law/LawContent.aspx?id=FL015529" r:id="rId80"/>
    <hyperlink xmlns:r="http://schemas.openxmlformats.org/officeDocument/2006/relationships" ref="I82" display="https://oaout.moenv.gov.tw/law/LawContent.aspx?id=FL015529" r:id="rId81"/>
    <hyperlink xmlns:r="http://schemas.openxmlformats.org/officeDocument/2006/relationships" ref="I83" display="https://oaout.moenv.gov.tw/law/LawContent.aspx?id=FL015529" r:id="rId82"/>
    <hyperlink xmlns:r="http://schemas.openxmlformats.org/officeDocument/2006/relationships" ref="I84" display="https://oaout.moenv.gov.tw/law/LawContent.aspx?id=FL015529" r:id="rId83"/>
    <hyperlink xmlns:r="http://schemas.openxmlformats.org/officeDocument/2006/relationships" ref="I85" display="https://oaout.moenv.gov.tw/law/LawContent.aspx?id=FL015529" r:id="rId84"/>
    <hyperlink xmlns:r="http://schemas.openxmlformats.org/officeDocument/2006/relationships" ref="I86" display="https://oaout.moenv.gov.tw/law/LawContent.aspx?id=FL015529" r:id="rId85"/>
    <hyperlink xmlns:r="http://schemas.openxmlformats.org/officeDocument/2006/relationships" ref="I87" display="https://oaout.moenv.gov.tw/law/LawContent.aspx?id=FL015529" r:id="rId86"/>
    <hyperlink xmlns:r="http://schemas.openxmlformats.org/officeDocument/2006/relationships" ref="I88" display="https://oaout.moenv.gov.tw/law/LawContent.aspx?id=FL015529" r:id="rId87"/>
    <hyperlink xmlns:r="http://schemas.openxmlformats.org/officeDocument/2006/relationships" ref="I89" display="https://oaout.moenv.gov.tw/law/LawContent.aspx?id=FL015529" r:id="rId88"/>
    <hyperlink xmlns:r="http://schemas.openxmlformats.org/officeDocument/2006/relationships" ref="I90" display="https://oaout.moenv.gov.tw/law/LawContent.aspx?id=FL015529" r:id="rId89"/>
    <hyperlink xmlns:r="http://schemas.openxmlformats.org/officeDocument/2006/relationships" ref="I91" display="https://oaout.moenv.gov.tw/law/LawContent.aspx?id=FL015529" r:id="rId90"/>
    <hyperlink xmlns:r="http://schemas.openxmlformats.org/officeDocument/2006/relationships" ref="I92" display="https://oaout.moenv.gov.tw/law/LawContent.aspx?id=FL015529" r:id="rId91"/>
    <hyperlink xmlns:r="http://schemas.openxmlformats.org/officeDocument/2006/relationships" ref="I93" display="https://oaout.moenv.gov.tw/law/LawContent.aspx?id=FL015529" r:id="rId92"/>
    <hyperlink xmlns:r="http://schemas.openxmlformats.org/officeDocument/2006/relationships" ref="I94" display="https://oaout.moenv.gov.tw/law/LawContent.aspx?id=FL015529" r:id="rId93"/>
    <hyperlink xmlns:r="http://schemas.openxmlformats.org/officeDocument/2006/relationships" ref="I95" display="https://oaout.moenv.gov.tw/law/LawContent.aspx?id=FL015529" r:id="rId94"/>
    <hyperlink xmlns:r="http://schemas.openxmlformats.org/officeDocument/2006/relationships" ref="I96" display="https://oaout.moenv.gov.tw/law/LawContent.aspx?id=FL015529" r:id="rId95"/>
    <hyperlink xmlns:r="http://schemas.openxmlformats.org/officeDocument/2006/relationships" ref="I97" display="https://oaout.moenv.gov.tw/law/LawContent.aspx?id=FL015529" r:id="rId96"/>
    <hyperlink xmlns:r="http://schemas.openxmlformats.org/officeDocument/2006/relationships" ref="I98" display="https://oaout.moenv.gov.tw/law/LawContent.aspx?id=FL015529" r:id="rId97"/>
    <hyperlink xmlns:r="http://schemas.openxmlformats.org/officeDocument/2006/relationships" ref="I99" display="https://oaout.moenv.gov.tw/law/LawContent.aspx?id=FL015529" r:id="rId98"/>
    <hyperlink xmlns:r="http://schemas.openxmlformats.org/officeDocument/2006/relationships" ref="I100" display="https://oaout.moenv.gov.tw/law/LawContent.aspx?id=FL015529" r:id="rId99"/>
    <hyperlink xmlns:r="http://schemas.openxmlformats.org/officeDocument/2006/relationships" ref="I101" display="https://oaout.moenv.gov.tw/law/LawContent.aspx?id=FL015529" r:id="rId100"/>
    <hyperlink xmlns:r="http://schemas.openxmlformats.org/officeDocument/2006/relationships" ref="I102" display="https://oaout.moenv.gov.tw/law/LawContent.aspx?id=FL058152" r:id="rId101"/>
    <hyperlink xmlns:r="http://schemas.openxmlformats.org/officeDocument/2006/relationships" ref="I103" display="https://oaout.moenv.gov.tw/law/LawContent.aspx?id=FL058152" r:id="rId102"/>
    <hyperlink xmlns:r="http://schemas.openxmlformats.org/officeDocument/2006/relationships" ref="I104" display="https://oaout.moenv.gov.tw/law/LawContent.aspx?id=FL058152" r:id="rId103"/>
    <hyperlink xmlns:r="http://schemas.openxmlformats.org/officeDocument/2006/relationships" ref="I105" display="https://oaout.moenv.gov.tw/law/LawContent.aspx?id=FL058152" r:id="rId104"/>
    <hyperlink xmlns:r="http://schemas.openxmlformats.org/officeDocument/2006/relationships" ref="I106" display="https://oaout.moenv.gov.tw/law/LawContent.aspx?id=FL058152" r:id="rId105"/>
    <hyperlink xmlns:r="http://schemas.openxmlformats.org/officeDocument/2006/relationships" ref="I107" display="https://oaout.moenv.gov.tw/law/LawContent.aspx?id=FL058152" r:id="rId106"/>
    <hyperlink xmlns:r="http://schemas.openxmlformats.org/officeDocument/2006/relationships" ref="I108" display="https://oaout.moenv.gov.tw/law/LawContent.aspx?id=FL058152" r:id="rId107"/>
    <hyperlink xmlns:r="http://schemas.openxmlformats.org/officeDocument/2006/relationships" ref="I109" display="https://oaout.moenv.gov.tw/law/LawContent.aspx?id=FL058152" r:id="rId108"/>
    <hyperlink xmlns:r="http://schemas.openxmlformats.org/officeDocument/2006/relationships" ref="I110" display="https://oaout.moenv.gov.tw/law/LawContent.aspx?id=FL058152" r:id="rId109"/>
    <hyperlink xmlns:r="http://schemas.openxmlformats.org/officeDocument/2006/relationships" ref="I111" display="https://oaout.moenv.gov.tw/law/LawContent.aspx?id=FL058152" r:id="rId110"/>
    <hyperlink xmlns:r="http://schemas.openxmlformats.org/officeDocument/2006/relationships" ref="I112" display="https://oaout.moenv.gov.tw/law/LawContent.aspx?id=FL058152" r:id="rId111"/>
    <hyperlink xmlns:r="http://schemas.openxmlformats.org/officeDocument/2006/relationships" ref="I113" display="https://oaout.moenv.gov.tw/law/LawContent.aspx?id=FL058152" r:id="rId112"/>
    <hyperlink xmlns:r="http://schemas.openxmlformats.org/officeDocument/2006/relationships" ref="I114" display="https://oaout.moenv.gov.tw/law/LawContent.aspx?id=FL058152" r:id="rId113"/>
    <hyperlink xmlns:r="http://schemas.openxmlformats.org/officeDocument/2006/relationships" ref="I115" display="https://oaout.moenv.gov.tw/law/LawContent.aspx?id=FL058152" r:id="rId114"/>
    <hyperlink xmlns:r="http://schemas.openxmlformats.org/officeDocument/2006/relationships" ref="I116" display="https://oaout.moenv.gov.tw/law/LawContent.aspx?id=FL058152" r:id="rId115"/>
    <hyperlink xmlns:r="http://schemas.openxmlformats.org/officeDocument/2006/relationships" ref="I117" display="https://oaout.moenv.gov.tw/law/LawContent.aspx?id=FL058152" r:id="rId116"/>
    <hyperlink xmlns:r="http://schemas.openxmlformats.org/officeDocument/2006/relationships" ref="I118" display="https://oaout.moenv.gov.tw/law/LawContent.aspx?id=FL058152" r:id="rId117"/>
    <hyperlink xmlns:r="http://schemas.openxmlformats.org/officeDocument/2006/relationships" ref="I119" display="https://oaout.moenv.gov.tw/law/LawContent.aspx?id=FL058152" r:id="rId118"/>
    <hyperlink xmlns:r="http://schemas.openxmlformats.org/officeDocument/2006/relationships" ref="I120" display="https://oaout.moenv.gov.tw/Law/LawContent.aspx?id=FL015523" r:id="rId119"/>
    <hyperlink xmlns:r="http://schemas.openxmlformats.org/officeDocument/2006/relationships" ref="I121" display="https://oaout.moenv.gov.tw/Law/LawContent.aspx?id=FL015523" r:id="rId120"/>
    <hyperlink xmlns:r="http://schemas.openxmlformats.org/officeDocument/2006/relationships" ref="I122" display="https://oaout.moenv.gov.tw/Law/LawContent.aspx?id=FL015523" r:id="rId121"/>
    <hyperlink xmlns:r="http://schemas.openxmlformats.org/officeDocument/2006/relationships" ref="I123" display="https://oaout.moenv.gov.tw/Law/LawContent.aspx?id=FL015523" r:id="rId122"/>
    <hyperlink xmlns:r="http://schemas.openxmlformats.org/officeDocument/2006/relationships" ref="I124" display="https://oaout.moenv.gov.tw/Law/LawContent.aspx?id=FL015523" r:id="rId123"/>
    <hyperlink xmlns:r="http://schemas.openxmlformats.org/officeDocument/2006/relationships" ref="I125" display="https://oaout.moenv.gov.tw/Law/LawContent.aspx?id=FL015523" r:id="rId124"/>
    <hyperlink xmlns:r="http://schemas.openxmlformats.org/officeDocument/2006/relationships" ref="I126" display="https://oaout.moenv.gov.tw/Law/LawContent.aspx?id=FL015523" r:id="rId125"/>
    <hyperlink xmlns:r="http://schemas.openxmlformats.org/officeDocument/2006/relationships" ref="I127" display="https://oaout.moenv.gov.tw/Law/LawContent.aspx?id=FL015523" r:id="rId126"/>
    <hyperlink xmlns:r="http://schemas.openxmlformats.org/officeDocument/2006/relationships" ref="I128" display="https://oaout.moenv.gov.tw/Law/LawContent.aspx?id=FL015523" r:id="rId127"/>
    <hyperlink xmlns:r="http://schemas.openxmlformats.org/officeDocument/2006/relationships" ref="I129" display="https://oaout.moenv.gov.tw/Law/LawContent.aspx?id=FL015523" r:id="rId128"/>
    <hyperlink xmlns:r="http://schemas.openxmlformats.org/officeDocument/2006/relationships" ref="I130" display="https://oaout.moenv.gov.tw/Law/LawContent.aspx?id=FL015523" r:id="rId129"/>
    <hyperlink xmlns:r="http://schemas.openxmlformats.org/officeDocument/2006/relationships" ref="I131" display="https://oaout.moenv.gov.tw/Law/LawContent.aspx?id=FL015523" r:id="rId130"/>
    <hyperlink xmlns:r="http://schemas.openxmlformats.org/officeDocument/2006/relationships" ref="I132" display="https://oaout.moenv.gov.tw/Law/LawContent.aspx?id=FL015523" r:id="rId131"/>
    <hyperlink xmlns:r="http://schemas.openxmlformats.org/officeDocument/2006/relationships" ref="I133" display="https://oaout.moenv.gov.tw/Law/LawContent.aspx?id=FL015523" r:id="rId132"/>
    <hyperlink xmlns:r="http://schemas.openxmlformats.org/officeDocument/2006/relationships" ref="I134" display="https://oaout.moenv.gov.tw/Law/LawContent.aspx?id=FL015523" r:id="rId133"/>
    <hyperlink xmlns:r="http://schemas.openxmlformats.org/officeDocument/2006/relationships" ref="I135" display="https://oaout.moenv.gov.tw/Law/LawContent.aspx?id=FL015523" r:id="rId134"/>
    <hyperlink xmlns:r="http://schemas.openxmlformats.org/officeDocument/2006/relationships" ref="I136" display="https://oaout.moenv.gov.tw/Law/LawContent.aspx?id=FL015523" r:id="rId135"/>
    <hyperlink xmlns:r="http://schemas.openxmlformats.org/officeDocument/2006/relationships" ref="I137" display="https://oaout.moenv.gov.tw/Law/LawContent.aspx?id=FL015523" r:id="rId136"/>
    <hyperlink xmlns:r="http://schemas.openxmlformats.org/officeDocument/2006/relationships" ref="I138" display="https://oaout.moenv.gov.tw/Law/LawContent.aspx?id=FL015523" r:id="rId137"/>
    <hyperlink xmlns:r="http://schemas.openxmlformats.org/officeDocument/2006/relationships" ref="I139" display="https://oaout.moenv.gov.tw/Law/LawContent.aspx?id=FL015523" r:id="rId138"/>
    <hyperlink xmlns:r="http://schemas.openxmlformats.org/officeDocument/2006/relationships" ref="I140" display="https://oaout.moenv.gov.tw/Law/LawContent.aspx?id=FL015523" r:id="rId139"/>
    <hyperlink xmlns:r="http://schemas.openxmlformats.org/officeDocument/2006/relationships" ref="I141" display="https://oaout.moenv.gov.tw/Law/LawContent.aspx?id=FL015523" r:id="rId140"/>
    <hyperlink xmlns:r="http://schemas.openxmlformats.org/officeDocument/2006/relationships" ref="I142" display="https://oaout.moenv.gov.tw/Law/LawContent.aspx?id=FL015523" r:id="rId141"/>
    <hyperlink xmlns:r="http://schemas.openxmlformats.org/officeDocument/2006/relationships" ref="I143" display="https://oaout.moenv.gov.tw/Law/LawContent.aspx?id=FL015523" r:id="rId142"/>
    <hyperlink xmlns:r="http://schemas.openxmlformats.org/officeDocument/2006/relationships" ref="I144" display="https://oaout.moenv.gov.tw/Law/LawContent.aspx?id=FL015523" r:id="rId143"/>
    <hyperlink xmlns:r="http://schemas.openxmlformats.org/officeDocument/2006/relationships" ref="I145" display="https://oaout.moenv.gov.tw/Law/LawContent.aspx?id=FL015523" r:id="rId144"/>
    <hyperlink xmlns:r="http://schemas.openxmlformats.org/officeDocument/2006/relationships" ref="I146" display="https://oaout.moenv.gov.tw/Law/LawContent.aspx?id=FL015523" r:id="rId145"/>
    <hyperlink xmlns:r="http://schemas.openxmlformats.org/officeDocument/2006/relationships" ref="I147" display="https://oaout.moenv.gov.tw/Law/LawContent.aspx?id=FL015523" r:id="rId146"/>
    <hyperlink xmlns:r="http://schemas.openxmlformats.org/officeDocument/2006/relationships" ref="I148" display="https://oaout.moenv.gov.tw/Law/LawContent.aspx?id=FL015523" r:id="rId147"/>
    <hyperlink xmlns:r="http://schemas.openxmlformats.org/officeDocument/2006/relationships" ref="I149" display="https://oaout.moenv.gov.tw/Law/LawContent.aspx?id=FL015523" r:id="rId148"/>
    <hyperlink xmlns:r="http://schemas.openxmlformats.org/officeDocument/2006/relationships" ref="I150" display="https://oaout.moenv.gov.tw/Law/LawContent.aspx?id=FL015523" r:id="rId149"/>
    <hyperlink xmlns:r="http://schemas.openxmlformats.org/officeDocument/2006/relationships" ref="I151" display="https://oaout.moenv.gov.tw/Law/LawContent.aspx?id=FL015523" r:id="rId150"/>
    <hyperlink xmlns:r="http://schemas.openxmlformats.org/officeDocument/2006/relationships" ref="I152" display="https://oaout.moenv.gov.tw/Law/LawContent.aspx?id=FL015523" r:id="rId151"/>
    <hyperlink xmlns:r="http://schemas.openxmlformats.org/officeDocument/2006/relationships" ref="I153" display="https://oaout.moenv.gov.tw/Law/LawContent.aspx?id=FL015523" r:id="rId152"/>
    <hyperlink xmlns:r="http://schemas.openxmlformats.org/officeDocument/2006/relationships" ref="I154" display="https://oaout.moenv.gov.tw/Law/LawContent.aspx?id=FL015523" r:id="rId153"/>
    <hyperlink xmlns:r="http://schemas.openxmlformats.org/officeDocument/2006/relationships" ref="I155" display="https://oaout.moenv.gov.tw/Law/LawContent.aspx?id=FL015523" r:id="rId154"/>
    <hyperlink xmlns:r="http://schemas.openxmlformats.org/officeDocument/2006/relationships" ref="I156" display="https://oaout.moenv.gov.tw/Law/LawContent.aspx?id=FL015523" r:id="rId155"/>
    <hyperlink xmlns:r="http://schemas.openxmlformats.org/officeDocument/2006/relationships" ref="I157" display="https://oaout.moenv.gov.tw/Law/LawContent.aspx?id=FL015523" r:id="rId156"/>
    <hyperlink xmlns:r="http://schemas.openxmlformats.org/officeDocument/2006/relationships" ref="I158" display="https://oaout.moenv.gov.tw/Law/LawContent.aspx?id=FL015523" r:id="rId157"/>
    <hyperlink xmlns:r="http://schemas.openxmlformats.org/officeDocument/2006/relationships" ref="I159" display="https://oaout.moenv.gov.tw/Law/LawContent.aspx?id=FL015523" r:id="rId158"/>
    <hyperlink xmlns:r="http://schemas.openxmlformats.org/officeDocument/2006/relationships" ref="I160" display="https://oaout.moenv.gov.tw/Law/LawContent.aspx?id=FL015523" r:id="rId159"/>
    <hyperlink xmlns:r="http://schemas.openxmlformats.org/officeDocument/2006/relationships" ref="I161" display="https://oaout.moenv.gov.tw/Law/LawContent.aspx?id=FL015523" r:id="rId160"/>
    <hyperlink xmlns:r="http://schemas.openxmlformats.org/officeDocument/2006/relationships" ref="I162" display="https://oaout.moenv.gov.tw/Law/LawContent.aspx?id=FL015523" r:id="rId161"/>
    <hyperlink xmlns:r="http://schemas.openxmlformats.org/officeDocument/2006/relationships" ref="I163" display="https://oaout.moenv.gov.tw/Law/LawContent.aspx?id=FL015523" r:id="rId162"/>
    <hyperlink xmlns:r="http://schemas.openxmlformats.org/officeDocument/2006/relationships" ref="I164" display="https://oaout.moenv.gov.tw/Law/LawContent.aspx?id=FL015523" r:id="rId163"/>
    <hyperlink xmlns:r="http://schemas.openxmlformats.org/officeDocument/2006/relationships" ref="I165" display="https://oaout.moenv.gov.tw/Law/LawContent.aspx?id=FL015523" r:id="rId164"/>
    <hyperlink xmlns:r="http://schemas.openxmlformats.org/officeDocument/2006/relationships" ref="I166" display="https://oaout.moenv.gov.tw/Law/LawContent.aspx?id=FL015523" r:id="rId165"/>
    <hyperlink xmlns:r="http://schemas.openxmlformats.org/officeDocument/2006/relationships" ref="I167" display="https://oaout.moenv.gov.tw/Law/LawContent.aspx?id=FL015523" r:id="rId166"/>
    <hyperlink xmlns:r="http://schemas.openxmlformats.org/officeDocument/2006/relationships" ref="I168" display="https://oaout.moenv.gov.tw/Law/LawContent.aspx?id=FL015523" r:id="rId167"/>
    <hyperlink xmlns:r="http://schemas.openxmlformats.org/officeDocument/2006/relationships" ref="I169" display="https://oaout.moenv.gov.tw/Law/LawContent.aspx?id=FL015523" r:id="rId168"/>
    <hyperlink xmlns:r="http://schemas.openxmlformats.org/officeDocument/2006/relationships" ref="I170" display="https://oaout.moenv.gov.tw/Law/LawContent.aspx?id=FL015523" r:id="rId169"/>
    <hyperlink xmlns:r="http://schemas.openxmlformats.org/officeDocument/2006/relationships" ref="I171" display="https://oaout.moenv.gov.tw/Law/LawContent.aspx?id=FL015523" r:id="rId170"/>
    <hyperlink xmlns:r="http://schemas.openxmlformats.org/officeDocument/2006/relationships" ref="I172" display="https://oaout.moenv.gov.tw/Law/LawContent.aspx?id=FL015523" r:id="rId171"/>
    <hyperlink xmlns:r="http://schemas.openxmlformats.org/officeDocument/2006/relationships" ref="I173" display="https://oaout.moenv.gov.tw/Law/LawContent.aspx?id=FL015523" r:id="rId172"/>
    <hyperlink xmlns:r="http://schemas.openxmlformats.org/officeDocument/2006/relationships" ref="I174" display="https://oaout.moenv.gov.tw/Law/LawContent.aspx?id=FL015523" r:id="rId173"/>
    <hyperlink xmlns:r="http://schemas.openxmlformats.org/officeDocument/2006/relationships" ref="I175" display="https://oaout.moenv.gov.tw/Law/LawContent.aspx?id=FL015523" r:id="rId174"/>
    <hyperlink xmlns:r="http://schemas.openxmlformats.org/officeDocument/2006/relationships" ref="I176" display="https://oaout.moenv.gov.tw/Law/LawContent.aspx?id=FL015523" r:id="rId175"/>
    <hyperlink xmlns:r="http://schemas.openxmlformats.org/officeDocument/2006/relationships" ref="I177" display="https://oaout.moenv.gov.tw/Law/LawContent.aspx?id=FL015523" r:id="rId176"/>
    <hyperlink xmlns:r="http://schemas.openxmlformats.org/officeDocument/2006/relationships" ref="I178" display="https://oaout.moenv.gov.tw/Law/LawContent.aspx?id=FL015523" r:id="rId177"/>
    <hyperlink xmlns:r="http://schemas.openxmlformats.org/officeDocument/2006/relationships" ref="I179" display="https://oaout.moenv.gov.tw/Law/LawContent.aspx?id=FL015523" r:id="rId178"/>
    <hyperlink xmlns:r="http://schemas.openxmlformats.org/officeDocument/2006/relationships" ref="I180" display="https://oaout.moenv.gov.tw/Law/LawContent.aspx?id=FL015523" r:id="rId179"/>
    <hyperlink xmlns:r="http://schemas.openxmlformats.org/officeDocument/2006/relationships" ref="I181" display="https://oaout.moenv.gov.tw/Law/LawContent.aspx?id=FL015523" r:id="rId180"/>
    <hyperlink xmlns:r="http://schemas.openxmlformats.org/officeDocument/2006/relationships" ref="I182" display="https://oaout.moenv.gov.tw/Law/LawContent.aspx?id=FL015523" r:id="rId181"/>
    <hyperlink xmlns:r="http://schemas.openxmlformats.org/officeDocument/2006/relationships" ref="I183" display="https://oaout.moenv.gov.tw/Law/LawContent.aspx?id=FL015523" r:id="rId182"/>
    <hyperlink xmlns:r="http://schemas.openxmlformats.org/officeDocument/2006/relationships" ref="I184" display="https://oaout.moenv.gov.tw/Law/LawContent.aspx?id=FL015523" r:id="rId183"/>
    <hyperlink xmlns:r="http://schemas.openxmlformats.org/officeDocument/2006/relationships" ref="I185" display="https://oaout.moenv.gov.tw/Law/LawContent.aspx?id=FL015523" r:id="rId184"/>
    <hyperlink xmlns:r="http://schemas.openxmlformats.org/officeDocument/2006/relationships" ref="I186" display="https://oaout.moenv.gov.tw/Law/LawContent.aspx?id=FL015523" r:id="rId185"/>
    <hyperlink xmlns:r="http://schemas.openxmlformats.org/officeDocument/2006/relationships" ref="I187" display="https://oaout.moenv.gov.tw/Law/LawContent.aspx?id=FL015523" r:id="rId186"/>
    <hyperlink xmlns:r="http://schemas.openxmlformats.org/officeDocument/2006/relationships" ref="I188" display="https://oaout.moenv.gov.tw/Law/LawContent.aspx?id=FL015523" r:id="rId187"/>
    <hyperlink xmlns:r="http://schemas.openxmlformats.org/officeDocument/2006/relationships" ref="I189" display="https://oaout.moenv.gov.tw/Law/LawContent.aspx?id=FL015523" r:id="rId188"/>
    <hyperlink xmlns:r="http://schemas.openxmlformats.org/officeDocument/2006/relationships" ref="I190" display="https://oaout.moenv.gov.tw/Law/LawContent.aspx?id=FL015523" r:id="rId189"/>
    <hyperlink xmlns:r="http://schemas.openxmlformats.org/officeDocument/2006/relationships" ref="I191" display="https://oaout.moenv.gov.tw/Law/LawContent.aspx?id=FL015523" r:id="rId190"/>
    <hyperlink xmlns:r="http://schemas.openxmlformats.org/officeDocument/2006/relationships" ref="I192" display="https://oaout.moenv.gov.tw/Law/LawContent.aspx?id=FL015523" r:id="rId191"/>
    <hyperlink xmlns:r="http://schemas.openxmlformats.org/officeDocument/2006/relationships" ref="I193" display="https://oaout.moenv.gov.tw/Law/LawContent.aspx?id=FL015523" r:id="rId192"/>
    <hyperlink xmlns:r="http://schemas.openxmlformats.org/officeDocument/2006/relationships" ref="I194" display="https://oaout.moenv.gov.tw/Law/LawContent.aspx?id=FL015523" r:id="rId193"/>
    <hyperlink xmlns:r="http://schemas.openxmlformats.org/officeDocument/2006/relationships" ref="I195" display="https://oaout.moenv.gov.tw/Law/LawContent.aspx?id=FL015523" r:id="rId194"/>
    <hyperlink xmlns:r="http://schemas.openxmlformats.org/officeDocument/2006/relationships" ref="I196" display="https://oaout.moenv.gov.tw/Law/LawContent.aspx?id=FL015523" r:id="rId195"/>
    <hyperlink xmlns:r="http://schemas.openxmlformats.org/officeDocument/2006/relationships" ref="I197" display="https://oaout.moenv.gov.tw/Law/LawContent.aspx?id=FL015523" r:id="rId196"/>
    <hyperlink xmlns:r="http://schemas.openxmlformats.org/officeDocument/2006/relationships" ref="I198" display="https://oaout.moenv.gov.tw/law/LawContent.aspx?id=FL015529" r:id="rId197"/>
    <hyperlink xmlns:r="http://schemas.openxmlformats.org/officeDocument/2006/relationships" ref="I199" display="https://oaout.moenv.gov.tw/law/LawContent.aspx?id=FL015529" r:id="rId198"/>
    <hyperlink xmlns:r="http://schemas.openxmlformats.org/officeDocument/2006/relationships" ref="I200" display="https://oaout.moenv.gov.tw/law/LawContent.aspx?id=FL015529" r:id="rId199"/>
    <hyperlink xmlns:r="http://schemas.openxmlformats.org/officeDocument/2006/relationships" ref="I201" display="https://oaout.moenv.gov.tw/law/LawContent.aspx?id=FL015529" r:id="rId200"/>
    <hyperlink xmlns:r="http://schemas.openxmlformats.org/officeDocument/2006/relationships" ref="I202" display="https://oaout.moenv.gov.tw/law/LawContent.aspx?id=FL058152" r:id="rId201"/>
    <hyperlink xmlns:r="http://schemas.openxmlformats.org/officeDocument/2006/relationships" ref="I203" display="https://oaout.moenv.gov.tw/law/LawContent.aspx?id=FL058152" r:id="rId202"/>
  </hyperlinks>
  <pageMargins left="0.7" right="0.7" top="0.75" bottom="0.75" header="0.3" footer="0.3"/>
  <tableParts count="1">
    <tablePart xmlns:r="http://schemas.openxmlformats.org/officeDocument/2006/relationships" r:id="rId203"/>
  </tableParts>
</worksheet>
</file>

<file path=xl/worksheets/sheet7.xml><?xml version="1.0" encoding="utf-8"?>
<worksheet xmlns="http://schemas.openxmlformats.org/spreadsheetml/2006/main">
  <sheetPr>
    <tabColor rgb="FF24465A"/>
    <outlinePr summaryBelow="1" summaryRight="1"/>
    <pageSetUpPr/>
  </sheetPr>
  <dimension ref="A1:E109"/>
  <sheetViews>
    <sheetView showGridLines="0" zoomScale="90" zoomScaleNormal="90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D4" sqref="D4"/>
    </sheetView>
  </sheetViews>
  <sheetFormatPr baseColWidth="8" defaultRowHeight="14.25"/>
  <cols>
    <col width="25.625" customWidth="1" min="1" max="1"/>
    <col width="13.625" customWidth="1" min="2" max="2"/>
    <col width="27.625" customWidth="1" min="3" max="3"/>
    <col width="19.625" customWidth="1" min="4" max="4"/>
    <col width="95.625" customWidth="1" min="5" max="5"/>
  </cols>
  <sheetData>
    <row r="1" ht="44.1" customHeight="1">
      <c r="A1" s="17" t="inlineStr">
        <is>
          <t>工作表</t>
        </is>
      </c>
      <c r="B1" s="17" t="inlineStr">
        <is>
          <t>欄位</t>
        </is>
      </c>
      <c r="C1" s="17" t="inlineStr">
        <is>
          <t>名稱</t>
        </is>
      </c>
      <c r="D1" s="17" t="inlineStr">
        <is>
          <t>維護方式</t>
        </is>
      </c>
      <c r="E1" s="17" t="inlineStr">
        <is>
          <t>規則</t>
        </is>
      </c>
    </row>
    <row r="2" ht="39.95" customHeight="1">
      <c r="A2" s="16" t="inlineStr">
        <is>
          <t>00_使用說明</t>
        </is>
      </c>
      <c r="B2" s="16" t="inlineStr">
        <is>
          <t>C5</t>
        </is>
      </c>
      <c r="C2" s="16" t="inlineStr">
        <is>
          <t>場址名稱</t>
        </is>
      </c>
      <c r="D2" s="16" t="inlineStr">
        <is>
          <t>手動維護</t>
        </is>
      </c>
      <c r="E2" s="24" t="inlineStr">
        <is>
          <t>本資料庫唯一場址名稱，只在00_使用說明維護。</t>
        </is>
      </c>
    </row>
    <row r="3" ht="39.95" customHeight="1">
      <c r="A3" s="16" t="inlineStr">
        <is>
          <t>03_點位主檔</t>
        </is>
      </c>
      <c r="B3" s="16" t="inlineStr">
        <is>
          <t>A</t>
        </is>
      </c>
      <c r="C3" s="16" t="inlineStr">
        <is>
          <t>監測點</t>
        </is>
      </c>
      <c r="D3" s="16" t="inlineStr">
        <is>
          <t>手動維護</t>
        </is>
      </c>
      <c r="E3" s="24" t="inlineStr">
        <is>
          <t>直接輸入唯一監測點代碼；01 的點位選單直接引用本資料表。</t>
        </is>
      </c>
    </row>
    <row r="4" ht="39.95" customHeight="1">
      <c r="A4" s="16" t="inlineStr">
        <is>
          <t>03_點位主檔</t>
        </is>
      </c>
      <c r="B4" s="16" t="inlineStr">
        <is>
          <t>B</t>
        </is>
      </c>
      <c r="C4" s="16" t="inlineStr">
        <is>
          <t>點位類型</t>
        </is>
      </c>
      <c r="D4" s="16" t="inlineStr">
        <is>
          <t>手動維護</t>
        </is>
      </c>
      <c r="E4" s="24" t="inlineStr">
        <is>
          <t>手動輸入；藍色欄位。</t>
        </is>
      </c>
    </row>
    <row r="5" ht="39.95" customHeight="1">
      <c r="A5" s="16" t="inlineStr">
        <is>
          <t>03_點位主檔</t>
        </is>
      </c>
      <c r="B5" s="16" t="inlineStr">
        <is>
          <t>C</t>
        </is>
      </c>
      <c r="C5" s="16" t="inlineStr">
        <is>
          <t>預設介質</t>
        </is>
      </c>
      <c r="D5" s="16" t="inlineStr">
        <is>
          <t>手動維護</t>
        </is>
      </c>
      <c r="E5" s="24" t="inlineStr">
        <is>
          <t>手動輸入；藍色欄位。</t>
        </is>
      </c>
    </row>
    <row r="6" ht="39.95" customHeight="1">
      <c r="A6" s="16" t="inlineStr">
        <is>
          <t>03_點位主檔</t>
        </is>
      </c>
      <c r="B6" s="16" t="inlineStr">
        <is>
          <t>D</t>
        </is>
      </c>
      <c r="C6" s="16" t="inlineStr">
        <is>
          <t>井深(m)</t>
        </is>
      </c>
      <c r="D6" s="16" t="inlineStr">
        <is>
          <t>手動維護</t>
        </is>
      </c>
      <c r="E6" s="24" t="inlineStr">
        <is>
          <t>手動輸入；藍色欄位。</t>
        </is>
      </c>
    </row>
    <row r="7" ht="39.95" customHeight="1">
      <c r="A7" s="16" t="inlineStr">
        <is>
          <t>03_點位主檔</t>
        </is>
      </c>
      <c r="B7" s="16" t="inlineStr">
        <is>
          <t>E</t>
        </is>
      </c>
      <c r="C7" s="16" t="inlineStr">
        <is>
          <t>TWD97(X)</t>
        </is>
      </c>
      <c r="D7" s="16" t="inlineStr">
        <is>
          <t>手動維護</t>
        </is>
      </c>
      <c r="E7" s="24" t="inlineStr">
        <is>
          <t>手動輸入；藍色欄位。</t>
        </is>
      </c>
    </row>
    <row r="8" ht="39.95" customHeight="1">
      <c r="A8" s="16" t="inlineStr">
        <is>
          <t>03_點位主檔</t>
        </is>
      </c>
      <c r="B8" s="16" t="inlineStr">
        <is>
          <t>F</t>
        </is>
      </c>
      <c r="C8" s="16" t="inlineStr">
        <is>
          <t>TWD97(Y)</t>
        </is>
      </c>
      <c r="D8" s="16" t="inlineStr">
        <is>
          <t>手動維護</t>
        </is>
      </c>
      <c r="E8" s="24" t="inlineStr">
        <is>
          <t>手動輸入；藍色欄位。</t>
        </is>
      </c>
    </row>
    <row r="9" ht="39.95" customHeight="1">
      <c r="A9" s="16" t="inlineStr">
        <is>
          <t>03_點位主檔</t>
        </is>
      </c>
      <c r="B9" s="16" t="inlineStr">
        <is>
          <t>G</t>
        </is>
      </c>
      <c r="C9" s="16" t="inlineStr">
        <is>
          <t>絕對高程(m)</t>
        </is>
      </c>
      <c r="D9" s="16" t="inlineStr">
        <is>
          <t>手動維護</t>
        </is>
      </c>
      <c r="E9" s="24" t="inlineStr">
        <is>
          <t>手動輸入；藍色欄位。</t>
        </is>
      </c>
    </row>
    <row r="10" ht="39.95" customHeight="1">
      <c r="A10" s="16" t="inlineStr">
        <is>
          <t>03_點位主檔</t>
        </is>
      </c>
      <c r="B10" s="16" t="inlineStr">
        <is>
          <t>H</t>
        </is>
      </c>
      <c r="C10" s="16" t="inlineStr">
        <is>
          <t>篩管頂深(m)</t>
        </is>
      </c>
      <c r="D10" s="16" t="inlineStr">
        <is>
          <t>手動維護</t>
        </is>
      </c>
      <c r="E10" s="24" t="inlineStr">
        <is>
          <t>以井口向下為正；篩管底深不可大於井深。</t>
        </is>
      </c>
    </row>
    <row r="11" ht="39.95" customHeight="1">
      <c r="A11" s="16" t="inlineStr">
        <is>
          <t>03_點位主檔</t>
        </is>
      </c>
      <c r="B11" s="16" t="inlineStr">
        <is>
          <t>I</t>
        </is>
      </c>
      <c r="C11" s="16" t="inlineStr">
        <is>
          <t>篩管底深(m)</t>
        </is>
      </c>
      <c r="D11" s="16" t="inlineStr">
        <is>
          <t>手動維護</t>
        </is>
      </c>
      <c r="E11" s="24" t="inlineStr">
        <is>
          <t>以井口向下為正；篩管底深不可大於井深。</t>
        </is>
      </c>
    </row>
    <row r="12" ht="39.95" customHeight="1">
      <c r="A12" s="16" t="inlineStr">
        <is>
          <t>03_點位主檔</t>
        </is>
      </c>
      <c r="B12" s="16" t="inlineStr">
        <is>
          <t>J</t>
        </is>
      </c>
      <c r="C12" s="16" t="inlineStr">
        <is>
          <t>井管直徑(m)</t>
        </is>
      </c>
      <c r="D12" s="16" t="inlineStr">
        <is>
          <t>手動維護</t>
        </is>
      </c>
      <c r="E12" s="24" t="inlineStr">
        <is>
          <t>手動輸入；藍色欄位。</t>
        </is>
      </c>
    </row>
    <row r="13" ht="39.95" customHeight="1">
      <c r="A13" s="16" t="inlineStr">
        <is>
          <t>03_點位主檔</t>
        </is>
      </c>
      <c r="B13" s="16" t="inlineStr">
        <is>
          <t>K</t>
        </is>
      </c>
      <c r="C13" s="16" t="inlineStr">
        <is>
          <t>啟用</t>
        </is>
      </c>
      <c r="D13" s="16" t="inlineStr">
        <is>
          <t>手動維護</t>
        </is>
      </c>
      <c r="E13" s="24" t="inlineStr">
        <is>
          <t>從04頁I207起清單選取；是／否為公式識別的既定值。</t>
        </is>
      </c>
    </row>
    <row r="14" ht="39.95" customHeight="1">
      <c r="A14" s="16" t="inlineStr">
        <is>
          <t>03_點位主檔</t>
        </is>
      </c>
      <c r="B14" s="16" t="inlineStr">
        <is>
          <t>L</t>
        </is>
      </c>
      <c r="C14" s="16" t="inlineStr">
        <is>
          <t>備註</t>
        </is>
      </c>
      <c r="D14" s="16" t="inlineStr">
        <is>
          <t>手動維護</t>
        </is>
      </c>
      <c r="E14" s="24" t="inlineStr">
        <is>
          <t>手動輸入；藍色欄位。</t>
        </is>
      </c>
    </row>
    <row r="15" ht="39.95" customHeight="1">
      <c r="A15" s="16" t="inlineStr">
        <is>
          <t>03_點位主檔</t>
        </is>
      </c>
      <c r="B15" s="16" t="inlineStr">
        <is>
          <t>M</t>
        </is>
      </c>
      <c r="C15" s="16" t="inlineStr">
        <is>
          <t>篩長(m)</t>
        </is>
      </c>
      <c r="D15" s="16" t="inlineStr">
        <is>
          <t>公式</t>
        </is>
      </c>
      <c r="E15" s="24" t="inlineStr">
        <is>
          <t>公式計算；不需手動輸入。</t>
        </is>
      </c>
    </row>
    <row r="16" ht="39.95" customHeight="1">
      <c r="A16" s="16" t="inlineStr">
        <is>
          <t>03_點位主檔</t>
        </is>
      </c>
      <c r="B16" s="16" t="inlineStr">
        <is>
          <t>N</t>
        </is>
      </c>
      <c r="C16" s="16" t="inlineStr">
        <is>
          <t>點位檢查</t>
        </is>
      </c>
      <c r="D16" s="16" t="inlineStr">
        <is>
          <t>公式</t>
        </is>
      </c>
      <c r="E16" s="24" t="inlineStr">
        <is>
          <t>公式計算；不需手動輸入。</t>
        </is>
      </c>
    </row>
    <row r="17" ht="39.95" customHeight="1">
      <c r="A17" s="16" t="inlineStr">
        <is>
          <t>04_測項與清單</t>
        </is>
      </c>
      <c r="B17" s="16" t="inlineStr">
        <is>
          <t>A</t>
        </is>
      </c>
      <c r="C17" s="16" t="inlineStr">
        <is>
          <t>介質</t>
        </is>
      </c>
      <c r="D17" s="16" t="inlineStr">
        <is>
          <t>手動維護</t>
        </is>
      </c>
      <c r="E17" s="24" t="inlineStr">
        <is>
          <t>手動輸入；藍色欄位。</t>
        </is>
      </c>
    </row>
    <row r="18" ht="39.95" customHeight="1">
      <c r="A18" s="16" t="inlineStr">
        <is>
          <t>04_測項與清單</t>
        </is>
      </c>
      <c r="B18" s="16" t="inlineStr">
        <is>
          <t>B</t>
        </is>
      </c>
      <c r="C18" s="16" t="inlineStr">
        <is>
          <t>分析項目</t>
        </is>
      </c>
      <c r="D18" s="16" t="inlineStr">
        <is>
          <t>手動維護</t>
        </is>
      </c>
      <c r="E18" s="24" t="inlineStr">
        <is>
          <t>手動輸入；藍色欄位。</t>
        </is>
      </c>
    </row>
    <row r="19" ht="39.95" customHeight="1">
      <c r="A19" s="16" t="inlineStr">
        <is>
          <t>04_測項與清單</t>
        </is>
      </c>
      <c r="B19" s="16" t="inlineStr">
        <is>
          <t>C</t>
        </is>
      </c>
      <c r="C19" s="16" t="inlineStr">
        <is>
          <t>別名/英文</t>
        </is>
      </c>
      <c r="D19" s="16" t="inlineStr">
        <is>
          <t>手動維護</t>
        </is>
      </c>
      <c r="E19" s="24" t="inlineStr">
        <is>
          <t>手動輸入；藍色欄位。</t>
        </is>
      </c>
    </row>
    <row r="20" ht="39.95" customHeight="1">
      <c r="A20" s="16" t="inlineStr">
        <is>
          <t>04_測項與清單</t>
        </is>
      </c>
      <c r="B20" s="16" t="inlineStr">
        <is>
          <t>D</t>
        </is>
      </c>
      <c r="C20" s="16" t="inlineStr">
        <is>
          <t>測項類別</t>
        </is>
      </c>
      <c r="D20" s="16" t="inlineStr">
        <is>
          <t>手動維護</t>
        </is>
      </c>
      <c r="E20" s="24" t="inlineStr">
        <is>
          <t>手動輸入；藍色欄位。</t>
        </is>
      </c>
    </row>
    <row r="21" ht="39.95" customHeight="1">
      <c r="A21" s="16" t="inlineStr">
        <is>
          <t>04_測項與清單</t>
        </is>
      </c>
      <c r="B21" s="16" t="inlineStr">
        <is>
          <t>E</t>
        </is>
      </c>
      <c r="C21" s="16" t="inlineStr">
        <is>
          <t>預設分析方法</t>
        </is>
      </c>
      <c r="D21" s="16" t="inlineStr">
        <is>
          <t>手動維護</t>
        </is>
      </c>
      <c r="E21" s="24" t="inlineStr">
        <is>
          <t>手動輸入；藍色欄位。</t>
        </is>
      </c>
    </row>
    <row r="22" ht="39.95" customHeight="1">
      <c r="A22" s="16" t="inlineStr">
        <is>
          <t>04_測項與清單</t>
        </is>
      </c>
      <c r="B22" s="16" t="inlineStr">
        <is>
          <t>F</t>
        </is>
      </c>
      <c r="C22" s="16" t="inlineStr">
        <is>
          <t>標準單位</t>
        </is>
      </c>
      <c r="D22" s="16" t="inlineStr">
        <is>
          <t>手動維護</t>
        </is>
      </c>
      <c r="E22" s="24" t="inlineStr">
        <is>
          <t>從04頁E207起的共用單位清單選取；單位換算關係由04頁K:M主檔另行設定。</t>
        </is>
      </c>
    </row>
    <row r="23" ht="39.95" customHeight="1">
      <c r="A23" s="16" t="inlineStr">
        <is>
          <t>04_測項與清單</t>
        </is>
      </c>
      <c r="B23" s="16" t="inlineStr">
        <is>
          <t>G</t>
        </is>
      </c>
      <c r="C23" s="16" t="inlineStr">
        <is>
          <t>啟用</t>
        </is>
      </c>
      <c r="D23" s="16" t="inlineStr">
        <is>
          <t>手動維護</t>
        </is>
      </c>
      <c r="E23" s="24" t="inlineStr">
        <is>
          <t>從04頁I207起清單選取；是／否為公式識別的既定值。</t>
        </is>
      </c>
    </row>
    <row r="24" ht="39.95" customHeight="1">
      <c r="A24" s="16" t="inlineStr">
        <is>
          <t>04_測項與清單</t>
        </is>
      </c>
      <c r="B24" s="16" t="inlineStr">
        <is>
          <t>H</t>
        </is>
      </c>
      <c r="C24" s="16" t="inlineStr">
        <is>
          <t>測項鍵</t>
        </is>
      </c>
      <c r="D24" s="16" t="inlineStr">
        <is>
          <t>公式</t>
        </is>
      </c>
      <c r="E24" s="24" t="inlineStr">
        <is>
          <t>公式計算；不需手動輸入。</t>
        </is>
      </c>
    </row>
    <row r="25" ht="39.95" customHeight="1">
      <c r="A25" s="16" t="inlineStr">
        <is>
          <t>04_測項與清單</t>
        </is>
      </c>
      <c r="B25" s="16" t="inlineStr">
        <is>
          <t>I</t>
        </is>
      </c>
      <c r="C25" s="16" t="inlineStr">
        <is>
          <t>主檔檢查</t>
        </is>
      </c>
      <c r="D25" s="16" t="inlineStr">
        <is>
          <t>公式</t>
        </is>
      </c>
      <c r="E25" s="24" t="inlineStr">
        <is>
          <t>公式計算；不需手動輸入。</t>
        </is>
      </c>
    </row>
    <row r="26" ht="39.95" customHeight="1">
      <c r="A26" s="16" t="inlineStr">
        <is>
          <t>05_標準版本</t>
        </is>
      </c>
      <c r="B26" s="16" t="inlineStr">
        <is>
          <t>A</t>
        </is>
      </c>
      <c r="C26" s="16" t="inlineStr">
        <is>
          <t>版本代碼</t>
        </is>
      </c>
      <c r="D26" s="16" t="inlineStr">
        <is>
          <t>手動維護</t>
        </is>
      </c>
      <c r="E26" s="24" t="inlineStr">
        <is>
          <t>手動輸入；藍色欄位。</t>
        </is>
      </c>
    </row>
    <row r="27" ht="39.95" customHeight="1">
      <c r="A27" s="16" t="inlineStr">
        <is>
          <t>05_標準版本</t>
        </is>
      </c>
      <c r="B27" s="16" t="inlineStr">
        <is>
          <t>B</t>
        </is>
      </c>
      <c r="C27" s="16" t="inlineStr">
        <is>
          <t>介質</t>
        </is>
      </c>
      <c r="D27" s="16" t="inlineStr">
        <is>
          <t>手動維護</t>
        </is>
      </c>
      <c r="E27" s="24" t="inlineStr">
        <is>
          <t>手動輸入；藍色欄位。</t>
        </is>
      </c>
    </row>
    <row r="28" ht="39.95" customHeight="1">
      <c r="A28" s="16" t="inlineStr">
        <is>
          <t>05_標準版本</t>
        </is>
      </c>
      <c r="B28" s="16" t="inlineStr">
        <is>
          <t>C</t>
        </is>
      </c>
      <c r="C28" s="16" t="inlineStr">
        <is>
          <t>分析項目</t>
        </is>
      </c>
      <c r="D28" s="16" t="inlineStr">
        <is>
          <t>手動維護</t>
        </is>
      </c>
      <c r="E28" s="24" t="inlineStr">
        <is>
          <t>手動輸入；藍色欄位。</t>
        </is>
      </c>
    </row>
    <row r="29" ht="39.95" customHeight="1">
      <c r="A29" s="16" t="inlineStr">
        <is>
          <t>05_標準版本</t>
        </is>
      </c>
      <c r="B29" s="16" t="inlineStr">
        <is>
          <t>D</t>
        </is>
      </c>
      <c r="C29" s="16" t="inlineStr">
        <is>
          <t>標準單位</t>
        </is>
      </c>
      <c r="D29" s="16" t="inlineStr">
        <is>
          <t>手動維護</t>
        </is>
      </c>
      <c r="E29" s="24" t="inlineStr">
        <is>
          <t>從04頁E207起的共用單位清單選取；單位換算關係由04頁K:M主檔另行設定。</t>
        </is>
      </c>
    </row>
    <row r="30" ht="39.95" customHeight="1">
      <c r="A30" s="16" t="inlineStr">
        <is>
          <t>05_標準版本</t>
        </is>
      </c>
      <c r="B30" s="16" t="inlineStr">
        <is>
          <t>E</t>
        </is>
      </c>
      <c r="C30" s="16" t="inlineStr">
        <is>
          <t>管制設定值</t>
        </is>
      </c>
      <c r="D30" s="16" t="inlineStr">
        <is>
          <t>手動維護</t>
        </is>
      </c>
      <c r="E30" s="24" t="inlineStr">
        <is>
          <t>手動輸入；藍色欄位。</t>
        </is>
      </c>
    </row>
    <row r="31" ht="39.95" customHeight="1">
      <c r="A31" s="16" t="inlineStr">
        <is>
          <t>05_標準版本</t>
        </is>
      </c>
      <c r="B31" s="16" t="inlineStr">
        <is>
          <t>F</t>
        </is>
      </c>
      <c r="C31" s="16" t="inlineStr">
        <is>
          <t>監測設定值</t>
        </is>
      </c>
      <c r="D31" s="16" t="inlineStr">
        <is>
          <t>手動維護</t>
        </is>
      </c>
      <c r="E31" s="24" t="inlineStr">
        <is>
          <t>手動輸入；藍色欄位。</t>
        </is>
      </c>
    </row>
    <row r="32" ht="39.95" customHeight="1">
      <c r="A32" s="16" t="inlineStr">
        <is>
          <t>05_標準版本</t>
        </is>
      </c>
      <c r="B32" s="16" t="inlineStr">
        <is>
          <t>G</t>
        </is>
      </c>
      <c r="C32" s="16" t="inlineStr">
        <is>
          <t>生效日</t>
        </is>
      </c>
      <c r="D32" s="16" t="inlineStr">
        <is>
          <t>手動維護</t>
        </is>
      </c>
      <c r="E32" s="24" t="inlineStr">
        <is>
          <t>本列數值門檻開始適用日；地下水2025修法未變更數值，表內門檻自2014-01-01相同。</t>
        </is>
      </c>
    </row>
    <row r="33" ht="39.95" customHeight="1">
      <c r="A33" s="16" t="inlineStr">
        <is>
          <t>05_標準版本</t>
        </is>
      </c>
      <c r="B33" s="16" t="inlineStr">
        <is>
          <t>H</t>
        </is>
      </c>
      <c r="C33" s="16" t="inlineStr">
        <is>
          <t>失效日</t>
        </is>
      </c>
      <c r="D33" s="16" t="inlineStr">
        <is>
          <t>手動維護</t>
        </is>
      </c>
      <c r="E33" s="24" t="inlineStr">
        <is>
          <t>手動輸入；藍色欄位。</t>
        </is>
      </c>
    </row>
    <row r="34" ht="39.95" customHeight="1">
      <c r="A34" s="16" t="inlineStr">
        <is>
          <t>05_標準版本</t>
        </is>
      </c>
      <c r="B34" s="16" t="inlineStr">
        <is>
          <t>I</t>
        </is>
      </c>
      <c r="C34" s="16" t="inlineStr">
        <is>
          <t>來源/文件版本</t>
        </is>
      </c>
      <c r="D34" s="16" t="inlineStr">
        <is>
          <t>手動維護</t>
        </is>
      </c>
      <c r="E34" s="24" t="inlineStr">
        <is>
          <t>手動輸入；藍色欄位。</t>
        </is>
      </c>
    </row>
    <row r="35" ht="39.95" customHeight="1">
      <c r="A35" s="16" t="inlineStr">
        <is>
          <t>05_標準版本</t>
        </is>
      </c>
      <c r="B35" s="16" t="inlineStr">
        <is>
          <t>J</t>
        </is>
      </c>
      <c r="C35" s="16" t="inlineStr">
        <is>
          <t>核對狀態</t>
        </is>
      </c>
      <c r="D35" s="16" t="inlineStr">
        <is>
          <t>手動維護</t>
        </is>
      </c>
      <c r="E35" s="24" t="inlineStr">
        <is>
          <t>從04頁K207起清單選取；範例／已核對／停用為標準判讀的既定狀態。</t>
        </is>
      </c>
    </row>
    <row r="36" ht="39.95" customHeight="1">
      <c r="A36" s="16" t="inlineStr">
        <is>
          <t>05_標準版本</t>
        </is>
      </c>
      <c r="B36" s="16" t="inlineStr">
        <is>
          <t>K</t>
        </is>
      </c>
      <c r="C36" s="16" t="inlineStr">
        <is>
          <t>覆核人</t>
        </is>
      </c>
      <c r="D36" s="16" t="inlineStr">
        <is>
          <t>手動維護</t>
        </is>
      </c>
      <c r="E36" s="24" t="inlineStr">
        <is>
          <t>手動輸入；藍色欄位。</t>
        </is>
      </c>
    </row>
    <row r="37" ht="39.95" customHeight="1">
      <c r="A37" s="16" t="inlineStr">
        <is>
          <t>05_標準版本</t>
        </is>
      </c>
      <c r="B37" s="16" t="inlineStr">
        <is>
          <t>L</t>
        </is>
      </c>
      <c r="C37" s="16" t="inlineStr">
        <is>
          <t>覆核日期</t>
        </is>
      </c>
      <c r="D37" s="16" t="inlineStr">
        <is>
          <t>手動維護</t>
        </is>
      </c>
      <c r="E37" s="24" t="inlineStr">
        <is>
          <t>手動輸入；藍色欄位。</t>
        </is>
      </c>
    </row>
    <row r="38" ht="39.95" customHeight="1">
      <c r="A38" s="16" t="inlineStr">
        <is>
          <t>05_標準版本</t>
        </is>
      </c>
      <c r="B38" s="16" t="inlineStr">
        <is>
          <t>M</t>
        </is>
      </c>
      <c r="C38" s="16" t="inlineStr">
        <is>
          <t>標準鍵</t>
        </is>
      </c>
      <c r="D38" s="16" t="inlineStr">
        <is>
          <t>公式</t>
        </is>
      </c>
      <c r="E38" s="24" t="inlineStr">
        <is>
          <t>公式計算；不需手動輸入。</t>
        </is>
      </c>
    </row>
    <row r="39" ht="39.95" customHeight="1">
      <c r="A39" s="16" t="inlineStr">
        <is>
          <t>05_標準版本</t>
        </is>
      </c>
      <c r="B39" s="16" t="inlineStr">
        <is>
          <t>N</t>
        </is>
      </c>
      <c r="C39" s="16" t="inlineStr">
        <is>
          <t>版本檢查</t>
        </is>
      </c>
      <c r="D39" s="16" t="inlineStr">
        <is>
          <t>公式</t>
        </is>
      </c>
      <c r="E39" s="24" t="inlineStr">
        <is>
          <t>公式計算；不需手動輸入。</t>
        </is>
      </c>
    </row>
    <row r="40" ht="39.95" customHeight="1">
      <c r="A40" s="16" t="inlineStr">
        <is>
          <t>04_測項與清單</t>
        </is>
      </c>
      <c r="B40" s="16" t="inlineStr">
        <is>
          <t>K</t>
        </is>
      </c>
      <c r="C40" s="16" t="inlineStr">
        <is>
          <t>來源單位</t>
        </is>
      </c>
      <c r="D40" s="16" t="inlineStr">
        <is>
          <t>手動維護</t>
        </is>
      </c>
      <c r="E40" s="24" t="inlineStr">
        <is>
          <t>從04頁E207起的共用單位清單選取；單位換算關係由04頁K:M主檔另行設定。</t>
        </is>
      </c>
    </row>
    <row r="41" ht="39.95" customHeight="1">
      <c r="A41" s="16" t="inlineStr">
        <is>
          <t>04_測項與清單</t>
        </is>
      </c>
      <c r="B41" s="16" t="inlineStr">
        <is>
          <t>L</t>
        </is>
      </c>
      <c r="C41" s="16" t="inlineStr">
        <is>
          <t>目標單位</t>
        </is>
      </c>
      <c r="D41" s="16" t="inlineStr">
        <is>
          <t>手動維護</t>
        </is>
      </c>
      <c r="E41" s="24" t="inlineStr">
        <is>
          <t>從04頁E207起的共用單位清單選取；單位換算關係由04頁K:M主檔另行設定。</t>
        </is>
      </c>
    </row>
    <row r="42" ht="39.95" customHeight="1">
      <c r="A42" s="16" t="inlineStr">
        <is>
          <t>04_測項與清單</t>
        </is>
      </c>
      <c r="B42" s="16" t="inlineStr">
        <is>
          <t>M</t>
        </is>
      </c>
      <c r="C42" s="16" t="inlineStr">
        <is>
          <t>乘數</t>
        </is>
      </c>
      <c r="D42" s="16" t="inlineStr">
        <is>
          <t>手動維護</t>
        </is>
      </c>
      <c r="E42" s="24" t="inlineStr">
        <is>
          <t>手動輸入；藍色欄位。</t>
        </is>
      </c>
    </row>
    <row r="43" ht="39.95" customHeight="1">
      <c r="A43" s="16" t="inlineStr">
        <is>
          <t>04_測項與清單</t>
        </is>
      </c>
      <c r="B43" s="16" t="inlineStr">
        <is>
          <t>N</t>
        </is>
      </c>
      <c r="C43" s="16" t="inlineStr">
        <is>
          <t>換算鍵</t>
        </is>
      </c>
      <c r="D43" s="16" t="inlineStr">
        <is>
          <t>公式</t>
        </is>
      </c>
      <c r="E43" s="24" t="inlineStr">
        <is>
          <t>公式計算；不需手動輸入。</t>
        </is>
      </c>
    </row>
    <row r="44" ht="39.95" customHeight="1">
      <c r="A44" s="16" t="inlineStr">
        <is>
          <t>04_測項與清單</t>
        </is>
      </c>
      <c r="B44" s="16" t="inlineStr">
        <is>
          <t>O</t>
        </is>
      </c>
      <c r="C44" s="16" t="inlineStr">
        <is>
          <t>換算檢查</t>
        </is>
      </c>
      <c r="D44" s="16" t="inlineStr">
        <is>
          <t>公式</t>
        </is>
      </c>
      <c r="E44" s="24" t="inlineStr">
        <is>
          <t>公式計算；不需手動輸入。</t>
        </is>
      </c>
    </row>
    <row r="45" ht="39.95" customHeight="1">
      <c r="A45" s="16" t="inlineStr">
        <is>
          <t>04_測項與清單</t>
        </is>
      </c>
      <c r="B45" s="16" t="inlineStr">
        <is>
          <t>Q:R</t>
        </is>
      </c>
      <c r="C45" s="16" t="inlineStr">
        <is>
          <t>版本代碼清單</t>
        </is>
      </c>
      <c r="D45" s="16" t="inlineStr">
        <is>
          <t>手動維護</t>
        </is>
      </c>
      <c r="E45" s="24" t="inlineStr">
        <is>
          <t>新增版本先登錄代碼，再填寫標準版本明細。</t>
        </is>
      </c>
    </row>
    <row r="46" ht="39.95" customHeight="1">
      <c r="A46" s="16" t="inlineStr">
        <is>
          <t>04_測項與清單</t>
        </is>
      </c>
      <c r="B46" s="16" t="inlineStr">
        <is>
          <t>T</t>
        </is>
      </c>
      <c r="C46" s="16" t="inlineStr">
        <is>
          <t>介質清單</t>
        </is>
      </c>
      <c r="D46" s="16" t="inlineStr">
        <is>
          <t>手動維護</t>
        </is>
      </c>
      <c r="E46" s="24" t="inlineStr">
        <is>
          <t>在介質表格末格按Tab新增一列並填入名稱。四處介質選單共用此表。</t>
        </is>
      </c>
    </row>
    <row r="47" ht="39.95" customHeight="1">
      <c r="A47" s="16" t="inlineStr">
        <is>
          <t>01_樣品登錄</t>
        </is>
      </c>
      <c r="B47" s="16" t="inlineStr">
        <is>
          <t>A</t>
        </is>
      </c>
      <c r="C47" s="16" t="inlineStr">
        <is>
          <t>樣品編號</t>
        </is>
      </c>
      <c r="D47" s="16" t="inlineStr">
        <is>
          <t>手動維護</t>
        </is>
      </c>
      <c r="E47" s="24" t="inlineStr">
        <is>
          <t>輸入唯一樣品編號（監測點_YYYYMMDD）；02 的 H 欄選單直接引用本資料表。</t>
        </is>
      </c>
    </row>
    <row r="48" ht="39.95" customHeight="1">
      <c r="A48" s="16" t="inlineStr">
        <is>
          <t>01_樣品登錄</t>
        </is>
      </c>
      <c r="B48" s="16" t="inlineStr">
        <is>
          <t>B</t>
        </is>
      </c>
      <c r="C48" s="16" t="inlineStr">
        <is>
          <t>監測點</t>
        </is>
      </c>
      <c r="D48" s="16" t="inlineStr">
        <is>
          <t>手動維護</t>
        </is>
      </c>
      <c r="E48" s="24" t="inlineStr">
        <is>
          <t>選自 03_點位主檔的資料表；新增表格列後選項自動增加。</t>
        </is>
      </c>
    </row>
    <row r="49" ht="39.95" customHeight="1">
      <c r="A49" s="16" t="inlineStr">
        <is>
          <t>01_樣品登錄</t>
        </is>
      </c>
      <c r="B49" s="16" t="inlineStr">
        <is>
          <t>C</t>
        </is>
      </c>
      <c r="C49" s="16" t="inlineStr">
        <is>
          <t>採樣日期</t>
        </is>
      </c>
      <c r="D49" s="16" t="inlineStr">
        <is>
          <t>手動維護</t>
        </is>
      </c>
      <c r="E49" s="24" t="inlineStr">
        <is>
          <t>必填日期。</t>
        </is>
      </c>
    </row>
    <row r="50" ht="39.95" customHeight="1">
      <c r="A50" s="16" t="inlineStr">
        <is>
          <t>01_樣品登錄</t>
        </is>
      </c>
      <c r="B50" s="16" t="inlineStr">
        <is>
          <t>D</t>
        </is>
      </c>
      <c r="C50" s="16" t="inlineStr">
        <is>
          <t>採樣說明</t>
        </is>
      </c>
      <c r="D50" s="16" t="inlineStr">
        <is>
          <t>手動維護</t>
        </is>
      </c>
      <c r="E50" s="24" t="inlineStr">
        <is>
          <t>手動維護；藍色欄位。</t>
        </is>
      </c>
    </row>
    <row r="51" ht="39.95" customHeight="1">
      <c r="A51" s="16" t="inlineStr">
        <is>
          <t>01_樣品登錄</t>
        </is>
      </c>
      <c r="B51" s="16" t="inlineStr">
        <is>
          <t>E</t>
        </is>
      </c>
      <c r="C51" s="16" t="inlineStr">
        <is>
          <t>採樣深度(m)</t>
        </is>
      </c>
      <c r="D51" s="16" t="inlineStr">
        <is>
          <t>手動維護</t>
        </is>
      </c>
      <c r="E51" s="24" t="inlineStr">
        <is>
          <t>手動維護；藍色欄位。</t>
        </is>
      </c>
    </row>
    <row r="52" ht="39.95" customHeight="1">
      <c r="A52" s="16" t="inlineStr">
        <is>
          <t>01_樣品登錄</t>
        </is>
      </c>
      <c r="B52" s="16" t="inlineStr">
        <is>
          <t>F</t>
        </is>
      </c>
      <c r="C52" s="16" t="inlineStr">
        <is>
          <t>深度起(m)</t>
        </is>
      </c>
      <c r="D52" s="16" t="inlineStr">
        <is>
          <t>手動維護</t>
        </is>
      </c>
      <c r="E52" s="24" t="inlineStr">
        <is>
          <t>土壤：採樣區間起始深度。地下水：水位，以井口向下為正；採樣深度另填E欄。</t>
        </is>
      </c>
    </row>
    <row r="53" ht="39.95" customHeight="1">
      <c r="A53" s="16" t="inlineStr">
        <is>
          <t>01_樣品登錄</t>
        </is>
      </c>
      <c r="B53" s="16" t="inlineStr">
        <is>
          <t>G</t>
        </is>
      </c>
      <c r="C53" s="16" t="inlineStr">
        <is>
          <t>深度迄(m)</t>
        </is>
      </c>
      <c r="D53" s="16" t="inlineStr">
        <is>
          <t>手動維護</t>
        </is>
      </c>
      <c r="E53" s="24" t="inlineStr">
        <is>
          <t>土壤採樣區間終止深度；地下水可留白，不與水位比較起迄。</t>
        </is>
      </c>
    </row>
    <row r="54" ht="39.95" customHeight="1">
      <c r="A54" s="16" t="inlineStr">
        <is>
          <t>01_樣品登錄</t>
        </is>
      </c>
      <c r="B54" s="16" t="inlineStr">
        <is>
          <t>H</t>
        </is>
      </c>
      <c r="C54" s="16" t="inlineStr">
        <is>
          <t>採樣方法</t>
        </is>
      </c>
      <c r="D54" s="16" t="inlineStr">
        <is>
          <t>手動維護</t>
        </is>
      </c>
      <c r="E54" s="24" t="inlineStr">
        <is>
          <t>從04頁共用採樣方法清單選取。</t>
        </is>
      </c>
    </row>
    <row r="55" ht="39.95" customHeight="1">
      <c r="A55" s="16" t="inlineStr">
        <is>
          <t>01_樣品登錄</t>
        </is>
      </c>
      <c r="B55" s="16" t="inlineStr">
        <is>
          <t>I</t>
        </is>
      </c>
      <c r="C55" s="16" t="inlineStr">
        <is>
          <t>採樣單位</t>
        </is>
      </c>
      <c r="D55" s="16" t="inlineStr">
        <is>
          <t>手動維護</t>
        </is>
      </c>
      <c r="E55" s="24" t="inlineStr">
        <is>
          <t>手動維護；藍色欄位。</t>
        </is>
      </c>
    </row>
    <row r="56" ht="39.95" customHeight="1">
      <c r="A56" s="16" t="inlineStr">
        <is>
          <t>01_樣品登錄</t>
        </is>
      </c>
      <c r="B56" s="16" t="inlineStr">
        <is>
          <t>J</t>
        </is>
      </c>
      <c r="C56" s="16" t="inlineStr">
        <is>
          <t>檢測單位</t>
        </is>
      </c>
      <c r="D56" s="16" t="inlineStr">
        <is>
          <t>手動維護</t>
        </is>
      </c>
      <c r="E56" s="24" t="inlineStr">
        <is>
          <t>手動維護；藍色欄位。</t>
        </is>
      </c>
    </row>
    <row r="57" ht="39.95" customHeight="1">
      <c r="A57" s="16" t="inlineStr">
        <is>
          <t>01_樣品登錄</t>
        </is>
      </c>
      <c r="B57" s="16" t="inlineStr">
        <is>
          <t>K</t>
        </is>
      </c>
      <c r="C57" s="16" t="inlineStr">
        <is>
          <t>備註</t>
        </is>
      </c>
      <c r="D57" s="16" t="inlineStr">
        <is>
          <t>手動維護</t>
        </is>
      </c>
      <c r="E57" s="24" t="inlineStr">
        <is>
          <t>手動維護；藍色欄位。</t>
        </is>
      </c>
    </row>
    <row r="58" ht="39.95" customHeight="1">
      <c r="A58" s="16" t="inlineStr">
        <is>
          <t>01_樣品登錄</t>
        </is>
      </c>
      <c r="B58" s="16" t="inlineStr">
        <is>
          <t>L</t>
        </is>
      </c>
      <c r="C58" s="16" t="inlineStr">
        <is>
          <t>介質</t>
        </is>
      </c>
      <c r="D58" s="16" t="inlineStr">
        <is>
          <t>公式</t>
        </is>
      </c>
      <c r="E58" s="24" t="inlineStr">
        <is>
          <t>依監測點自動從03頁帶入，不需手動維護。</t>
        </is>
      </c>
    </row>
    <row r="59" ht="39.95" customHeight="1">
      <c r="A59" s="16" t="inlineStr">
        <is>
          <t>01_樣品登錄</t>
        </is>
      </c>
      <c r="B59" s="16" t="inlineStr">
        <is>
          <t>M</t>
        </is>
      </c>
      <c r="C59" s="16" t="inlineStr">
        <is>
          <t>樣品檢查</t>
        </is>
      </c>
      <c r="D59" s="16" t="inlineStr">
        <is>
          <t>公式</t>
        </is>
      </c>
      <c r="E59" s="24" t="inlineStr">
        <is>
          <t>自動檢查編號、點位、介質、日期、深度與採樣方法。</t>
        </is>
      </c>
    </row>
    <row r="60" ht="39.95" customHeight="1">
      <c r="A60" s="16" t="inlineStr">
        <is>
          <t>02_分析資料庫</t>
        </is>
      </c>
      <c r="B60" s="16" t="inlineStr">
        <is>
          <t>A</t>
        </is>
      </c>
      <c r="C60" s="16" t="inlineStr">
        <is>
          <t>分析項目</t>
        </is>
      </c>
      <c r="D60" s="16" t="inlineStr">
        <is>
          <t>手動維護</t>
        </is>
      </c>
      <c r="E60" s="24" t="inlineStr">
        <is>
          <t>從04頁共用測項清單選取。</t>
        </is>
      </c>
    </row>
    <row r="61" ht="39.95" customHeight="1">
      <c r="A61" s="16" t="inlineStr">
        <is>
          <t>02_分析資料庫</t>
        </is>
      </c>
      <c r="B61" s="16" t="inlineStr">
        <is>
          <t>B</t>
        </is>
      </c>
      <c r="C61" s="16" t="inlineStr">
        <is>
          <t>原始值</t>
        </is>
      </c>
      <c r="D61" s="16" t="inlineStr">
        <is>
          <t>手動維護</t>
        </is>
      </c>
      <c r="E61" s="24" t="inlineStr">
        <is>
          <t>以文字保存，保留ND、NA及小於／大於符號。</t>
        </is>
      </c>
    </row>
    <row r="62" ht="39.95" customHeight="1">
      <c r="A62" s="16" t="inlineStr">
        <is>
          <t>02_分析資料庫</t>
        </is>
      </c>
      <c r="B62" s="16" t="inlineStr">
        <is>
          <t>C</t>
        </is>
      </c>
      <c r="C62" s="16" t="inlineStr">
        <is>
          <t>結果單位</t>
        </is>
      </c>
      <c r="D62" s="16" t="inlineStr">
        <is>
          <t>手動維護</t>
        </is>
      </c>
      <c r="E62" s="24" t="inlineStr">
        <is>
          <t>從04頁共用單位清單選取。</t>
        </is>
      </c>
    </row>
    <row r="63" ht="39.95" customHeight="1">
      <c r="A63" s="16" t="inlineStr">
        <is>
          <t>02_分析資料庫</t>
        </is>
      </c>
      <c r="B63" s="16" t="inlineStr">
        <is>
          <t>D</t>
        </is>
      </c>
      <c r="C63" s="16" t="inlineStr">
        <is>
          <t>備註</t>
        </is>
      </c>
      <c r="D63" s="16" t="inlineStr">
        <is>
          <t>手動維護</t>
        </is>
      </c>
      <c r="E63" s="24" t="inlineStr">
        <is>
          <t>可填資料來源或其他必要說明。</t>
        </is>
      </c>
    </row>
    <row r="64" ht="39.95" customHeight="1">
      <c r="A64" s="16" t="inlineStr">
        <is>
          <t>02_分析資料庫</t>
        </is>
      </c>
      <c r="B64" s="16" t="inlineStr">
        <is>
          <t>E</t>
        </is>
      </c>
      <c r="C64" s="16" t="inlineStr">
        <is>
          <t>監測點</t>
        </is>
      </c>
      <c r="D64" s="16" t="inlineStr">
        <is>
          <t>公式</t>
        </is>
      </c>
      <c r="E64" s="24" t="inlineStr">
        <is>
          <t>由 H 欄關聯鍵對應 01_樣品登錄，自動帶入監測點。</t>
        </is>
      </c>
    </row>
    <row r="65" ht="39.95" customHeight="1">
      <c r="A65" s="16" t="inlineStr">
        <is>
          <t>02_分析資料庫</t>
        </is>
      </c>
      <c r="B65" s="16" t="inlineStr">
        <is>
          <t>F</t>
        </is>
      </c>
      <c r="C65" s="16" t="inlineStr">
        <is>
          <t>採樣日期</t>
        </is>
      </c>
      <c r="D65" s="16" t="inlineStr">
        <is>
          <t>公式</t>
        </is>
      </c>
      <c r="E65" s="24" t="inlineStr">
        <is>
          <t>由 H 欄關聯鍵對應 01_樣品登錄，自動帶入採樣日期；來源日期空白時保持空白。</t>
        </is>
      </c>
    </row>
    <row r="66" ht="39.95" customHeight="1">
      <c r="A66" s="16" t="inlineStr">
        <is>
          <t>02_分析資料庫</t>
        </is>
      </c>
      <c r="B66" s="16" t="inlineStr">
        <is>
          <t>G</t>
        </is>
      </c>
      <c r="C66" s="16" t="inlineStr">
        <is>
          <t>解析值</t>
        </is>
      </c>
      <c r="D66" s="16" t="inlineStr">
        <is>
          <t>公式</t>
        </is>
      </c>
      <c r="E66" s="24" t="inlineStr">
        <is>
          <t>ND=0；&lt;x或≤x=x/2；純數值不變；&gt;x或≥x保留界限數值。NA、空白及無效字串留白。沿用結果單位。</t>
        </is>
      </c>
    </row>
    <row r="67" ht="39.95" customHeight="1">
      <c r="A67" s="16" t="inlineStr">
        <is>
          <t>02_分析資料庫</t>
        </is>
      </c>
      <c r="B67" s="16" t="inlineStr">
        <is>
          <t>H</t>
        </is>
      </c>
      <c r="C67" s="16" t="inlineStr">
        <is>
          <t>關聯鍵</t>
        </is>
      </c>
      <c r="D67" s="16" t="inlineStr">
        <is>
          <t>手動維護</t>
        </is>
      </c>
      <c r="E67" s="24" t="inlineStr">
        <is>
          <t>選擇 01_樣品登錄的樣品編號；預設顯示，新增結果先選本欄。</t>
        </is>
      </c>
    </row>
    <row r="68" ht="39.95" customHeight="1">
      <c r="A68" s="16" t="inlineStr">
        <is>
          <t>07_QAQC</t>
        </is>
      </c>
      <c r="B68" s="16" t="inlineStr">
        <is>
          <t>A</t>
        </is>
      </c>
      <c r="C68" s="16" t="inlineStr">
        <is>
          <t>資料列</t>
        </is>
      </c>
      <c r="D68" s="16" t="inlineStr">
        <is>
          <t>公式</t>
        </is>
      </c>
      <c r="E68" s="24" t="inlineStr">
        <is>
          <t>公式計算；不需手動輸入。</t>
        </is>
      </c>
    </row>
    <row r="69" ht="39.95" customHeight="1">
      <c r="A69" s="16" t="inlineStr">
        <is>
          <t>07_QAQC</t>
        </is>
      </c>
      <c r="B69" s="16" t="inlineStr">
        <is>
          <t>B</t>
        </is>
      </c>
      <c r="C69" s="16" t="inlineStr">
        <is>
          <t>監測點</t>
        </is>
      </c>
      <c r="D69" s="16" t="inlineStr">
        <is>
          <t>公式</t>
        </is>
      </c>
      <c r="E69" s="24" t="inlineStr">
        <is>
          <t>依 C6 結果序號，從 02_分析資料庫帶入單筆資料。</t>
        </is>
      </c>
    </row>
    <row r="70" ht="39.95" customHeight="1">
      <c r="A70" s="16" t="inlineStr">
        <is>
          <t>07_QAQC</t>
        </is>
      </c>
      <c r="B70" s="16" t="inlineStr">
        <is>
          <t>C</t>
        </is>
      </c>
      <c r="C70" s="16" t="inlineStr">
        <is>
          <t>分析項目</t>
        </is>
      </c>
      <c r="D70" s="16" t="inlineStr">
        <is>
          <t>公式</t>
        </is>
      </c>
      <c r="E70" s="24" t="inlineStr">
        <is>
          <t>公式計算；不需手動輸入。</t>
        </is>
      </c>
    </row>
    <row r="71" ht="39.95" customHeight="1">
      <c r="A71" s="16" t="inlineStr">
        <is>
          <t>07_QAQC</t>
        </is>
      </c>
      <c r="B71" s="16" t="inlineStr">
        <is>
          <t>D</t>
        </is>
      </c>
      <c r="C71" s="16" t="inlineStr">
        <is>
          <t>原始值</t>
        </is>
      </c>
      <c r="D71" s="16" t="inlineStr">
        <is>
          <t>公式</t>
        </is>
      </c>
      <c r="E71" s="24" t="inlineStr">
        <is>
          <t>公式計算；不需手動輸入。</t>
        </is>
      </c>
    </row>
    <row r="72" ht="39.95" customHeight="1">
      <c r="A72" s="16" t="inlineStr">
        <is>
          <t>07_QAQC</t>
        </is>
      </c>
      <c r="B72" s="16" t="inlineStr">
        <is>
          <t>E</t>
        </is>
      </c>
      <c r="C72" s="16" t="inlineStr">
        <is>
          <t>結果單位</t>
        </is>
      </c>
      <c r="D72" s="16" t="inlineStr">
        <is>
          <t>公式</t>
        </is>
      </c>
      <c r="E72" s="24" t="inlineStr">
        <is>
          <t>公式計算；不需手動輸入。</t>
        </is>
      </c>
    </row>
    <row r="73" ht="39.95" customHeight="1">
      <c r="A73" s="16" t="inlineStr">
        <is>
          <t>07_QAQC</t>
        </is>
      </c>
      <c r="B73" s="16" t="inlineStr">
        <is>
          <t>F</t>
        </is>
      </c>
      <c r="C73" s="16" t="inlineStr">
        <is>
          <t>解析值</t>
        </is>
      </c>
      <c r="D73" s="16" t="inlineStr">
        <is>
          <t>公式</t>
        </is>
      </c>
      <c r="E73" s="24" t="inlineStr">
        <is>
          <t>公式計算；不需手動輸入。</t>
        </is>
      </c>
    </row>
    <row r="74" ht="39.95" customHeight="1">
      <c r="A74" s="16" t="inlineStr">
        <is>
          <t>07_QAQC</t>
        </is>
      </c>
      <c r="B74" s="16" t="inlineStr">
        <is>
          <t>G</t>
        </is>
      </c>
      <c r="C74" s="16" t="inlineStr">
        <is>
          <t>樣品檢查</t>
        </is>
      </c>
      <c r="D74" s="16" t="inlineStr">
        <is>
          <t>公式</t>
        </is>
      </c>
      <c r="E74" s="24" t="inlineStr">
        <is>
          <t>公式計算；不需手動輸入。</t>
        </is>
      </c>
    </row>
    <row r="75" ht="39.95" customHeight="1">
      <c r="A75" s="16" t="inlineStr">
        <is>
          <t>07_QAQC</t>
        </is>
      </c>
      <c r="B75" s="16" t="inlineStr">
        <is>
          <t>H</t>
        </is>
      </c>
      <c r="C75" s="16" t="inlineStr">
        <is>
          <t>格式檢查</t>
        </is>
      </c>
      <c r="D75" s="16" t="inlineStr">
        <is>
          <t>公式</t>
        </is>
      </c>
      <c r="E75" s="24" t="inlineStr">
        <is>
          <t>公式計算；不需手動輸入。</t>
        </is>
      </c>
    </row>
    <row r="76" ht="39.95" customHeight="1">
      <c r="A76" s="16" t="inlineStr">
        <is>
          <t>07_QAQC</t>
        </is>
      </c>
      <c r="B76" s="16" t="inlineStr">
        <is>
          <t>I</t>
        </is>
      </c>
      <c r="C76" s="16" t="inlineStr">
        <is>
          <t>重複檢查</t>
        </is>
      </c>
      <c r="D76" s="16" t="inlineStr">
        <is>
          <t>公式</t>
        </is>
      </c>
      <c r="E76" s="24" t="inlineStr">
        <is>
          <t>依樣品關聯鍵及分析項目判斷重複；同井不同採樣紀錄分開計算。</t>
        </is>
      </c>
    </row>
    <row r="77" ht="39.95" customHeight="1">
      <c r="A77" s="16" t="inlineStr">
        <is>
          <t>07_QAQC</t>
        </is>
      </c>
      <c r="B77" s="16" t="inlineStr">
        <is>
          <t>J</t>
        </is>
      </c>
      <c r="C77" s="16" t="inlineStr">
        <is>
          <t>單位檢查</t>
        </is>
      </c>
      <c r="D77" s="16" t="inlineStr">
        <is>
          <t>公式</t>
        </is>
      </c>
      <c r="E77" s="24" t="inlineStr">
        <is>
          <t>公式計算；不需手動輸入。</t>
        </is>
      </c>
    </row>
    <row r="78" ht="39.95" customHeight="1">
      <c r="A78" s="16" t="inlineStr">
        <is>
          <t>07_QAQC</t>
        </is>
      </c>
      <c r="B78" s="16" t="inlineStr">
        <is>
          <t>K</t>
        </is>
      </c>
      <c r="C78" s="16" t="inlineStr">
        <is>
          <t>標準檢查</t>
        </is>
      </c>
      <c r="D78" s="16" t="inlineStr">
        <is>
          <t>公式</t>
        </is>
      </c>
      <c r="E78" s="24" t="inlineStr">
        <is>
          <t>公式計算；不需手動輸入。</t>
        </is>
      </c>
    </row>
    <row r="79" ht="39.95" customHeight="1">
      <c r="A79" s="16" t="inlineStr">
        <is>
          <t>07_QAQC</t>
        </is>
      </c>
      <c r="B79" s="16" t="inlineStr">
        <is>
          <t>L</t>
        </is>
      </c>
      <c r="C79" s="16" t="inlineStr">
        <is>
          <t>管制比較</t>
        </is>
      </c>
      <c r="D79" s="16" t="inlineStr">
        <is>
          <t>公式</t>
        </is>
      </c>
      <c r="E79" s="24" t="inlineStr">
        <is>
          <t>依原始值與限定符比較，數值達門檻（含等於）即標示達值；&lt;界限高於門檻時保留無法判定。</t>
        </is>
      </c>
    </row>
    <row r="80" ht="39.95" customHeight="1">
      <c r="A80" s="16" t="inlineStr">
        <is>
          <t>07_QAQC</t>
        </is>
      </c>
      <c r="B80" s="16" t="inlineStr">
        <is>
          <t>M</t>
        </is>
      </c>
      <c r="C80" s="16" t="inlineStr">
        <is>
          <t>監測比較</t>
        </is>
      </c>
      <c r="D80" s="16" t="inlineStr">
        <is>
          <t>公式</t>
        </is>
      </c>
      <c r="E80" s="24" t="inlineStr">
        <is>
          <t>依原始值與限定符比較，數值達門檻（含等於）即標示達值；&lt;界限高於門檻時保留無法判定。</t>
        </is>
      </c>
    </row>
    <row r="81" ht="39.95" customHeight="1">
      <c r="A81" s="16" t="inlineStr">
        <is>
          <t>07_QAQC</t>
        </is>
      </c>
      <c r="B81" s="16" t="inlineStr">
        <is>
          <t>N</t>
        </is>
      </c>
      <c r="C81" s="16" t="inlineStr">
        <is>
          <t>完整性檢查</t>
        </is>
      </c>
      <c r="D81" s="16" t="inlineStr">
        <is>
          <t>公式</t>
        </is>
      </c>
      <c r="E81" s="24" t="inlineStr">
        <is>
          <t>公式計算；不需手動輸入。</t>
        </is>
      </c>
    </row>
    <row r="82" ht="39.95" customHeight="1">
      <c r="A82" s="16" t="inlineStr">
        <is>
          <t>07_QAQC</t>
        </is>
      </c>
      <c r="B82" s="16" t="inlineStr">
        <is>
          <t>O</t>
        </is>
      </c>
      <c r="C82" s="16" t="inlineStr">
        <is>
          <t>採樣日期</t>
        </is>
      </c>
      <c r="D82" s="16" t="inlineStr">
        <is>
          <t>公式</t>
        </is>
      </c>
      <c r="E82" s="24" t="inlineStr">
        <is>
          <t>公式計算；不需手動輸入。</t>
        </is>
      </c>
    </row>
    <row r="83" ht="39.95" customHeight="1">
      <c r="A83" s="16" t="inlineStr">
        <is>
          <t>07_QAQC</t>
        </is>
      </c>
      <c r="B83" s="16" t="inlineStr">
        <is>
          <t>P</t>
        </is>
      </c>
      <c r="C83" s="16" t="inlineStr">
        <is>
          <t>介質</t>
        </is>
      </c>
      <c r="D83" s="16" t="inlineStr">
        <is>
          <t>公式</t>
        </is>
      </c>
      <c r="E83" s="24" t="inlineStr">
        <is>
          <t>公式計算；不需手動輸入。</t>
        </is>
      </c>
    </row>
    <row r="84" ht="39.95" customHeight="1">
      <c r="A84" s="16" t="inlineStr">
        <is>
          <t>07_QAQC</t>
        </is>
      </c>
      <c r="B84" s="16" t="inlineStr">
        <is>
          <t>Q</t>
        </is>
      </c>
      <c r="C84" s="16" t="inlineStr">
        <is>
          <t>標準單位</t>
        </is>
      </c>
      <c r="D84" s="16" t="inlineStr">
        <is>
          <t>公式</t>
        </is>
      </c>
      <c r="E84" s="24" t="inlineStr">
        <is>
          <t>公式計算；不需手動輸入。</t>
        </is>
      </c>
    </row>
    <row r="85" ht="39.95" customHeight="1">
      <c r="A85" s="16" t="inlineStr">
        <is>
          <t>07_QAQC</t>
        </is>
      </c>
      <c r="B85" s="16" t="inlineStr">
        <is>
          <t>R</t>
        </is>
      </c>
      <c r="C85" s="16" t="inlineStr">
        <is>
          <t>換算係數</t>
        </is>
      </c>
      <c r="D85" s="16" t="inlineStr">
        <is>
          <t>公式</t>
        </is>
      </c>
      <c r="E85" s="24" t="inlineStr">
        <is>
          <t>公式計算；不需手動輸入。</t>
        </is>
      </c>
    </row>
    <row r="86" ht="39.95" customHeight="1">
      <c r="A86" s="16" t="inlineStr">
        <is>
          <t>07_QAQC</t>
        </is>
      </c>
      <c r="B86" s="16" t="inlineStr">
        <is>
          <t>S</t>
        </is>
      </c>
      <c r="C86" s="16" t="inlineStr">
        <is>
          <t>原始數值或界限</t>
        </is>
      </c>
      <c r="D86" s="16" t="inlineStr">
        <is>
          <t>公式</t>
        </is>
      </c>
      <c r="E86" s="24" t="inlineStr">
        <is>
          <t>公式計算；不需手動輸入。</t>
        </is>
      </c>
    </row>
    <row r="87" ht="39.95" customHeight="1">
      <c r="A87" s="16" t="inlineStr">
        <is>
          <t>07_QAQC</t>
        </is>
      </c>
      <c r="B87" s="16" t="inlineStr">
        <is>
          <t>T</t>
        </is>
      </c>
      <c r="C87" s="16" t="inlineStr">
        <is>
          <t>原始值(標準單位)</t>
        </is>
      </c>
      <c r="D87" s="16" t="inlineStr">
        <is>
          <t>公式</t>
        </is>
      </c>
      <c r="E87" s="24" t="inlineStr">
        <is>
          <t>公式計算；不需手動輸入。</t>
        </is>
      </c>
    </row>
    <row r="88" ht="39.95" customHeight="1">
      <c r="A88" s="16" t="inlineStr">
        <is>
          <t>07_QAQC</t>
        </is>
      </c>
      <c r="B88" s="16" t="inlineStr">
        <is>
          <t>U</t>
        </is>
      </c>
      <c r="C88" s="16" t="inlineStr">
        <is>
          <t>管制設定值</t>
        </is>
      </c>
      <c r="D88" s="16" t="inlineStr">
        <is>
          <t>公式</t>
        </is>
      </c>
      <c r="E88" s="24" t="inlineStr">
        <is>
          <t>公式計算；不需手動輸入。</t>
        </is>
      </c>
    </row>
    <row r="89" ht="39.95" customHeight="1">
      <c r="A89" s="16" t="inlineStr">
        <is>
          <t>07_QAQC</t>
        </is>
      </c>
      <c r="B89" s="16" t="inlineStr">
        <is>
          <t>V</t>
        </is>
      </c>
      <c r="C89" s="16" t="inlineStr">
        <is>
          <t>監測設定值</t>
        </is>
      </c>
      <c r="D89" s="16" t="inlineStr">
        <is>
          <t>公式</t>
        </is>
      </c>
      <c r="E89" s="24" t="inlineStr">
        <is>
          <t>公式計算；不需手動輸入。</t>
        </is>
      </c>
    </row>
    <row r="90" ht="39.95" customHeight="1">
      <c r="A90" s="16" t="inlineStr">
        <is>
          <t>07_QAQC</t>
        </is>
      </c>
      <c r="B90" s="16" t="inlineStr">
        <is>
          <t>W</t>
        </is>
      </c>
      <c r="C90" s="16" t="inlineStr">
        <is>
          <t>限定符</t>
        </is>
      </c>
      <c r="D90" s="16" t="inlineStr">
        <is>
          <t>公式</t>
        </is>
      </c>
      <c r="E90" s="24" t="inlineStr">
        <is>
          <t>公式計算；不需手動輸入。</t>
        </is>
      </c>
    </row>
    <row r="91" ht="39.95" customHeight="1">
      <c r="A91" s="16" t="inlineStr">
        <is>
          <t>07_QAQC</t>
        </is>
      </c>
      <c r="B91" s="16" t="inlineStr">
        <is>
          <t>X</t>
        </is>
      </c>
      <c r="C91" s="16" t="inlineStr">
        <is>
          <t>正規字串</t>
        </is>
      </c>
      <c r="D91" s="16" t="inlineStr">
        <is>
          <t>公式</t>
        </is>
      </c>
      <c r="E91" s="24" t="inlineStr">
        <is>
          <t>公式計算；不需手動輸入。</t>
        </is>
      </c>
    </row>
    <row r="92" ht="39.95" customHeight="1">
      <c r="A92" s="16" t="inlineStr">
        <is>
          <t>07_QAQC</t>
        </is>
      </c>
      <c r="B92" s="16" t="inlineStr">
        <is>
          <t>Y</t>
        </is>
      </c>
      <c r="C92" s="16" t="inlineStr">
        <is>
          <t>數字段</t>
        </is>
      </c>
      <c r="D92" s="16" t="inlineStr">
        <is>
          <t>公式</t>
        </is>
      </c>
      <c r="E92" s="24" t="inlineStr">
        <is>
          <t>公式計算；不需手動輸入。</t>
        </is>
      </c>
    </row>
    <row r="93" ht="39.95" customHeight="1">
      <c r="A93" s="16" t="inlineStr">
        <is>
          <t>07_QAQC</t>
        </is>
      </c>
      <c r="B93" s="16" t="inlineStr">
        <is>
          <t>Z</t>
        </is>
      </c>
      <c r="C93" s="16" t="inlineStr">
        <is>
          <t>樣品索引</t>
        </is>
      </c>
      <c r="D93" s="16" t="inlineStr">
        <is>
          <t>公式</t>
        </is>
      </c>
      <c r="E93" s="24" t="inlineStr">
        <is>
          <t>公式計算；不需手動輸入。</t>
        </is>
      </c>
    </row>
    <row r="94" ht="39.95" customHeight="1">
      <c r="A94" s="16" t="inlineStr">
        <is>
          <t>07_QAQC</t>
        </is>
      </c>
      <c r="B94" s="16" t="inlineStr">
        <is>
          <t>AA</t>
        </is>
      </c>
      <c r="C94" s="16" t="inlineStr">
        <is>
          <t>測項索引</t>
        </is>
      </c>
      <c r="D94" s="16" t="inlineStr">
        <is>
          <t>公式</t>
        </is>
      </c>
      <c r="E94" s="24" t="inlineStr">
        <is>
          <t>公式計算；不需手動輸入。</t>
        </is>
      </c>
    </row>
    <row r="95" ht="39.95" customHeight="1">
      <c r="A95" s="16" t="inlineStr">
        <is>
          <t>07_QAQC</t>
        </is>
      </c>
      <c r="B95" s="16" t="inlineStr">
        <is>
          <t>AB</t>
        </is>
      </c>
      <c r="C95" s="16" t="inlineStr">
        <is>
          <t>標準索引</t>
        </is>
      </c>
      <c r="D95" s="16" t="inlineStr">
        <is>
          <t>公式</t>
        </is>
      </c>
      <c r="E95" s="24" t="inlineStr">
        <is>
          <t>公式計算；不需手動輸入。</t>
        </is>
      </c>
    </row>
    <row r="96" ht="39.95" customHeight="1">
      <c r="A96" s="16" t="inlineStr">
        <is>
          <t>07_QAQC</t>
        </is>
      </c>
      <c r="B96" s="16" t="inlineStr">
        <is>
          <t>AC</t>
        </is>
      </c>
      <c r="C96" s="16" t="inlineStr">
        <is>
          <t>測項鍵</t>
        </is>
      </c>
      <c r="D96" s="16" t="inlineStr">
        <is>
          <t>公式</t>
        </is>
      </c>
      <c r="E96" s="24" t="inlineStr">
        <is>
          <t>公式計算；不需手動輸入。</t>
        </is>
      </c>
    </row>
    <row r="97" ht="39.95" customHeight="1">
      <c r="A97" s="16" t="inlineStr">
        <is>
          <t>07_QAQC</t>
        </is>
      </c>
      <c r="B97" s="16" t="inlineStr">
        <is>
          <t>AD</t>
        </is>
      </c>
      <c r="C97" s="16" t="inlineStr">
        <is>
          <t>標準鍵</t>
        </is>
      </c>
      <c r="D97" s="16" t="inlineStr">
        <is>
          <t>公式</t>
        </is>
      </c>
      <c r="E97" s="24" t="inlineStr">
        <is>
          <t>公式計算；不需手動輸入。</t>
        </is>
      </c>
    </row>
    <row r="98" ht="39.95" customHeight="1">
      <c r="A98" s="16" t="inlineStr">
        <is>
          <t>07_QAQC</t>
        </is>
      </c>
      <c r="B98" s="16" t="inlineStr">
        <is>
          <t>AE</t>
        </is>
      </c>
      <c r="C98" s="16" t="inlineStr">
        <is>
          <t>解析規則</t>
        </is>
      </c>
      <c r="D98" s="16" t="inlineStr">
        <is>
          <t>公式</t>
        </is>
      </c>
      <c r="E98" s="24" t="inlineStr">
        <is>
          <t>公式計算；不需手動輸入。</t>
        </is>
      </c>
    </row>
    <row r="99" ht="39.95" customHeight="1">
      <c r="A99" s="16" t="inlineStr">
        <is>
          <t>07_QAQC</t>
        </is>
      </c>
      <c r="B99" s="16" t="inlineStr">
        <is>
          <t>C3</t>
        </is>
      </c>
      <c r="C99" s="16" t="inlineStr">
        <is>
          <t>共用比較版本</t>
        </is>
      </c>
      <c r="D99" s="16" t="inlineStr">
        <is>
          <t>手動維護</t>
        </is>
      </c>
      <c r="E99" s="24" t="inlineStr">
        <is>
          <t>所有QA結果共用的標準版本；選自04頁版本代碼清單。</t>
        </is>
      </c>
    </row>
    <row r="100" ht="39.95" customHeight="1">
      <c r="A100" s="16" t="inlineStr">
        <is>
          <t>01_樣品登錄</t>
        </is>
      </c>
      <c r="B100" s="16" t="inlineStr">
        <is>
          <t>A</t>
        </is>
      </c>
      <c r="C100" s="16" t="inlineStr">
        <is>
          <t>樣品編號選項</t>
        </is>
      </c>
      <c r="D100" s="16" t="inlineStr">
        <is>
          <t>資料表選單</t>
        </is>
      </c>
      <c r="E100" s="24" t="inlineStr">
        <is>
          <t>SampleIDList 直接引用 Samples[樣品編號]，無需鏡像清單。</t>
        </is>
      </c>
    </row>
    <row r="101" ht="39.95" customHeight="1">
      <c r="A101" s="16" t="inlineStr">
        <is>
          <t>03_點位主檔</t>
        </is>
      </c>
      <c r="B101" s="16" t="inlineStr">
        <is>
          <t>A</t>
        </is>
      </c>
      <c r="C101" s="16" t="inlineStr">
        <is>
          <t>監測點選項</t>
        </is>
      </c>
      <c r="D101" s="16" t="inlineStr">
        <is>
          <t>資料表選單</t>
        </is>
      </c>
      <c r="E101" s="24" t="inlineStr">
        <is>
          <t>StationList 直接引用 DB_03[監測點]，無需鏡像清單。</t>
        </is>
      </c>
    </row>
    <row r="102" ht="39.95" customHeight="1">
      <c r="A102" s="16" t="inlineStr">
        <is>
          <t>04_測項與清單</t>
        </is>
      </c>
      <c r="B102" s="16" t="inlineStr">
        <is>
          <t>E207起</t>
        </is>
      </c>
      <c r="C102" s="16" t="inlineStr">
        <is>
          <t>單位選項</t>
        </is>
      </c>
      <c r="D102" s="16" t="inlineStr">
        <is>
          <t>手動維護</t>
        </is>
      </c>
      <c r="E102" s="24" t="inlineStr">
        <is>
          <t>共用下拉清單；在表格最後一格按Tab新增，所有引用分頁同步使用。</t>
        </is>
      </c>
    </row>
    <row r="103" ht="39.95" customHeight="1">
      <c r="A103" s="16" t="inlineStr">
        <is>
          <t>04_測項與清單</t>
        </is>
      </c>
      <c r="B103" s="16" t="inlineStr">
        <is>
          <t>G207起</t>
        </is>
      </c>
      <c r="C103" s="16" t="inlineStr">
        <is>
          <t>採樣方法選項</t>
        </is>
      </c>
      <c r="D103" s="16" t="inlineStr">
        <is>
          <t>手動維護</t>
        </is>
      </c>
      <c r="E103" s="24" t="inlineStr">
        <is>
          <t>共用下拉清單；在表格最後一格按Tab新增，所有引用分頁同步使用。</t>
        </is>
      </c>
    </row>
    <row r="104" ht="39.95" customHeight="1">
      <c r="A104" s="16" t="inlineStr">
        <is>
          <t>04_測項與清單</t>
        </is>
      </c>
      <c r="B104" s="16" t="inlineStr">
        <is>
          <t>I207起</t>
        </is>
      </c>
      <c r="C104" s="16" t="inlineStr">
        <is>
          <t>啟用選項</t>
        </is>
      </c>
      <c r="D104" s="16" t="inlineStr">
        <is>
          <t>手動維護</t>
        </is>
      </c>
      <c r="E104" s="24" t="inlineStr">
        <is>
          <t>共用下拉清單；在表格最後一格按Tab新增，所有引用分頁同步使用。</t>
        </is>
      </c>
    </row>
    <row r="105" ht="39.95" customHeight="1">
      <c r="A105" s="16" t="inlineStr">
        <is>
          <t>04_測項與清單</t>
        </is>
      </c>
      <c r="B105" s="16" t="inlineStr">
        <is>
          <t>K207起</t>
        </is>
      </c>
      <c r="C105" s="16" t="inlineStr">
        <is>
          <t>核對狀態選項</t>
        </is>
      </c>
      <c r="D105" s="16" t="inlineStr">
        <is>
          <t>手動維護</t>
        </is>
      </c>
      <c r="E105" s="24" t="inlineStr">
        <is>
          <t>共用下拉清單；在表格最後一格按Tab新增，所有引用分頁同步使用。</t>
        </is>
      </c>
    </row>
    <row r="106" ht="42" customHeight="1">
      <c r="A106" s="24" t="inlineStr">
        <is>
          <t>07_QAQC</t>
        </is>
      </c>
      <c r="B106" s="24" t="inlineStr">
        <is>
          <t>C6</t>
        </is>
      </c>
      <c r="C106" s="24" t="inlineStr">
        <is>
          <t>結果序號</t>
        </is>
      </c>
      <c r="D106" s="24" t="inlineStr">
        <is>
          <t>手動維護</t>
        </is>
      </c>
      <c r="E106" s="24" t="inlineStr">
        <is>
          <t>1 為 02 的第 2 列；輸入 1 至結果總筆數，顯示該列全部 QA/QC。</t>
        </is>
      </c>
    </row>
    <row r="107" ht="42" customHeight="1">
      <c r="A107" s="24" t="inlineStr">
        <is>
          <t>02_分析資料庫</t>
        </is>
      </c>
      <c r="B107" s="24" t="inlineStr">
        <is>
          <t>I:X、AH:AI</t>
        </is>
      </c>
      <c r="C107" s="24" t="inlineStr">
        <is>
          <t>運算輔助欄</t>
        </is>
      </c>
      <c r="D107" s="24" t="inlineStr">
        <is>
          <t>公式（可展開）</t>
        </is>
      </c>
      <c r="E107" s="24" t="inlineStr">
        <is>
          <t>共用解析、索引與標準查詢步驟。不要手動覆寫，隨結果資料表新增列延伸。</t>
        </is>
      </c>
    </row>
    <row r="108" ht="42" customHeight="1">
      <c r="A108" s="24" t="inlineStr">
        <is>
          <t>02_分析資料庫</t>
        </is>
      </c>
      <c r="B108" s="24" t="inlineStr">
        <is>
          <t>Y:AG</t>
        </is>
      </c>
      <c r="C108" s="24" t="inlineStr">
        <is>
          <t>QA/QC 與解析規則</t>
        </is>
      </c>
      <c r="D108" s="24" t="inlineStr">
        <is>
          <t>公式</t>
        </is>
      </c>
      <c r="E108" s="24" t="inlineStr">
        <is>
          <t>完整逐筆檢查與比較在同一資料表，可直接篩選、排序。</t>
        </is>
      </c>
    </row>
    <row r="109" ht="42" customHeight="1">
      <c r="A109" s="24" t="inlineStr">
        <is>
          <t>01_樣品登錄</t>
        </is>
      </c>
      <c r="B109" s="24" t="inlineStr">
        <is>
          <t>N</t>
        </is>
      </c>
      <c r="C109" s="24" t="inlineStr">
        <is>
          <t>樣品重複筆數</t>
        </is>
      </c>
      <c r="D109" s="24" t="inlineStr">
        <is>
          <t>公式（隱藏）</t>
        </is>
      </c>
      <c r="E109" s="24" t="inlineStr">
        <is>
          <t>樣品重複只在樣品表計算一次，供結果表重用。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8"/>
  <sheetViews>
    <sheetView showGridLines="0" zoomScale="90" zoomScaleNormal="90" workbookViewId="0">
      <pane xSplit="1" ySplit="7" topLeftCell="B8" activePane="bottomRight" state="frozenSplit"/>
      <selection pane="topRight" activeCell="B1" sqref="B1"/>
      <selection pane="bottomLeft" activeCell="A8" sqref="A8"/>
      <selection pane="bottomRight" activeCell="C3" sqref="C3"/>
    </sheetView>
  </sheetViews>
  <sheetFormatPr baseColWidth="8" defaultRowHeight="14.25"/>
  <cols>
    <col width="12.625" customWidth="1" min="1" max="1"/>
    <col width="28.625" customWidth="1" min="2" max="2"/>
    <col width="32.625" customWidth="1" min="3" max="3"/>
    <col width="21.625" customWidth="1" min="4" max="4"/>
    <col width="19.625" customWidth="1" min="5" max="5"/>
    <col width="20.625" customWidth="1" min="6" max="6"/>
    <col width="35.625" customWidth="1" min="7" max="7"/>
    <col width="23.625" customWidth="1" min="8" max="8"/>
    <col width="29.625" customWidth="1" min="9" max="9"/>
    <col width="24.625" customWidth="1" min="10" max="10"/>
    <col width="28.625" customWidth="1" min="11" max="11"/>
    <col width="32.625" customWidth="1" min="12" max="13"/>
    <col width="29.625" customWidth="1" min="14" max="14"/>
    <col width="19.625" customWidth="1" min="15" max="15"/>
    <col width="15.625" customWidth="1" min="16" max="16"/>
    <col width="19.625" customWidth="1" min="17" max="17"/>
    <col width="17.625" customWidth="1" min="18" max="18"/>
    <col width="23.625" customWidth="1" min="19" max="19"/>
    <col width="24.625" customWidth="1" min="20" max="20"/>
    <col width="20.625" customWidth="1" min="21" max="22"/>
    <col width="16.625" customWidth="1" min="23" max="23"/>
    <col hidden="1" outlineLevel="1" width="18.625" customWidth="1" min="24" max="30"/>
    <col collapsed="1" width="22.625" customWidth="1" min="31" max="31"/>
  </cols>
  <sheetData>
    <row r="1" ht="33.95" customHeight="1">
      <c r="A1" s="78" t="inlineStr">
        <is>
          <t>QA/QC 標準設定與單筆檢視</t>
        </is>
      </c>
    </row>
    <row r="2" ht="29.1" customHeight="1">
      <c r="A2" s="79" t="n"/>
      <c r="B2" s="79" t="n"/>
      <c r="C2" s="79" t="n"/>
      <c r="D2" s="79" t="n"/>
      <c r="E2" s="79" t="n"/>
      <c r="F2" s="79" t="n"/>
      <c r="G2" s="79" t="n"/>
      <c r="H2" s="79" t="n"/>
      <c r="I2" s="79" t="n"/>
      <c r="J2" s="79" t="n"/>
      <c r="K2" s="79" t="n"/>
      <c r="L2" s="79" t="n"/>
      <c r="M2" s="79" t="n"/>
      <c r="N2" s="79" t="n"/>
    </row>
    <row r="3" ht="29.1" customHeight="1">
      <c r="A3" s="79" t="n"/>
      <c r="B3" s="79" t="inlineStr">
        <is>
          <t>共用比較版本</t>
        </is>
      </c>
      <c r="C3" s="18" t="n"/>
      <c r="D3" s="79" t="n"/>
      <c r="E3" s="79" t="inlineStr">
        <is>
          <t>選擇本次比較的介質與類別版本；不適用的介質不套用門檻。</t>
        </is>
      </c>
    </row>
    <row r="4" ht="29.1" customHeight="1">
      <c r="A4" s="79" t="n"/>
      <c r="B4" s="79" t="inlineStr">
        <is>
          <t>解析與判讀</t>
        </is>
      </c>
      <c r="C4" s="80" t="inlineStr">
        <is>
          <t>ND解析為0，小於界限解析為界限的一半；標準比較仍依原始限定符與界限。</t>
        </is>
      </c>
    </row>
    <row r="5" ht="29.1" customHeight="1">
      <c r="A5" s="79" t="n"/>
      <c r="B5" s="79" t="inlineStr">
        <is>
          <t>操作</t>
        </is>
      </c>
      <c r="C5" s="80" t="inlineStr">
        <is>
          <t>02 右側可篩選全部 QA/QC。達標準值包含等於；ND 缺界限不推定符合。此頁依 C6 結果序號檢視。</t>
        </is>
      </c>
    </row>
    <row r="6" ht="30" customHeight="1">
      <c r="B6" t="inlineStr">
        <is>
          <t>結果序號</t>
        </is>
      </c>
      <c r="C6" s="59" t="n">
        <v>1</v>
      </c>
      <c r="E6" t="inlineStr">
        <is>
          <t>結果總筆數</t>
        </is>
      </c>
      <c r="F6">
        <f>ROWS(Results[分析項目])</f>
        <v/>
      </c>
    </row>
    <row r="7" ht="42" customHeight="1">
      <c r="A7" s="31" t="inlineStr">
        <is>
          <t>資料列</t>
        </is>
      </c>
      <c r="B7" s="31" t="inlineStr">
        <is>
          <t>監測點</t>
        </is>
      </c>
      <c r="C7" s="31" t="inlineStr">
        <is>
          <t>分析項目</t>
        </is>
      </c>
      <c r="D7" s="31" t="inlineStr">
        <is>
          <t>原始值</t>
        </is>
      </c>
      <c r="E7" s="31" t="inlineStr">
        <is>
          <t>結果單位</t>
        </is>
      </c>
      <c r="F7" s="31" t="inlineStr">
        <is>
          <t>解析值</t>
        </is>
      </c>
      <c r="G7" s="31" t="inlineStr">
        <is>
          <t>樣品檢查</t>
        </is>
      </c>
      <c r="H7" s="31" t="inlineStr">
        <is>
          <t>格式檢查</t>
        </is>
      </c>
      <c r="I7" s="31" t="inlineStr">
        <is>
          <t>重複檢查</t>
        </is>
      </c>
      <c r="J7" s="31" t="inlineStr">
        <is>
          <t>單位檢查</t>
        </is>
      </c>
      <c r="K7" s="31" t="inlineStr">
        <is>
          <t>標準檢查</t>
        </is>
      </c>
      <c r="L7" s="31" t="inlineStr">
        <is>
          <t>管制比較</t>
        </is>
      </c>
      <c r="M7" s="31" t="inlineStr">
        <is>
          <t>監測比較</t>
        </is>
      </c>
      <c r="N7" s="31" t="inlineStr">
        <is>
          <t>完整性檢查</t>
        </is>
      </c>
      <c r="O7" s="31" t="inlineStr">
        <is>
          <t>採樣日期</t>
        </is>
      </c>
      <c r="P7" s="31" t="inlineStr">
        <is>
          <t>介質</t>
        </is>
      </c>
      <c r="Q7" s="31" t="inlineStr">
        <is>
          <t>標準單位</t>
        </is>
      </c>
      <c r="R7" s="31" t="inlineStr">
        <is>
          <t>換算係數</t>
        </is>
      </c>
      <c r="S7" s="31" t="inlineStr">
        <is>
          <t>原始數值或界限</t>
        </is>
      </c>
      <c r="T7" s="31" t="inlineStr">
        <is>
          <t>原始值(標準單位)</t>
        </is>
      </c>
      <c r="U7" s="31" t="inlineStr">
        <is>
          <t>管制設定值</t>
        </is>
      </c>
      <c r="V7" s="31" t="inlineStr">
        <is>
          <t>監測設定值</t>
        </is>
      </c>
      <c r="W7" s="31" t="inlineStr">
        <is>
          <t>限定符</t>
        </is>
      </c>
      <c r="X7" s="31" t="inlineStr">
        <is>
          <t>正規字串</t>
        </is>
      </c>
      <c r="Y7" s="31" t="inlineStr">
        <is>
          <t>數字段</t>
        </is>
      </c>
      <c r="Z7" s="31" t="inlineStr">
        <is>
          <t>樣品索引</t>
        </is>
      </c>
      <c r="AA7" s="31" t="inlineStr">
        <is>
          <t>測項索引</t>
        </is>
      </c>
      <c r="AB7" s="31" t="inlineStr">
        <is>
          <t>標準索引</t>
        </is>
      </c>
      <c r="AC7" s="31" t="inlineStr">
        <is>
          <t>測項鍵</t>
        </is>
      </c>
      <c r="AD7" s="31" t="inlineStr">
        <is>
          <t>標準鍵</t>
        </is>
      </c>
      <c r="AE7" s="31" t="inlineStr">
        <is>
          <t>解析規則</t>
        </is>
      </c>
    </row>
    <row r="8" ht="48" customHeight="1">
      <c r="A8" s="62">
        <f>IF(AND(ISNUMBER($C$6),$C$6&gt;=1,$C$6&lt;=ROWS(Results[分析項目])),$C$6+1,"")</f>
        <v/>
      </c>
      <c r="B8" s="60">
        <f>IF($A8="","",IF(INDEX(Results[監測點],$C$6)="","",INDEX(Results[監測點],$C$6)))</f>
        <v/>
      </c>
      <c r="C8" s="60">
        <f>IF($A8="","",IF(INDEX(Results[分析項目],$C$6)="","",INDEX(Results[分析項目],$C$6)))</f>
        <v/>
      </c>
      <c r="D8" s="60">
        <f>IF($A8="","",IF(INDEX(Results[原始值],$C$6)="","",INDEX(Results[原始值],$C$6)))</f>
        <v/>
      </c>
      <c r="E8" s="60">
        <f>IF($A8="","",IF(INDEX(Results[結果單位],$C$6)="","",INDEX(Results[結果單位],$C$6)))</f>
        <v/>
      </c>
      <c r="F8" s="60">
        <f>IF($A8="","",IF(INDEX(Results[解析值],$C$6)="","",INDEX(Results[解析值],$C$6)))</f>
        <v/>
      </c>
      <c r="G8" s="60">
        <f>IF($A8="","",IF(INDEX(Results[樣品檢查],$C$6)="","",INDEX(Results[樣品檢查],$C$6)))</f>
        <v/>
      </c>
      <c r="H8" s="60">
        <f>IF($A8="","",IF(INDEX(Results[格式檢查],$C$6)="","",INDEX(Results[格式檢查],$C$6)))</f>
        <v/>
      </c>
      <c r="I8" s="60">
        <f>IF($A8="","",IF(INDEX(Results[重複檢查],$C$6)="","",INDEX(Results[重複檢查],$C$6)))</f>
        <v/>
      </c>
      <c r="J8" s="60">
        <f>IF($A8="","",IF(INDEX(Results[單位檢查],$C$6)="","",INDEX(Results[單位檢查],$C$6)))</f>
        <v/>
      </c>
      <c r="K8" s="60">
        <f>IF($A8="","",IF(INDEX(Results[標準檢查],$C$6)="","",INDEX(Results[標準檢查],$C$6)))</f>
        <v/>
      </c>
      <c r="L8" s="60">
        <f>IF($A8="","",IF(INDEX(Results[管制比較],$C$6)="","",INDEX(Results[管制比較],$C$6)))</f>
        <v/>
      </c>
      <c r="M8" s="60">
        <f>IF($A8="","",IF(INDEX(Results[監測比較],$C$6)="","",INDEX(Results[監測比較],$C$6)))</f>
        <v/>
      </c>
      <c r="N8" s="60">
        <f>IF($A8="","",IF(INDEX(Results[完整性檢查],$C$6)="","",INDEX(Results[完整性檢查],$C$6)))</f>
        <v/>
      </c>
      <c r="O8" s="99">
        <f>IF($A8="","",IF(INDEX(Results[採樣日期],$C$6)="","",INDEX(Results[採樣日期],$C$6)))</f>
        <v/>
      </c>
      <c r="P8" s="60">
        <f>IF($A8="","",IF(INDEX(Results[介質],$C$6)="","",INDEX(Results[介質],$C$6)))</f>
        <v/>
      </c>
      <c r="Q8" s="60">
        <f>IF($A8="","",IF(INDEX(Results[標準單位],$C$6)="","",INDEX(Results[標準單位],$C$6)))</f>
        <v/>
      </c>
      <c r="R8" s="60">
        <f>IF($A8="","",IF(INDEX(Results[換算係數],$C$6)="","",INDEX(Results[換算係數],$C$6)))</f>
        <v/>
      </c>
      <c r="S8" s="60">
        <f>IF($A8="","",IF(INDEX(Results[原始數值或界限],$C$6)="","",INDEX(Results[原始數值或界限],$C$6)))</f>
        <v/>
      </c>
      <c r="T8" s="60">
        <f>IF($A8="","",IF(INDEX(Results[原始值(標準單位)],$C$6)="","",INDEX(Results[原始值(標準單位)],$C$6)))</f>
        <v/>
      </c>
      <c r="U8" s="60">
        <f>IF($A8="","",IF(INDEX(Results[管制設定值],$C$6)="","",INDEX(Results[管制設定值],$C$6)))</f>
        <v/>
      </c>
      <c r="V8" s="60">
        <f>IF($A8="","",IF(INDEX(Results[監測設定值],$C$6)="","",INDEX(Results[監測設定值],$C$6)))</f>
        <v/>
      </c>
      <c r="W8" s="60">
        <f>IF($A8="","",IF(INDEX(Results[限定符],$C$6)="","",INDEX(Results[限定符],$C$6)))</f>
        <v/>
      </c>
      <c r="X8" s="60">
        <f>IF($A8="","",IF(INDEX(Results[正規字串],$C$6)="","",INDEX(Results[正規字串],$C$6)))</f>
        <v/>
      </c>
      <c r="Y8" s="60">
        <f>IF($A8="","",IF(INDEX(Results[數字段],$C$6)="","",INDEX(Results[數字段],$C$6)))</f>
        <v/>
      </c>
      <c r="Z8" s="60">
        <f>IF($A8="","",IF(INDEX(Results[樣品索引],$C$6)="","",INDEX(Results[樣品索引],$C$6)))</f>
        <v/>
      </c>
      <c r="AA8" s="60">
        <f>IF($A8="","",IF(INDEX(Results[測項索引],$C$6)="","",INDEX(Results[測項索引],$C$6)))</f>
        <v/>
      </c>
      <c r="AB8" s="60">
        <f>IF($A8="","",IF(INDEX(Results[標準索引],$C$6)="","",INDEX(Results[標準索引],$C$6)))</f>
        <v/>
      </c>
      <c r="AC8" s="60">
        <f>IF($A8="","",IF(INDEX(Results[測項鍵],$C$6)="","",INDEX(Results[測項鍵],$C$6)))</f>
        <v/>
      </c>
      <c r="AD8" s="60">
        <f>IF($A8="","",IF(INDEX(Results[標準鍵],$C$6)="","",INDEX(Results[標準鍵],$C$6)))</f>
        <v/>
      </c>
      <c r="AE8" s="60">
        <f>IF($A8="","",IF(INDEX(Results[解析規則],$C$6)="","",INDEX(Results[解析規則],$C$6)))</f>
        <v/>
      </c>
    </row>
  </sheetData>
  <mergeCells count="4">
    <mergeCell ref="E3:N3"/>
    <mergeCell ref="C5:N5"/>
    <mergeCell ref="C4:N4"/>
    <mergeCell ref="A1:N1"/>
  </mergeCells>
  <dataValidations count="2">
    <dataValidation sqref="C3" showDropDown="0" showInputMessage="1" showErrorMessage="1" allowBlank="1" errorTitle="請使用清單中的選項" error="先在對應主檔新增表格列，再於此選取。" type="list">
      <formula1>StandardVersionList</formula1>
    </dataValidation>
    <dataValidation sqref="C6" showDropDown="0" showInputMessage="1" showErrorMessage="1" allowBlank="1" type="whole">
      <formula1>1</formula1>
      <formula2>F6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2026-09-29T18:50:14Z</dcterms:created>
  <dcterms:modified xsi:type="dcterms:W3CDTF">2026-10-30T16:22:35Z</dcterms:modified>
  <cp:lastModifiedBy>Yo-Yu Zhang</cp:lastModifiedBy>
  <cp:lastPrinted>2026-10-07T03:28:15Z</cp:lastPrinted>
</cp:coreProperties>
</file>